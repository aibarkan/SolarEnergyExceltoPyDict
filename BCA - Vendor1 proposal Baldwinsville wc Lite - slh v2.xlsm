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8"/>
  <workbookPr defaultThemeVersion="166925"/>
  <mc:AlternateContent xmlns:mc="http://schemas.openxmlformats.org/markup-compatibility/2006">
    <mc:Choice Requires="x15">
      <x15ac:absPath xmlns:x15ac="http://schemas.microsoft.com/office/spreadsheetml/2010/11/ac" url="/Users/alexandrabarkan/Desktop/SOM/"/>
    </mc:Choice>
  </mc:AlternateContent>
  <xr:revisionPtr revIDLastSave="0" documentId="13_ncr:1_{384323B8-13A2-CB4B-8178-776010B39DFE}" xr6:coauthVersionLast="45" xr6:coauthVersionMax="45" xr10:uidLastSave="{00000000-0000-0000-0000-000000000000}"/>
  <bookViews>
    <workbookView xWindow="1460" yWindow="2840" windowWidth="28800" windowHeight="16560" tabRatio="837" activeTab="1" xr2:uid="{00000000-000D-0000-FFFF-FFFF00000000}"/>
  </bookViews>
  <sheets>
    <sheet name="BCA Results" sheetId="13" r:id="rId1"/>
    <sheet name="Inputs - Project Specific" sheetId="1" r:id="rId2"/>
    <sheet name="Inputs - Fixed" sheetId="7" r:id="rId3"/>
    <sheet name="BCA Tests Summary" sheetId="9" r:id="rId4"/>
    <sheet name="4.1_Benefits" sheetId="2" r:id="rId5"/>
    <sheet name="4.2-4.4_Benefits" sheetId="8" r:id="rId6"/>
    <sheet name="Sheet1" sheetId="22" r:id="rId7"/>
    <sheet name="config" sheetId="21" r:id="rId8"/>
    <sheet name="4.5_Costs" sheetId="14" r:id="rId9"/>
    <sheet name="Project Specific Calculations" sheetId="10" r:id="rId10"/>
    <sheet name="LBMP Calculation" sheetId="19" r:id="rId11"/>
    <sheet name="LBMP_by_Year-Month-Hour" sheetId="20" r:id="rId12"/>
  </sheets>
  <definedNames>
    <definedName name="_xlnm.Print_Area" localSheetId="3">'BCA Tests Summary'!$A$1:$F$26</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0" l="1"/>
  <c r="F22" i="10" s="1"/>
  <c r="G22" i="10" s="1"/>
  <c r="H22" i="10" s="1"/>
  <c r="I22" i="10" s="1"/>
  <c r="J22" i="10" s="1"/>
  <c r="K22" i="10" s="1"/>
  <c r="L22" i="10" s="1"/>
  <c r="M22" i="10" s="1"/>
  <c r="N22" i="10" s="1"/>
  <c r="O22" i="10" s="1"/>
  <c r="P22" i="10" s="1"/>
  <c r="Q22" i="10" s="1"/>
  <c r="G36" i="1"/>
  <c r="E20" i="10"/>
  <c r="E19" i="10"/>
  <c r="F19" i="10" s="1"/>
  <c r="G19" i="10" s="1"/>
  <c r="H19" i="10" s="1"/>
  <c r="I19" i="10" s="1"/>
  <c r="J19" i="10" s="1"/>
  <c r="K19" i="10" s="1"/>
  <c r="L19" i="10" s="1"/>
  <c r="M19" i="10" s="1"/>
  <c r="N19" i="10" s="1"/>
  <c r="E15" i="10"/>
  <c r="E14" i="10"/>
  <c r="E16" i="10" s="1"/>
  <c r="F20" i="10"/>
  <c r="G20" i="10" s="1"/>
  <c r="F15" i="10"/>
  <c r="G15" i="10" s="1"/>
  <c r="H15" i="10" s="1"/>
  <c r="I15" i="10" s="1"/>
  <c r="J15" i="10" s="1"/>
  <c r="B19" i="19"/>
  <c r="B20" i="19"/>
  <c r="B21" i="19" s="1"/>
  <c r="B22" i="19" s="1"/>
  <c r="B23" i="19" s="1"/>
  <c r="X6" i="14"/>
  <c r="G42" i="1"/>
  <c r="G41" i="1"/>
  <c r="E17" i="10" s="1"/>
  <c r="G33" i="1"/>
  <c r="K12" i="2"/>
  <c r="Q9" i="10"/>
  <c r="V18" i="14"/>
  <c r="W6" i="14"/>
  <c r="V10" i="14"/>
  <c r="AI41" i="8"/>
  <c r="AI42" i="8"/>
  <c r="AI43" i="8"/>
  <c r="AI44" i="8"/>
  <c r="AI8" i="8"/>
  <c r="AI9" i="8"/>
  <c r="AI10" i="8"/>
  <c r="AI43" i="2"/>
  <c r="AI44" i="2"/>
  <c r="AI45" i="2"/>
  <c r="AI49" i="2"/>
  <c r="AI50" i="2"/>
  <c r="AI51" i="2"/>
  <c r="AI29" i="2"/>
  <c r="AI30" i="2"/>
  <c r="AI31" i="2"/>
  <c r="AI19" i="2"/>
  <c r="AI10" i="2"/>
  <c r="AI9" i="2"/>
  <c r="AI8" i="2"/>
  <c r="L46" i="2"/>
  <c r="M46" i="2" s="1"/>
  <c r="N46" i="2" s="1"/>
  <c r="O46" i="2" s="1"/>
  <c r="P46" i="2" s="1"/>
  <c r="Q46" i="2" s="1"/>
  <c r="R46" i="2" s="1"/>
  <c r="S46" i="2" s="1"/>
  <c r="T46" i="2" s="1"/>
  <c r="U46" i="2" s="1"/>
  <c r="V46" i="2" s="1"/>
  <c r="W46" i="2" s="1"/>
  <c r="X46" i="2" s="1"/>
  <c r="Y46" i="2" s="1"/>
  <c r="Z46" i="2" s="1"/>
  <c r="AA46" i="2" s="1"/>
  <c r="AB46" i="2" s="1"/>
  <c r="AC46" i="2" s="1"/>
  <c r="AD46" i="2" s="1"/>
  <c r="AE46" i="2" s="1"/>
  <c r="AF46" i="2" s="1"/>
  <c r="AG46" i="2" s="1"/>
  <c r="AH46" i="2" s="1"/>
  <c r="AI46" i="2" s="1"/>
  <c r="K42" i="2"/>
  <c r="L42" i="2" s="1"/>
  <c r="W8" i="14"/>
  <c r="K17" i="2"/>
  <c r="L17" i="2" s="1"/>
  <c r="M17" i="2" s="1"/>
  <c r="N17" i="2" s="1"/>
  <c r="O17" i="2" s="1"/>
  <c r="P17" i="2" s="1"/>
  <c r="Q17" i="2" s="1"/>
  <c r="R17" i="2" s="1"/>
  <c r="S17" i="2" s="1"/>
  <c r="T17" i="2" s="1"/>
  <c r="U17" i="2" s="1"/>
  <c r="V17" i="2" s="1"/>
  <c r="W17" i="2" s="1"/>
  <c r="X17" i="2" s="1"/>
  <c r="Y17" i="2" s="1"/>
  <c r="Z17" i="2" s="1"/>
  <c r="AA17" i="2" s="1"/>
  <c r="AB17" i="2" s="1"/>
  <c r="AC17" i="2" s="1"/>
  <c r="AD17" i="2" s="1"/>
  <c r="AE17" i="2" s="1"/>
  <c r="AF17" i="2" s="1"/>
  <c r="AG17" i="2" s="1"/>
  <c r="AH17" i="2" s="1"/>
  <c r="AI17" i="2" s="1"/>
  <c r="C7" i="19"/>
  <c r="C3" i="19"/>
  <c r="C5" i="19" s="1"/>
  <c r="C2" i="19"/>
  <c r="D17" i="19"/>
  <c r="G17" i="19"/>
  <c r="J17" i="19"/>
  <c r="M17" i="19"/>
  <c r="P17" i="19"/>
  <c r="S17" i="19"/>
  <c r="V17" i="19"/>
  <c r="Y17" i="19"/>
  <c r="AB17" i="19"/>
  <c r="AE17" i="19"/>
  <c r="AH17" i="19"/>
  <c r="AK17" i="19"/>
  <c r="B48" i="19"/>
  <c r="D48" i="19"/>
  <c r="E48" i="19"/>
  <c r="G48" i="19"/>
  <c r="H48" i="19"/>
  <c r="J48" i="19"/>
  <c r="K48" i="19"/>
  <c r="M48" i="19"/>
  <c r="N48" i="19"/>
  <c r="P48" i="19"/>
  <c r="Q48" i="19"/>
  <c r="S48" i="19"/>
  <c r="T48" i="19"/>
  <c r="V48" i="19"/>
  <c r="W48" i="19"/>
  <c r="Y48" i="19"/>
  <c r="Z48" i="19"/>
  <c r="AB48" i="19"/>
  <c r="AC48" i="19"/>
  <c r="AE48" i="19"/>
  <c r="AF48" i="19"/>
  <c r="AH48" i="19"/>
  <c r="AI48" i="19"/>
  <c r="AK48" i="19"/>
  <c r="AL48" i="19"/>
  <c r="B79" i="19"/>
  <c r="D79" i="19"/>
  <c r="E79" i="19"/>
  <c r="G79" i="19"/>
  <c r="H79" i="19"/>
  <c r="J79" i="19"/>
  <c r="K79" i="19"/>
  <c r="M79" i="19"/>
  <c r="N79" i="19"/>
  <c r="P79" i="19"/>
  <c r="Q79" i="19"/>
  <c r="S79" i="19"/>
  <c r="T79" i="19"/>
  <c r="V79" i="19"/>
  <c r="W79" i="19"/>
  <c r="Y79" i="19"/>
  <c r="Z79" i="19"/>
  <c r="AB79" i="19"/>
  <c r="AC79" i="19"/>
  <c r="AE79" i="19"/>
  <c r="AF79" i="19"/>
  <c r="AH79" i="19"/>
  <c r="AI79" i="19"/>
  <c r="AK79" i="19"/>
  <c r="AL79" i="19"/>
  <c r="C4" i="19"/>
  <c r="Z22" i="19" s="1"/>
  <c r="J18" i="14"/>
  <c r="K18" i="14"/>
  <c r="L18" i="14"/>
  <c r="M18" i="14"/>
  <c r="N18" i="14"/>
  <c r="O18" i="14"/>
  <c r="P18" i="14"/>
  <c r="Q18" i="14"/>
  <c r="R18" i="14"/>
  <c r="S18" i="14"/>
  <c r="T18" i="14"/>
  <c r="U18" i="14"/>
  <c r="W18" i="14"/>
  <c r="X18" i="14"/>
  <c r="C31" i="13" s="1"/>
  <c r="H31" i="13" s="1"/>
  <c r="W10" i="14"/>
  <c r="K10" i="14"/>
  <c r="L10" i="14"/>
  <c r="M10" i="14"/>
  <c r="N10" i="14"/>
  <c r="O10" i="14"/>
  <c r="P10" i="14"/>
  <c r="Q10" i="14"/>
  <c r="R10" i="14"/>
  <c r="S10" i="14"/>
  <c r="T10" i="14"/>
  <c r="U10" i="14"/>
  <c r="J10" i="14"/>
  <c r="X10" i="14"/>
  <c r="C29" i="13" s="1"/>
  <c r="L12" i="2"/>
  <c r="M12" i="2" s="1"/>
  <c r="N12" i="2" s="1"/>
  <c r="O12" i="2" s="1"/>
  <c r="P22" i="2" s="1"/>
  <c r="K22" i="2"/>
  <c r="K33" i="2" s="1"/>
  <c r="K15" i="10"/>
  <c r="L15" i="10" s="1"/>
  <c r="M15" i="10" s="1"/>
  <c r="Z26" i="19"/>
  <c r="W21" i="19"/>
  <c r="F11" i="7"/>
  <c r="C6" i="19" s="1"/>
  <c r="N43" i="19"/>
  <c r="AF43" i="19"/>
  <c r="H43" i="19"/>
  <c r="AL43" i="19"/>
  <c r="E43" i="19"/>
  <c r="K43" i="19"/>
  <c r="Q43" i="19"/>
  <c r="AI43" i="19"/>
  <c r="F9" i="10"/>
  <c r="G9" i="10"/>
  <c r="H9" i="10"/>
  <c r="I9" i="10"/>
  <c r="J9" i="10"/>
  <c r="K9" i="10"/>
  <c r="L9" i="10"/>
  <c r="M9" i="10"/>
  <c r="N9" i="10"/>
  <c r="O9" i="10"/>
  <c r="P9" i="10"/>
  <c r="E9" i="10"/>
  <c r="N15" i="10"/>
  <c r="H14" i="13"/>
  <c r="H15" i="13"/>
  <c r="H17" i="13"/>
  <c r="H19" i="13"/>
  <c r="H20" i="13"/>
  <c r="H21" i="13"/>
  <c r="H22" i="13"/>
  <c r="H25" i="13"/>
  <c r="H26" i="13"/>
  <c r="H27" i="13"/>
  <c r="H29" i="13"/>
  <c r="H30" i="13"/>
  <c r="H33" i="13"/>
  <c r="H34" i="13"/>
  <c r="H35" i="13"/>
  <c r="O15" i="10"/>
  <c r="P15" i="10" s="1"/>
  <c r="Q15" i="10" s="1"/>
  <c r="E7" i="10"/>
  <c r="F7" i="10" s="1"/>
  <c r="G7" i="10" s="1"/>
  <c r="H7" i="10" s="1"/>
  <c r="I7" i="10" s="1"/>
  <c r="J7" i="10" s="1"/>
  <c r="K7" i="10" s="1"/>
  <c r="L7" i="10" s="1"/>
  <c r="M7" i="10" s="1"/>
  <c r="N7" i="10" s="1"/>
  <c r="O7" i="10" s="1"/>
  <c r="P7" i="10" s="1"/>
  <c r="Q7" i="10" s="1"/>
  <c r="P6" i="10"/>
  <c r="Q6" i="10" s="1"/>
  <c r="O6" i="10"/>
  <c r="K6" i="10"/>
  <c r="L6" i="10"/>
  <c r="M6" i="10"/>
  <c r="N6" i="10"/>
  <c r="J6" i="10"/>
  <c r="F6" i="10"/>
  <c r="G6" i="10"/>
  <c r="H6" i="10"/>
  <c r="I6" i="10"/>
  <c r="E6" i="10"/>
  <c r="I30" i="13"/>
  <c r="H24" i="13"/>
  <c r="I33" i="13"/>
  <c r="I34" i="13"/>
  <c r="I35" i="13"/>
  <c r="H32" i="13"/>
  <c r="L49" i="2"/>
  <c r="M49" i="2"/>
  <c r="N49" i="2"/>
  <c r="O49" i="2"/>
  <c r="P49" i="2"/>
  <c r="Q49" i="2"/>
  <c r="R49" i="2"/>
  <c r="S49" i="2"/>
  <c r="T49" i="2"/>
  <c r="U49" i="2"/>
  <c r="V49" i="2"/>
  <c r="W49" i="2"/>
  <c r="X49" i="2"/>
  <c r="Y49" i="2"/>
  <c r="Z49" i="2"/>
  <c r="AA49" i="2"/>
  <c r="AB49" i="2"/>
  <c r="AC49" i="2"/>
  <c r="AD49" i="2"/>
  <c r="AE49" i="2"/>
  <c r="AF49" i="2"/>
  <c r="AG49" i="2"/>
  <c r="AH49" i="2"/>
  <c r="L29" i="2"/>
  <c r="M29" i="2"/>
  <c r="N29" i="2"/>
  <c r="O29" i="2"/>
  <c r="P29" i="2"/>
  <c r="Q29" i="2"/>
  <c r="R29" i="2"/>
  <c r="S29" i="2"/>
  <c r="T29" i="2"/>
  <c r="U29" i="2"/>
  <c r="V29" i="2"/>
  <c r="W29" i="2"/>
  <c r="X29" i="2"/>
  <c r="Y29" i="2"/>
  <c r="Z29" i="2"/>
  <c r="AA29" i="2"/>
  <c r="AB29" i="2"/>
  <c r="AC29" i="2"/>
  <c r="AD29" i="2"/>
  <c r="AE29" i="2"/>
  <c r="AF29" i="2"/>
  <c r="AG29" i="2"/>
  <c r="AH29" i="2"/>
  <c r="K29" i="2"/>
  <c r="L41" i="8"/>
  <c r="M41" i="8"/>
  <c r="N41" i="8"/>
  <c r="O41" i="8"/>
  <c r="P41" i="8"/>
  <c r="Q41" i="8"/>
  <c r="R41" i="8"/>
  <c r="S41" i="8"/>
  <c r="T41" i="8"/>
  <c r="U41" i="8"/>
  <c r="V41" i="8"/>
  <c r="W41" i="8"/>
  <c r="X41" i="8"/>
  <c r="Y41" i="8"/>
  <c r="Z41" i="8"/>
  <c r="AA41" i="8"/>
  <c r="AB41" i="8"/>
  <c r="AC41" i="8"/>
  <c r="AD41" i="8"/>
  <c r="AE41" i="8"/>
  <c r="AF41" i="8"/>
  <c r="AG41" i="8"/>
  <c r="AH41" i="8"/>
  <c r="L43" i="8"/>
  <c r="M43" i="8"/>
  <c r="N43" i="8"/>
  <c r="O43" i="8"/>
  <c r="P43" i="8"/>
  <c r="Q43" i="8"/>
  <c r="R43" i="8"/>
  <c r="S43" i="8"/>
  <c r="T43" i="8"/>
  <c r="U43" i="8"/>
  <c r="V43" i="8"/>
  <c r="W43" i="8"/>
  <c r="X43" i="8"/>
  <c r="Y43" i="8"/>
  <c r="Z43" i="8"/>
  <c r="AA43" i="8"/>
  <c r="AB43" i="8"/>
  <c r="AC43" i="8"/>
  <c r="AD43" i="8"/>
  <c r="AE43" i="8"/>
  <c r="AF43" i="8"/>
  <c r="AG43" i="8"/>
  <c r="AH43" i="8"/>
  <c r="L45" i="8"/>
  <c r="M45" i="8"/>
  <c r="K43" i="8"/>
  <c r="K41" i="8"/>
  <c r="AH44" i="8"/>
  <c r="AH42" i="8"/>
  <c r="AG44" i="8"/>
  <c r="AG42" i="8"/>
  <c r="AF44" i="8"/>
  <c r="AF42" i="8"/>
  <c r="AE44" i="8"/>
  <c r="AE42" i="8"/>
  <c r="AD44" i="8"/>
  <c r="AD42" i="8"/>
  <c r="AC44" i="8"/>
  <c r="AC45" i="8" s="1"/>
  <c r="AC42" i="8"/>
  <c r="AB44" i="8"/>
  <c r="AB42" i="8"/>
  <c r="AA44" i="8"/>
  <c r="AA42" i="8"/>
  <c r="W44" i="8"/>
  <c r="X44" i="8" s="1"/>
  <c r="Y44" i="8" s="1"/>
  <c r="Z44" i="8" s="1"/>
  <c r="W42" i="8"/>
  <c r="S44" i="8"/>
  <c r="S42" i="8"/>
  <c r="T42" i="8"/>
  <c r="O44" i="8"/>
  <c r="P44" i="8" s="1"/>
  <c r="Q44" i="8" s="1"/>
  <c r="R44" i="8" s="1"/>
  <c r="O42" i="8"/>
  <c r="K44" i="8"/>
  <c r="L44" i="8" s="1"/>
  <c r="M44" i="8" s="1"/>
  <c r="N44" i="8" s="1"/>
  <c r="K42" i="8"/>
  <c r="L42" i="8" s="1"/>
  <c r="M42" i="8" s="1"/>
  <c r="N42" i="8" s="1"/>
  <c r="K40" i="8"/>
  <c r="L40" i="8" s="1"/>
  <c r="M40" i="8" s="1"/>
  <c r="N40" i="8" s="1"/>
  <c r="O40" i="8" s="1"/>
  <c r="P40" i="8" s="1"/>
  <c r="Q40" i="8" s="1"/>
  <c r="R40" i="8" s="1"/>
  <c r="S40" i="8" s="1"/>
  <c r="T40" i="8" s="1"/>
  <c r="U40" i="8" s="1"/>
  <c r="V40" i="8" s="1"/>
  <c r="W40" i="8" s="1"/>
  <c r="X40" i="8" s="1"/>
  <c r="Y40" i="8" s="1"/>
  <c r="Z40" i="8" s="1"/>
  <c r="AA40" i="8" s="1"/>
  <c r="AB40" i="8" s="1"/>
  <c r="AC40" i="8" s="1"/>
  <c r="AD40" i="8" s="1"/>
  <c r="AE40" i="8" s="1"/>
  <c r="AF40" i="8" s="1"/>
  <c r="AG40" i="8" s="1"/>
  <c r="AH40" i="8" s="1"/>
  <c r="AI40" i="8" s="1"/>
  <c r="U42" i="8"/>
  <c r="V42" i="8" s="1"/>
  <c r="AG54" i="2"/>
  <c r="AG33" i="2"/>
  <c r="AH22" i="2"/>
  <c r="AH33" i="2" s="1"/>
  <c r="AH12" i="2"/>
  <c r="AI12" i="2" s="1"/>
  <c r="K10" i="8"/>
  <c r="L10" i="8" s="1"/>
  <c r="M10" i="8" s="1"/>
  <c r="N10" i="8" s="1"/>
  <c r="AB10" i="8"/>
  <c r="AC10" i="8"/>
  <c r="AD10" i="8"/>
  <c r="AE10" i="8"/>
  <c r="AF10" i="8"/>
  <c r="AG10" i="8"/>
  <c r="AH10" i="8"/>
  <c r="AA10" i="8"/>
  <c r="W10" i="8"/>
  <c r="X10" i="8" s="1"/>
  <c r="Y10" i="8" s="1"/>
  <c r="Z10" i="8" s="1"/>
  <c r="S10" i="8"/>
  <c r="T10" i="8" s="1"/>
  <c r="U10" i="8" s="1"/>
  <c r="V10" i="8" s="1"/>
  <c r="O10" i="8"/>
  <c r="P10" i="8" s="1"/>
  <c r="Q10" i="8" s="1"/>
  <c r="R10" i="8" s="1"/>
  <c r="L8" i="8"/>
  <c r="M8" i="8"/>
  <c r="N8" i="8"/>
  <c r="O8" i="8"/>
  <c r="P8" i="8"/>
  <c r="Q8" i="8"/>
  <c r="R8" i="8"/>
  <c r="S8" i="8"/>
  <c r="T8" i="8"/>
  <c r="U8" i="8"/>
  <c r="V8" i="8"/>
  <c r="W8" i="8"/>
  <c r="X8" i="8"/>
  <c r="Y8" i="8"/>
  <c r="Z8" i="8"/>
  <c r="AA8" i="8"/>
  <c r="AB8" i="8"/>
  <c r="AC8" i="8"/>
  <c r="AD8" i="8"/>
  <c r="AE8" i="8"/>
  <c r="AF8" i="8"/>
  <c r="AG8" i="8"/>
  <c r="AH8" i="8"/>
  <c r="K8" i="8"/>
  <c r="L50" i="2"/>
  <c r="M50" i="2"/>
  <c r="N50" i="2"/>
  <c r="O50" i="2"/>
  <c r="P50" i="2"/>
  <c r="Q50" i="2"/>
  <c r="R50" i="2"/>
  <c r="S50" i="2"/>
  <c r="T50" i="2"/>
  <c r="U50" i="2"/>
  <c r="V50" i="2"/>
  <c r="W50" i="2"/>
  <c r="X50" i="2"/>
  <c r="Y50" i="2"/>
  <c r="Z50" i="2"/>
  <c r="AA50" i="2"/>
  <c r="AB50" i="2"/>
  <c r="AC50" i="2"/>
  <c r="AD50" i="2"/>
  <c r="AE50" i="2"/>
  <c r="AF50" i="2"/>
  <c r="AG50" i="2"/>
  <c r="AH50" i="2"/>
  <c r="L51" i="2"/>
  <c r="M51" i="2"/>
  <c r="N51" i="2"/>
  <c r="O51" i="2"/>
  <c r="P51" i="2"/>
  <c r="Q51" i="2"/>
  <c r="R51" i="2"/>
  <c r="S51" i="2"/>
  <c r="T51" i="2"/>
  <c r="U51" i="2"/>
  <c r="V51" i="2"/>
  <c r="W51" i="2"/>
  <c r="X51" i="2"/>
  <c r="Y51" i="2"/>
  <c r="Z51" i="2"/>
  <c r="AA51" i="2"/>
  <c r="AB51" i="2"/>
  <c r="AC51" i="2"/>
  <c r="AD51" i="2"/>
  <c r="AE51" i="2"/>
  <c r="AF51" i="2"/>
  <c r="AG51" i="2"/>
  <c r="AH51" i="2"/>
  <c r="K51" i="2"/>
  <c r="K50" i="2"/>
  <c r="K49" i="2"/>
  <c r="L43" i="2"/>
  <c r="M43" i="2"/>
  <c r="N43" i="2"/>
  <c r="O43" i="2"/>
  <c r="P43" i="2"/>
  <c r="Q43" i="2"/>
  <c r="R43" i="2"/>
  <c r="S43" i="2"/>
  <c r="T43" i="2"/>
  <c r="U43" i="2"/>
  <c r="V43" i="2"/>
  <c r="W43" i="2"/>
  <c r="X43" i="2"/>
  <c r="Y43" i="2"/>
  <c r="Z43" i="2"/>
  <c r="AA43" i="2"/>
  <c r="AB43" i="2"/>
  <c r="AC43" i="2"/>
  <c r="AD43" i="2"/>
  <c r="AE43" i="2"/>
  <c r="AF43" i="2"/>
  <c r="AG43" i="2"/>
  <c r="AH43" i="2"/>
  <c r="L44" i="2"/>
  <c r="M44" i="2"/>
  <c r="N44" i="2"/>
  <c r="O44" i="2"/>
  <c r="P44" i="2"/>
  <c r="Q44" i="2"/>
  <c r="R44" i="2"/>
  <c r="S44" i="2"/>
  <c r="T44" i="2"/>
  <c r="U44" i="2"/>
  <c r="V44" i="2"/>
  <c r="W44" i="2"/>
  <c r="X44" i="2"/>
  <c r="Y44" i="2"/>
  <c r="Z44" i="2"/>
  <c r="AA44" i="2"/>
  <c r="AB44" i="2"/>
  <c r="AC44" i="2"/>
  <c r="AD44" i="2"/>
  <c r="AE44" i="2"/>
  <c r="AF44" i="2"/>
  <c r="AG44" i="2"/>
  <c r="AH44" i="2"/>
  <c r="L45" i="2"/>
  <c r="M45" i="2"/>
  <c r="N45" i="2"/>
  <c r="O45" i="2"/>
  <c r="P45" i="2"/>
  <c r="Q45" i="2"/>
  <c r="R45" i="2"/>
  <c r="S45" i="2"/>
  <c r="T45" i="2"/>
  <c r="U45" i="2"/>
  <c r="V45" i="2"/>
  <c r="W45" i="2"/>
  <c r="X45" i="2"/>
  <c r="Y45" i="2"/>
  <c r="Z45" i="2"/>
  <c r="AA45" i="2"/>
  <c r="AB45" i="2"/>
  <c r="AC45" i="2"/>
  <c r="AD45" i="2"/>
  <c r="AE45" i="2"/>
  <c r="AF45" i="2"/>
  <c r="AG45" i="2"/>
  <c r="AH45" i="2"/>
  <c r="K45" i="2"/>
  <c r="K44" i="2"/>
  <c r="K43" i="2"/>
  <c r="K19" i="2"/>
  <c r="O19" i="2"/>
  <c r="P19" i="2" s="1"/>
  <c r="S19" i="2"/>
  <c r="T19" i="2" s="1"/>
  <c r="U19" i="2" s="1"/>
  <c r="V19" i="2" s="1"/>
  <c r="W19" i="2"/>
  <c r="X19" i="2" s="1"/>
  <c r="Y19" i="2" s="1"/>
  <c r="Z19" i="2" s="1"/>
  <c r="AA19" i="2"/>
  <c r="AB19" i="2"/>
  <c r="AC19" i="2"/>
  <c r="AD19" i="2"/>
  <c r="AE19" i="2"/>
  <c r="AF19" i="2"/>
  <c r="AG19" i="2"/>
  <c r="AH19" i="2"/>
  <c r="K12" i="8"/>
  <c r="L12" i="8" s="1"/>
  <c r="M12" i="8" s="1"/>
  <c r="N12" i="8" s="1"/>
  <c r="O12" i="8" s="1"/>
  <c r="P12" i="8" s="1"/>
  <c r="Q12" i="8" s="1"/>
  <c r="R12" i="8" s="1"/>
  <c r="S12" i="8" s="1"/>
  <c r="T12" i="8" s="1"/>
  <c r="U12" i="8" s="1"/>
  <c r="V12" i="8" s="1"/>
  <c r="W12" i="8" s="1"/>
  <c r="X12" i="8" s="1"/>
  <c r="Y12" i="8" s="1"/>
  <c r="Z12" i="8" s="1"/>
  <c r="AA12" i="8" s="1"/>
  <c r="AB12" i="8" s="1"/>
  <c r="AC12" i="8" s="1"/>
  <c r="AD12" i="8" s="1"/>
  <c r="AE12" i="8" s="1"/>
  <c r="AF12" i="8" s="1"/>
  <c r="AH9" i="8"/>
  <c r="AG9" i="8"/>
  <c r="AF9" i="8"/>
  <c r="AE9" i="8"/>
  <c r="AD9" i="8"/>
  <c r="AC9" i="8"/>
  <c r="AB9" i="8"/>
  <c r="AA9" i="8"/>
  <c r="Z9" i="8"/>
  <c r="Y9" i="8"/>
  <c r="X9" i="8"/>
  <c r="W9" i="8"/>
  <c r="V9" i="8"/>
  <c r="U9" i="8"/>
  <c r="T9" i="8"/>
  <c r="S9" i="8"/>
  <c r="R9" i="8"/>
  <c r="Q9" i="8"/>
  <c r="P9" i="8"/>
  <c r="O9" i="8"/>
  <c r="N9" i="8"/>
  <c r="M9" i="8"/>
  <c r="L9" i="8"/>
  <c r="K9" i="8"/>
  <c r="K6" i="8"/>
  <c r="L6" i="8" s="1"/>
  <c r="M6" i="8" s="1"/>
  <c r="K28" i="2"/>
  <c r="L28" i="2" s="1"/>
  <c r="M28" i="2" s="1"/>
  <c r="N28" i="2" s="1"/>
  <c r="O28" i="2" s="1"/>
  <c r="P28" i="2" s="1"/>
  <c r="Q28" i="2" s="1"/>
  <c r="R28" i="2" s="1"/>
  <c r="S28" i="2" s="1"/>
  <c r="T28" i="2" s="1"/>
  <c r="U28" i="2" s="1"/>
  <c r="V28" i="2" s="1"/>
  <c r="W28" i="2" s="1"/>
  <c r="X28" i="2" s="1"/>
  <c r="Y28" i="2" s="1"/>
  <c r="Z28" i="2" s="1"/>
  <c r="AA28" i="2" s="1"/>
  <c r="AB28" i="2" s="1"/>
  <c r="AC28" i="2" s="1"/>
  <c r="AD28" i="2" s="1"/>
  <c r="AE28" i="2" s="1"/>
  <c r="AF28" i="2" s="1"/>
  <c r="AG28" i="2" s="1"/>
  <c r="AH28" i="2" s="1"/>
  <c r="AI28" i="2" s="1"/>
  <c r="AB31" i="2"/>
  <c r="AC31" i="2"/>
  <c r="AD31" i="2"/>
  <c r="AE31" i="2"/>
  <c r="AF31" i="2"/>
  <c r="AG31" i="2"/>
  <c r="AH31" i="2"/>
  <c r="AA31" i="2"/>
  <c r="W31" i="2"/>
  <c r="X31" i="2" s="1"/>
  <c r="Y31" i="2" s="1"/>
  <c r="Z31" i="2" s="1"/>
  <c r="S31" i="2"/>
  <c r="T31" i="2"/>
  <c r="U31" i="2" s="1"/>
  <c r="V31" i="2" s="1"/>
  <c r="O31" i="2"/>
  <c r="P31" i="2" s="1"/>
  <c r="Q31" i="2" s="1"/>
  <c r="R31" i="2" s="1"/>
  <c r="K31" i="2"/>
  <c r="L31" i="2" s="1"/>
  <c r="M31" i="2" s="1"/>
  <c r="N31" i="2" s="1"/>
  <c r="AH30" i="2"/>
  <c r="AG30" i="2"/>
  <c r="AF30" i="2"/>
  <c r="AE30" i="2"/>
  <c r="AD30" i="2"/>
  <c r="AC30" i="2"/>
  <c r="AB30" i="2"/>
  <c r="AA30" i="2"/>
  <c r="Z30" i="2"/>
  <c r="Y30" i="2"/>
  <c r="X30" i="2"/>
  <c r="W30" i="2"/>
  <c r="V30" i="2"/>
  <c r="U30" i="2"/>
  <c r="T30" i="2"/>
  <c r="S30" i="2"/>
  <c r="R30" i="2"/>
  <c r="Q30" i="2"/>
  <c r="P30" i="2"/>
  <c r="O30" i="2"/>
  <c r="N30" i="2"/>
  <c r="M30" i="2"/>
  <c r="L30" i="2"/>
  <c r="K30" i="2"/>
  <c r="Q19" i="2"/>
  <c r="R19" i="2" s="1"/>
  <c r="L19" i="2"/>
  <c r="M19" i="2" s="1"/>
  <c r="N19" i="2" s="1"/>
  <c r="AH10" i="2"/>
  <c r="AG10" i="2"/>
  <c r="AF10" i="2"/>
  <c r="AE10" i="2"/>
  <c r="AD10" i="2"/>
  <c r="AC10" i="2"/>
  <c r="AB10" i="2"/>
  <c r="AA10" i="2"/>
  <c r="W10" i="2"/>
  <c r="X10" i="2" s="1"/>
  <c r="Y10" i="2" s="1"/>
  <c r="Z10" i="2" s="1"/>
  <c r="S10" i="2"/>
  <c r="T10" i="2" s="1"/>
  <c r="U10" i="2" s="1"/>
  <c r="V10" i="2" s="1"/>
  <c r="O10" i="2"/>
  <c r="P10" i="2" s="1"/>
  <c r="Q10" i="2" s="1"/>
  <c r="R10" i="2" s="1"/>
  <c r="K10" i="2"/>
  <c r="L10" i="2" s="1"/>
  <c r="M10" i="2" s="1"/>
  <c r="N10" i="2" s="1"/>
  <c r="L8" i="2"/>
  <c r="M8" i="2"/>
  <c r="N8" i="2"/>
  <c r="O8" i="2"/>
  <c r="P8" i="2"/>
  <c r="Q8" i="2"/>
  <c r="R8" i="2"/>
  <c r="S8" i="2"/>
  <c r="T8" i="2"/>
  <c r="U8" i="2"/>
  <c r="V8" i="2"/>
  <c r="W8" i="2"/>
  <c r="X8" i="2"/>
  <c r="Y8" i="2"/>
  <c r="Z8" i="2"/>
  <c r="AA8" i="2"/>
  <c r="AB8" i="2"/>
  <c r="AC8" i="2"/>
  <c r="AD8" i="2"/>
  <c r="AE8" i="2"/>
  <c r="AF8" i="2"/>
  <c r="AG8" i="2"/>
  <c r="AH8" i="2"/>
  <c r="L9" i="2"/>
  <c r="M9" i="2"/>
  <c r="N9" i="2"/>
  <c r="O9" i="2"/>
  <c r="P9" i="2"/>
  <c r="Q9" i="2"/>
  <c r="R9" i="2"/>
  <c r="S9" i="2"/>
  <c r="T9" i="2"/>
  <c r="U9" i="2"/>
  <c r="V9" i="2"/>
  <c r="W9" i="2"/>
  <c r="X9" i="2"/>
  <c r="Y9" i="2"/>
  <c r="Z9" i="2"/>
  <c r="AA9" i="2"/>
  <c r="AB9" i="2"/>
  <c r="AC9" i="2"/>
  <c r="AD9" i="2"/>
  <c r="AE9" i="2"/>
  <c r="AF9" i="2"/>
  <c r="AG9" i="2"/>
  <c r="AH9" i="2"/>
  <c r="K9" i="2"/>
  <c r="K8" i="2"/>
  <c r="K6" i="2"/>
  <c r="K27" i="2" s="1"/>
  <c r="L27" i="2" s="1"/>
  <c r="T71" i="7"/>
  <c r="S71" i="7"/>
  <c r="R71" i="7"/>
  <c r="Q71" i="7"/>
  <c r="P71" i="7"/>
  <c r="O71" i="7"/>
  <c r="N71" i="7"/>
  <c r="M71" i="7"/>
  <c r="L71" i="7"/>
  <c r="K71" i="7"/>
  <c r="J71" i="7"/>
  <c r="I71" i="7"/>
  <c r="H71" i="7"/>
  <c r="G71" i="7"/>
  <c r="F71" i="7"/>
  <c r="E71" i="7"/>
  <c r="D71" i="7"/>
  <c r="C71" i="7"/>
  <c r="B71" i="7"/>
  <c r="L6" i="2"/>
  <c r="M6" i="2"/>
  <c r="N6" i="2" s="1"/>
  <c r="O6" i="2" s="1"/>
  <c r="P6" i="2" s="1"/>
  <c r="Q6" i="2" s="1"/>
  <c r="H16" i="13"/>
  <c r="AD45" i="8" l="1"/>
  <c r="AI22" i="2"/>
  <c r="AI33" i="2" s="1"/>
  <c r="K54" i="2"/>
  <c r="K7" i="8"/>
  <c r="L7" i="8" s="1"/>
  <c r="M7" i="8" s="1"/>
  <c r="N7" i="8" s="1"/>
  <c r="O7" i="8" s="1"/>
  <c r="P7" i="8" s="1"/>
  <c r="Q7" i="8" s="1"/>
  <c r="R7" i="8" s="1"/>
  <c r="S7" i="8" s="1"/>
  <c r="T7" i="8" s="1"/>
  <c r="U7" i="8" s="1"/>
  <c r="V7" i="8" s="1"/>
  <c r="W7" i="8" s="1"/>
  <c r="X7" i="8" s="1"/>
  <c r="Y7" i="8" s="1"/>
  <c r="Z7" i="8" s="1"/>
  <c r="AA7" i="8" s="1"/>
  <c r="AB7" i="8" s="1"/>
  <c r="AC7" i="8" s="1"/>
  <c r="AD7" i="8" s="1"/>
  <c r="AE7" i="8" s="1"/>
  <c r="AF7" i="8" s="1"/>
  <c r="AG7" i="8" s="1"/>
  <c r="AH7" i="8" s="1"/>
  <c r="AI7" i="8" s="1"/>
  <c r="K7" i="2"/>
  <c r="S45" i="8"/>
  <c r="AG45" i="8"/>
  <c r="E21" i="10"/>
  <c r="Z31" i="19"/>
  <c r="Z35" i="19"/>
  <c r="Z39" i="19"/>
  <c r="AC33" i="19"/>
  <c r="T39" i="19"/>
  <c r="T34" i="19"/>
  <c r="W39" i="19"/>
  <c r="W37" i="19"/>
  <c r="AC31" i="19"/>
  <c r="W38" i="19"/>
  <c r="Z32" i="19"/>
  <c r="Z36" i="19"/>
  <c r="Z40" i="19"/>
  <c r="T35" i="19"/>
  <c r="W40" i="19"/>
  <c r="W35" i="19"/>
  <c r="AC40" i="19"/>
  <c r="T40" i="19"/>
  <c r="AC39" i="19"/>
  <c r="T36" i="19"/>
  <c r="Z33" i="19"/>
  <c r="Z37" i="19"/>
  <c r="T31" i="19"/>
  <c r="W36" i="19"/>
  <c r="W31" i="19"/>
  <c r="AC36" i="19"/>
  <c r="T32" i="19"/>
  <c r="W33" i="19"/>
  <c r="T33" i="19"/>
  <c r="T37" i="19"/>
  <c r="Z34" i="19"/>
  <c r="Z38" i="19"/>
  <c r="W32" i="19"/>
  <c r="AC37" i="19"/>
  <c r="AC32" i="19"/>
  <c r="T38" i="19"/>
  <c r="AC34" i="19"/>
  <c r="AC38" i="19"/>
  <c r="AC35" i="19"/>
  <c r="W34" i="19"/>
  <c r="AI54" i="2"/>
  <c r="AI52" i="2" s="1"/>
  <c r="T25" i="19"/>
  <c r="AC20" i="19"/>
  <c r="L22" i="2"/>
  <c r="M22" i="2" s="1"/>
  <c r="W26" i="19"/>
  <c r="T23" i="19"/>
  <c r="T26" i="19"/>
  <c r="K34" i="2"/>
  <c r="P33" i="2"/>
  <c r="P54" i="2"/>
  <c r="P52" i="2" s="1"/>
  <c r="AH54" i="2"/>
  <c r="AH52" i="2" s="1"/>
  <c r="AB45" i="8"/>
  <c r="AF45" i="8"/>
  <c r="AE45" i="8"/>
  <c r="AG52" i="2"/>
  <c r="T44" i="8"/>
  <c r="U44" i="8" s="1"/>
  <c r="V44" i="8" s="1"/>
  <c r="V45" i="8" s="1"/>
  <c r="E8" i="10"/>
  <c r="F8" i="10" s="1"/>
  <c r="P12" i="2"/>
  <c r="Q12" i="2" s="1"/>
  <c r="F14" i="10"/>
  <c r="U45" i="8"/>
  <c r="K13" i="2"/>
  <c r="K47" i="2"/>
  <c r="K56" i="2" s="1"/>
  <c r="K52" i="2"/>
  <c r="AA45" i="8"/>
  <c r="AI45" i="8"/>
  <c r="M13" i="8"/>
  <c r="N6" i="8"/>
  <c r="N13" i="8" s="1"/>
  <c r="X42" i="8"/>
  <c r="W45" i="8"/>
  <c r="H20" i="10"/>
  <c r="R6" i="2"/>
  <c r="P42" i="8"/>
  <c r="O45" i="8"/>
  <c r="AH45" i="8"/>
  <c r="N45" i="8"/>
  <c r="M27" i="2"/>
  <c r="G8" i="10"/>
  <c r="H8" i="10" s="1"/>
  <c r="M42" i="2"/>
  <c r="K13" i="8"/>
  <c r="K45" i="8"/>
  <c r="L7" i="2"/>
  <c r="K18" i="2"/>
  <c r="K20" i="2" s="1"/>
  <c r="K23" i="2" s="1"/>
  <c r="L13" i="8"/>
  <c r="O19" i="10"/>
  <c r="L54" i="2"/>
  <c r="L52" i="2" s="1"/>
  <c r="F21" i="10"/>
  <c r="B24" i="19"/>
  <c r="S9" i="10"/>
  <c r="F17" i="10"/>
  <c r="E23" i="10"/>
  <c r="E24" i="10" s="1"/>
  <c r="Z20" i="19"/>
  <c r="Z24" i="19"/>
  <c r="W20" i="19"/>
  <c r="AC25" i="19"/>
  <c r="W23" i="19"/>
  <c r="AC22" i="19"/>
  <c r="T21" i="19"/>
  <c r="AC26" i="19"/>
  <c r="Z21" i="19"/>
  <c r="Z25" i="19"/>
  <c r="AC21" i="19"/>
  <c r="W19" i="19"/>
  <c r="AC24" i="19"/>
  <c r="W25" i="19"/>
  <c r="AC23" i="19"/>
  <c r="AC19" i="19"/>
  <c r="Z19" i="19"/>
  <c r="Z23" i="19"/>
  <c r="T19" i="19"/>
  <c r="W24" i="19"/>
  <c r="T22" i="19"/>
  <c r="T20" i="19"/>
  <c r="W22" i="19"/>
  <c r="T24" i="19"/>
  <c r="L33" i="2" l="1"/>
  <c r="L34" i="2" s="1"/>
  <c r="Q22" i="2"/>
  <c r="Q54" i="2" s="1"/>
  <c r="Q52" i="2" s="1"/>
  <c r="G14" i="10"/>
  <c r="F16" i="10"/>
  <c r="T45" i="8"/>
  <c r="I8" i="10"/>
  <c r="J8" i="10" s="1"/>
  <c r="B25" i="19"/>
  <c r="N22" i="2"/>
  <c r="M54" i="2"/>
  <c r="M52" i="2" s="1"/>
  <c r="M33" i="2"/>
  <c r="M34" i="2" s="1"/>
  <c r="N42" i="2"/>
  <c r="S6" i="2"/>
  <c r="Z43" i="19"/>
  <c r="G21" i="10"/>
  <c r="X45" i="8"/>
  <c r="Y42" i="8"/>
  <c r="AC43" i="19"/>
  <c r="W43" i="19"/>
  <c r="R12" i="2"/>
  <c r="R22" i="2"/>
  <c r="N27" i="2"/>
  <c r="O6" i="8"/>
  <c r="T43" i="19"/>
  <c r="G17" i="10"/>
  <c r="F23" i="10"/>
  <c r="F24" i="10" s="1"/>
  <c r="P19" i="10"/>
  <c r="L13" i="2"/>
  <c r="L18" i="2"/>
  <c r="L20" i="2" s="1"/>
  <c r="L23" i="2" s="1"/>
  <c r="M7" i="2"/>
  <c r="L47" i="2"/>
  <c r="L56" i="2" s="1"/>
  <c r="Q42" i="8"/>
  <c r="P45" i="8"/>
  <c r="I20" i="10"/>
  <c r="Q33" i="2" l="1"/>
  <c r="G16" i="10"/>
  <c r="H14" i="10"/>
  <c r="O27" i="2"/>
  <c r="O42" i="2"/>
  <c r="Q19" i="10"/>
  <c r="R54" i="2"/>
  <c r="R52" i="2" s="1"/>
  <c r="R33" i="2"/>
  <c r="M18" i="2"/>
  <c r="M20" i="2" s="1"/>
  <c r="M23" i="2" s="1"/>
  <c r="N7" i="2"/>
  <c r="M13" i="2"/>
  <c r="Q45" i="8"/>
  <c r="R42" i="8"/>
  <c r="R45" i="8" s="1"/>
  <c r="P6" i="8"/>
  <c r="O13" i="8"/>
  <c r="S12" i="2"/>
  <c r="S22" i="2"/>
  <c r="H21" i="10"/>
  <c r="T6" i="2"/>
  <c r="O22" i="2"/>
  <c r="N54" i="2"/>
  <c r="N52" i="2" s="1"/>
  <c r="N33" i="2"/>
  <c r="N34" i="2" s="1"/>
  <c r="J20" i="10"/>
  <c r="H17" i="10"/>
  <c r="G23" i="10"/>
  <c r="G24" i="10" s="1"/>
  <c r="Z42" i="8"/>
  <c r="Z45" i="8" s="1"/>
  <c r="Y45" i="8"/>
  <c r="M47" i="2"/>
  <c r="M56" i="2" s="1"/>
  <c r="B26" i="19"/>
  <c r="K8" i="10"/>
  <c r="I14" i="10" l="1"/>
  <c r="H16" i="10"/>
  <c r="AJ45" i="8"/>
  <c r="N47" i="2"/>
  <c r="N56" i="2" s="1"/>
  <c r="K20" i="10"/>
  <c r="O33" i="2"/>
  <c r="O34" i="2" s="1"/>
  <c r="O54" i="2"/>
  <c r="O52" i="2" s="1"/>
  <c r="I21" i="10"/>
  <c r="P13" i="8"/>
  <c r="Q6" i="8"/>
  <c r="P42" i="2"/>
  <c r="P27" i="2"/>
  <c r="AK45" i="8"/>
  <c r="L8" i="10"/>
  <c r="S33" i="2"/>
  <c r="S54" i="2"/>
  <c r="S52" i="2" s="1"/>
  <c r="B27" i="19"/>
  <c r="I17" i="10"/>
  <c r="H23" i="10"/>
  <c r="H24" i="10" s="1"/>
  <c r="U6" i="2"/>
  <c r="T12" i="2"/>
  <c r="T22" i="2"/>
  <c r="N18" i="2"/>
  <c r="N20" i="2" s="1"/>
  <c r="N23" i="2" s="1"/>
  <c r="N13" i="2"/>
  <c r="O7" i="2"/>
  <c r="O47" i="2" l="1"/>
  <c r="O56" i="2" s="1"/>
  <c r="I16" i="10"/>
  <c r="J14" i="10"/>
  <c r="J21" i="10"/>
  <c r="L20" i="10"/>
  <c r="V6" i="2"/>
  <c r="Q27" i="2"/>
  <c r="P34" i="2"/>
  <c r="R6" i="8"/>
  <c r="Q13" i="8"/>
  <c r="T54" i="2"/>
  <c r="T52" i="2" s="1"/>
  <c r="T33" i="2"/>
  <c r="M8" i="10"/>
  <c r="N8" i="10" s="1"/>
  <c r="O18" i="2"/>
  <c r="O20" i="2" s="1"/>
  <c r="O23" i="2" s="1"/>
  <c r="P7" i="2"/>
  <c r="O13" i="2"/>
  <c r="U12" i="2"/>
  <c r="U22" i="2"/>
  <c r="J17" i="10"/>
  <c r="I23" i="10"/>
  <c r="I24" i="10" s="1"/>
  <c r="B28" i="19"/>
  <c r="E98" i="19" s="1"/>
  <c r="E53" i="19"/>
  <c r="E67" i="19"/>
  <c r="H83" i="19"/>
  <c r="E69" i="19"/>
  <c r="H104" i="19"/>
  <c r="H68" i="19"/>
  <c r="E50" i="19"/>
  <c r="H86" i="19"/>
  <c r="E89" i="19"/>
  <c r="H58" i="19"/>
  <c r="E102" i="19"/>
  <c r="H88" i="19"/>
  <c r="K82" i="19"/>
  <c r="E73" i="19"/>
  <c r="H61" i="19"/>
  <c r="K100" i="19"/>
  <c r="E93" i="19"/>
  <c r="E60" i="19"/>
  <c r="E56" i="19"/>
  <c r="H64" i="19"/>
  <c r="Q42" i="2"/>
  <c r="P47" i="2"/>
  <c r="P56" i="2" s="1"/>
  <c r="J16" i="10" l="1"/>
  <c r="K14" i="10"/>
  <c r="O8" i="10"/>
  <c r="P8" i="10" s="1"/>
  <c r="Q8" i="10" s="1"/>
  <c r="S8" i="10"/>
  <c r="S10" i="10" s="1"/>
  <c r="C18" i="13" s="1"/>
  <c r="H18" i="13" s="1"/>
  <c r="R42" i="2"/>
  <c r="Q47" i="2"/>
  <c r="Q56" i="2" s="1"/>
  <c r="R27" i="2"/>
  <c r="Q34" i="2"/>
  <c r="J23" i="10"/>
  <c r="K17" i="10"/>
  <c r="P18" i="2"/>
  <c r="P20" i="2" s="1"/>
  <c r="P23" i="2" s="1"/>
  <c r="P13" i="2"/>
  <c r="Q7" i="2"/>
  <c r="M20" i="10"/>
  <c r="U54" i="2"/>
  <c r="U52" i="2" s="1"/>
  <c r="U33" i="2"/>
  <c r="S6" i="8"/>
  <c r="R13" i="8"/>
  <c r="N95" i="19"/>
  <c r="Q94" i="19"/>
  <c r="T90" i="19"/>
  <c r="E99" i="19"/>
  <c r="N71" i="19"/>
  <c r="K92" i="19"/>
  <c r="Q89" i="19"/>
  <c r="T97" i="19"/>
  <c r="W55" i="19"/>
  <c r="Q69" i="19"/>
  <c r="W81" i="19"/>
  <c r="AC88" i="19"/>
  <c r="AF87" i="19"/>
  <c r="H54" i="19"/>
  <c r="T63" i="19"/>
  <c r="Z87" i="19"/>
  <c r="AC52" i="19"/>
  <c r="AI71" i="19"/>
  <c r="Q63" i="19"/>
  <c r="Z60" i="19"/>
  <c r="AC87" i="19"/>
  <c r="K60" i="19"/>
  <c r="N99" i="19"/>
  <c r="Q83" i="19"/>
  <c r="W56" i="19"/>
  <c r="E68" i="19"/>
  <c r="H52" i="19"/>
  <c r="N86" i="19"/>
  <c r="Q104" i="19"/>
  <c r="T82" i="19"/>
  <c r="Z69" i="19"/>
  <c r="T62" i="19"/>
  <c r="Z64" i="19"/>
  <c r="AC85" i="19"/>
  <c r="AI91" i="19"/>
  <c r="N57" i="19"/>
  <c r="W96" i="19"/>
  <c r="Z83" i="19"/>
  <c r="AF67" i="19"/>
  <c r="H60" i="19"/>
  <c r="T72" i="19"/>
  <c r="Z55" i="19"/>
  <c r="E72" i="19"/>
  <c r="K53" i="19"/>
  <c r="Q92" i="19"/>
  <c r="T88" i="19"/>
  <c r="W51" i="19"/>
  <c r="K87" i="19"/>
  <c r="K73" i="19"/>
  <c r="N81" i="19"/>
  <c r="T94" i="19"/>
  <c r="W71" i="19"/>
  <c r="N52" i="19"/>
  <c r="W91" i="19"/>
  <c r="AC86" i="19"/>
  <c r="AF103" i="19"/>
  <c r="AI81" i="19"/>
  <c r="Q50" i="19"/>
  <c r="Z103" i="19"/>
  <c r="AC68" i="19"/>
  <c r="AI69" i="19"/>
  <c r="Q59" i="19"/>
  <c r="W85" i="19"/>
  <c r="AC103" i="19"/>
  <c r="K50" i="19"/>
  <c r="Q98" i="19"/>
  <c r="T87" i="19"/>
  <c r="W62" i="19"/>
  <c r="K88" i="19"/>
  <c r="K69" i="19"/>
  <c r="N100" i="19"/>
  <c r="T100" i="19"/>
  <c r="W59" i="19"/>
  <c r="N58" i="19"/>
  <c r="W103" i="19"/>
  <c r="Z52" i="19"/>
  <c r="AF91" i="19"/>
  <c r="AI98" i="19"/>
  <c r="Q70" i="19"/>
  <c r="Z98" i="19"/>
  <c r="AC56" i="19"/>
  <c r="AF55" i="19"/>
  <c r="N68" i="19"/>
  <c r="W97" i="19"/>
  <c r="AC89" i="19"/>
  <c r="AI92" i="19"/>
  <c r="Z89" i="19"/>
  <c r="AL87" i="19"/>
  <c r="AL82" i="19"/>
  <c r="AC61" i="19"/>
  <c r="Z86" i="19"/>
  <c r="AL64" i="19"/>
  <c r="AL85" i="19"/>
  <c r="N67" i="19"/>
  <c r="H102" i="19"/>
  <c r="H95" i="19"/>
  <c r="E70" i="19"/>
  <c r="K91" i="19"/>
  <c r="AF88" i="19"/>
  <c r="AI95" i="19"/>
  <c r="AF62" i="19"/>
  <c r="AL88" i="19"/>
  <c r="Q60" i="19"/>
  <c r="AI104" i="19"/>
  <c r="AF60" i="19"/>
  <c r="AL65" i="19"/>
  <c r="Q65" i="19"/>
  <c r="AI51" i="19"/>
  <c r="K85" i="19"/>
  <c r="H87" i="19"/>
  <c r="E101" i="19"/>
  <c r="H72" i="19"/>
  <c r="AF102" i="19"/>
  <c r="Q58" i="19"/>
  <c r="AI50" i="19"/>
  <c r="AL101" i="19"/>
  <c r="W94" i="19"/>
  <c r="N65" i="19"/>
  <c r="AI66" i="19"/>
  <c r="AL60" i="19"/>
  <c r="AL81" i="19"/>
  <c r="H101" i="19"/>
  <c r="H55" i="19"/>
  <c r="K96" i="19"/>
  <c r="E92" i="19"/>
  <c r="AF90" i="19"/>
  <c r="AI97" i="19"/>
  <c r="AI62" i="19"/>
  <c r="AL98" i="19"/>
  <c r="T71" i="19"/>
  <c r="AI54" i="19"/>
  <c r="AF50" i="19"/>
  <c r="AL57" i="19"/>
  <c r="AC59" i="19"/>
  <c r="T58" i="19"/>
  <c r="E54" i="19"/>
  <c r="H93" i="19"/>
  <c r="E84" i="19"/>
  <c r="AI52" i="19"/>
  <c r="Z97" i="19"/>
  <c r="E96" i="19"/>
  <c r="E86" i="19"/>
  <c r="E87" i="19"/>
  <c r="K86" i="19"/>
  <c r="K62" i="19"/>
  <c r="E100" i="19"/>
  <c r="N89" i="19"/>
  <c r="Q87" i="19"/>
  <c r="W64" i="19"/>
  <c r="E91" i="19"/>
  <c r="E104" i="19"/>
  <c r="N94" i="19"/>
  <c r="Q93" i="19"/>
  <c r="T85" i="19"/>
  <c r="Z59" i="19"/>
  <c r="Q52" i="19"/>
  <c r="Z72" i="19"/>
  <c r="AC92" i="19"/>
  <c r="AI99" i="19"/>
  <c r="N54" i="19"/>
  <c r="T50" i="19"/>
  <c r="Z84" i="19"/>
  <c r="AF57" i="19"/>
  <c r="AI64" i="19"/>
  <c r="T70" i="19"/>
  <c r="Z63" i="19"/>
  <c r="AC91" i="19"/>
  <c r="K70" i="19"/>
  <c r="N84" i="19"/>
  <c r="T103" i="19"/>
  <c r="W60" i="19"/>
  <c r="K83" i="19"/>
  <c r="H99" i="19"/>
  <c r="N98" i="19"/>
  <c r="Q81" i="19"/>
  <c r="W57" i="19"/>
  <c r="K89" i="19"/>
  <c r="T59" i="19"/>
  <c r="Z57" i="19"/>
  <c r="AF89" i="19"/>
  <c r="AI96" i="19"/>
  <c r="Q66" i="19"/>
  <c r="W86" i="19"/>
  <c r="AC72" i="19"/>
  <c r="AF71" i="19"/>
  <c r="N72" i="19"/>
  <c r="T53" i="19"/>
  <c r="Z51" i="19"/>
  <c r="E83" i="19"/>
  <c r="N85" i="19"/>
  <c r="Q103" i="19"/>
  <c r="T52" i="19"/>
  <c r="H50" i="19"/>
  <c r="N55" i="19"/>
  <c r="K58" i="19"/>
  <c r="Q91" i="19"/>
  <c r="T99" i="19"/>
  <c r="W53" i="19"/>
  <c r="Q55" i="19"/>
  <c r="Z90" i="19"/>
  <c r="AC90" i="19"/>
  <c r="AF82" i="19"/>
  <c r="K102" i="19"/>
  <c r="T68" i="19"/>
  <c r="Z96" i="19"/>
  <c r="AF73" i="19"/>
  <c r="AI55" i="19"/>
  <c r="Q56" i="19"/>
  <c r="Z61" i="19"/>
  <c r="H67" i="19"/>
  <c r="N103" i="19"/>
  <c r="Q102" i="19"/>
  <c r="T98" i="19"/>
  <c r="Z68" i="19"/>
  <c r="K84" i="19"/>
  <c r="K59" i="19"/>
  <c r="Q97" i="19"/>
  <c r="T86" i="19"/>
  <c r="W63" i="19"/>
  <c r="Q67" i="19"/>
  <c r="W93" i="19"/>
  <c r="AC96" i="19"/>
  <c r="AF64" i="19"/>
  <c r="AI82" i="19"/>
  <c r="T61" i="19"/>
  <c r="Z95" i="19"/>
  <c r="AC60" i="19"/>
  <c r="AI61" i="19"/>
  <c r="Q61" i="19"/>
  <c r="W82" i="19"/>
  <c r="AF104" i="19"/>
  <c r="AI103" i="19"/>
  <c r="AF58" i="19"/>
  <c r="AL89" i="19"/>
  <c r="N51" i="19"/>
  <c r="AI68" i="19"/>
  <c r="AC54" i="19"/>
  <c r="AL66" i="19"/>
  <c r="AL50" i="19"/>
  <c r="AI70" i="19"/>
  <c r="E61" i="19"/>
  <c r="H103" i="19"/>
  <c r="E94" i="19"/>
  <c r="H62" i="19"/>
  <c r="AF92" i="19"/>
  <c r="N69" i="19"/>
  <c r="AI58" i="19"/>
  <c r="AL90" i="19"/>
  <c r="W73" i="19"/>
  <c r="K103" i="19"/>
  <c r="AI65" i="19"/>
  <c r="AL67" i="19"/>
  <c r="AI90" i="19"/>
  <c r="H97" i="19"/>
  <c r="H57" i="19"/>
  <c r="E65" i="19"/>
  <c r="H89" i="19"/>
  <c r="AC104" i="19"/>
  <c r="AF83" i="19"/>
  <c r="W92" i="19"/>
  <c r="AL95" i="19"/>
  <c r="AL54" i="19"/>
  <c r="AC71" i="19"/>
  <c r="W83" i="19"/>
  <c r="AL73" i="19"/>
  <c r="AL62" i="19"/>
  <c r="AC55" i="19"/>
  <c r="K98" i="19"/>
  <c r="E88" i="19"/>
  <c r="H53" i="19"/>
  <c r="E66" i="19"/>
  <c r="AF94" i="19"/>
  <c r="Q54" i="19"/>
  <c r="AL103" i="19"/>
  <c r="AL100" i="19"/>
  <c r="Z91" i="19"/>
  <c r="Q62" i="19"/>
  <c r="AL59" i="19"/>
  <c r="H81" i="19"/>
  <c r="E62" i="19"/>
  <c r="AI57" i="19"/>
  <c r="H69" i="19"/>
  <c r="H100" i="19"/>
  <c r="K52" i="19"/>
  <c r="N62" i="19"/>
  <c r="T93" i="19"/>
  <c r="W68" i="19"/>
  <c r="K95" i="19"/>
  <c r="H70" i="19"/>
  <c r="N88" i="19"/>
  <c r="Q85" i="19"/>
  <c r="W65" i="19"/>
  <c r="K104" i="19"/>
  <c r="T57" i="19"/>
  <c r="Z65" i="19"/>
  <c r="AF97" i="19"/>
  <c r="AI73" i="19"/>
  <c r="N50" i="19"/>
  <c r="W102" i="19"/>
  <c r="AC62" i="19"/>
  <c r="AF61" i="19"/>
  <c r="K61" i="19"/>
  <c r="T67" i="19"/>
  <c r="Z54" i="19"/>
  <c r="AF96" i="19"/>
  <c r="K56" i="19"/>
  <c r="Q100" i="19"/>
  <c r="T96" i="19"/>
  <c r="W50" i="19"/>
  <c r="K94" i="19"/>
  <c r="K68" i="19"/>
  <c r="N82" i="19"/>
  <c r="T102" i="19"/>
  <c r="W61" i="19"/>
  <c r="N93" i="19"/>
  <c r="W89" i="19"/>
  <c r="AC63" i="19"/>
  <c r="AF93" i="19"/>
  <c r="AI85" i="19"/>
  <c r="Q88" i="19"/>
  <c r="Z93" i="19"/>
  <c r="AC58" i="19"/>
  <c r="AF52" i="19"/>
  <c r="N53" i="19"/>
  <c r="W101" i="19"/>
  <c r="AC93" i="19"/>
  <c r="K54" i="19"/>
  <c r="N91" i="19"/>
  <c r="Q84" i="19"/>
  <c r="W66" i="19"/>
  <c r="K93" i="19"/>
  <c r="H73" i="19"/>
  <c r="N104" i="19"/>
  <c r="Q96" i="19"/>
  <c r="T81" i="19"/>
  <c r="E55" i="19"/>
  <c r="T64" i="19"/>
  <c r="Z56" i="19"/>
  <c r="AC81" i="19"/>
  <c r="AI101" i="19"/>
  <c r="N59" i="19"/>
  <c r="W98" i="19"/>
  <c r="AC73" i="19"/>
  <c r="AF59" i="19"/>
  <c r="E58" i="19"/>
  <c r="T56" i="19"/>
  <c r="Z66" i="19"/>
  <c r="E90" i="19"/>
  <c r="N97" i="19"/>
  <c r="Q95" i="19"/>
  <c r="W72" i="19"/>
  <c r="E51" i="19"/>
  <c r="N73" i="19"/>
  <c r="N102" i="19"/>
  <c r="Q101" i="19"/>
  <c r="T91" i="19"/>
  <c r="Z67" i="19"/>
  <c r="Q64" i="19"/>
  <c r="Z62" i="19"/>
  <c r="AC69" i="19"/>
  <c r="AF81" i="19"/>
  <c r="K90" i="19"/>
  <c r="T54" i="19"/>
  <c r="Z88" i="19"/>
  <c r="AF65" i="19"/>
  <c r="AI72" i="19"/>
  <c r="Q53" i="19"/>
  <c r="Z71" i="19"/>
  <c r="AF100" i="19"/>
  <c r="AI89" i="19"/>
  <c r="AI56" i="19"/>
  <c r="AL91" i="19"/>
  <c r="T51" i="19"/>
  <c r="AI53" i="19"/>
  <c r="AI60" i="19"/>
  <c r="AL68" i="19"/>
  <c r="AF56" i="19"/>
  <c r="AF70" i="19"/>
  <c r="E59" i="19"/>
  <c r="H96" i="19"/>
  <c r="K71" i="19"/>
  <c r="E64" i="19"/>
  <c r="AF84" i="19"/>
  <c r="T60" i="19"/>
  <c r="AL102" i="19"/>
  <c r="AL92" i="19"/>
  <c r="Z85" i="19"/>
  <c r="W88" i="19"/>
  <c r="AL72" i="19"/>
  <c r="AL69" i="19"/>
  <c r="AI83" i="19"/>
  <c r="E95" i="19"/>
  <c r="E52" i="19"/>
  <c r="H66" i="19"/>
  <c r="H85" i="19"/>
  <c r="AC83" i="19"/>
  <c r="AI94" i="19"/>
  <c r="AC100" i="19"/>
  <c r="AL97" i="19"/>
  <c r="K99" i="19"/>
  <c r="AF72" i="19"/>
  <c r="AC94" i="19"/>
  <c r="AL56" i="19"/>
  <c r="AL51" i="19"/>
  <c r="Z81" i="19"/>
  <c r="H84" i="19"/>
  <c r="K64" i="19"/>
  <c r="E97" i="19"/>
  <c r="AC95" i="19"/>
  <c r="AI100" i="19"/>
  <c r="Z102" i="19"/>
  <c r="AL94" i="19"/>
  <c r="AL84" i="19"/>
  <c r="AC57" i="19"/>
  <c r="Z100" i="19"/>
  <c r="AL71" i="19"/>
  <c r="AL61" i="19"/>
  <c r="H94" i="19"/>
  <c r="H51" i="19"/>
  <c r="K63" i="19"/>
  <c r="Q90" i="19"/>
  <c r="T104" i="19"/>
  <c r="W54" i="19"/>
  <c r="K81" i="19"/>
  <c r="K66" i="19"/>
  <c r="N92" i="19"/>
  <c r="T92" i="19"/>
  <c r="W69" i="19"/>
  <c r="N60" i="19"/>
  <c r="W87" i="19"/>
  <c r="AC102" i="19"/>
  <c r="AF101" i="19"/>
  <c r="AI59" i="19"/>
  <c r="Q73" i="19"/>
  <c r="Z70" i="19"/>
  <c r="AC66" i="19"/>
  <c r="AF53" i="19"/>
  <c r="N70" i="19"/>
  <c r="W99" i="19"/>
  <c r="AC101" i="19"/>
  <c r="H63" i="19"/>
  <c r="N87" i="19"/>
  <c r="Q86" i="19"/>
  <c r="T84" i="19"/>
  <c r="H71" i="19"/>
  <c r="N63" i="19"/>
  <c r="K72" i="19"/>
  <c r="Q99" i="19"/>
  <c r="T89" i="19"/>
  <c r="W52" i="19"/>
  <c r="Q71" i="19"/>
  <c r="Z99" i="19"/>
  <c r="AC98" i="19"/>
  <c r="AF85" i="19"/>
  <c r="E81" i="19"/>
  <c r="T66" i="19"/>
  <c r="Z104" i="19"/>
  <c r="AC84" i="19"/>
  <c r="AI63" i="19"/>
  <c r="Q72" i="19"/>
  <c r="Z101" i="19"/>
  <c r="AC97" i="19"/>
  <c r="K57" i="19"/>
  <c r="N83" i="19"/>
  <c r="T95" i="19"/>
  <c r="W70" i="19"/>
  <c r="K101" i="19"/>
  <c r="K65" i="19"/>
  <c r="N90" i="19"/>
  <c r="Q82" i="19"/>
  <c r="W67" i="19"/>
  <c r="N56" i="19"/>
  <c r="T83" i="19"/>
  <c r="Z53" i="19"/>
  <c r="AF99" i="19"/>
  <c r="AI88" i="19"/>
  <c r="Q68" i="19"/>
  <c r="W84" i="19"/>
  <c r="AC64" i="19"/>
  <c r="AF63" i="19"/>
  <c r="N66" i="19"/>
  <c r="W95" i="19"/>
  <c r="Z50" i="19"/>
  <c r="K55" i="19"/>
  <c r="N101" i="19"/>
  <c r="T101" i="19"/>
  <c r="W58" i="19"/>
  <c r="K51" i="19"/>
  <c r="H56" i="19"/>
  <c r="N96" i="19"/>
  <c r="Q57" i="19"/>
  <c r="W104" i="19"/>
  <c r="K67" i="19"/>
  <c r="T73" i="19"/>
  <c r="Z73" i="19"/>
  <c r="AC82" i="19"/>
  <c r="AI93" i="19"/>
  <c r="N61" i="19"/>
  <c r="W100" i="19"/>
  <c r="AC70" i="19"/>
  <c r="AF69" i="19"/>
  <c r="K97" i="19"/>
  <c r="T65" i="19"/>
  <c r="Z58" i="19"/>
  <c r="AF86" i="19"/>
  <c r="T69" i="19"/>
  <c r="AL104" i="19"/>
  <c r="AL93" i="19"/>
  <c r="Z94" i="19"/>
  <c r="T55" i="19"/>
  <c r="AI84" i="19"/>
  <c r="AL70" i="19"/>
  <c r="AC50" i="19"/>
  <c r="E103" i="19"/>
  <c r="E63" i="19"/>
  <c r="E71" i="19"/>
  <c r="H92" i="19"/>
  <c r="AC99" i="19"/>
  <c r="AI102" i="19"/>
  <c r="AC65" i="19"/>
  <c r="AL86" i="19"/>
  <c r="AL83" i="19"/>
  <c r="AF68" i="19"/>
  <c r="Z82" i="19"/>
  <c r="AL63" i="19"/>
  <c r="AL53" i="19"/>
  <c r="W90" i="19"/>
  <c r="E82" i="19"/>
  <c r="H98" i="19"/>
  <c r="H90" i="19"/>
  <c r="H65" i="19"/>
  <c r="AF98" i="19"/>
  <c r="AI87" i="19"/>
  <c r="AF54" i="19"/>
  <c r="AL99" i="19"/>
  <c r="Q51" i="19"/>
  <c r="AI67" i="19"/>
  <c r="AF95" i="19"/>
  <c r="AL58" i="19"/>
  <c r="Z92" i="19"/>
  <c r="H59" i="19"/>
  <c r="E57" i="19"/>
  <c r="H82" i="19"/>
  <c r="H91" i="19"/>
  <c r="AC53" i="19"/>
  <c r="AI86" i="19"/>
  <c r="AC51" i="19"/>
  <c r="AL96" i="19"/>
  <c r="N64" i="19"/>
  <c r="AF51" i="19"/>
  <c r="AC67" i="19"/>
  <c r="AL55" i="19"/>
  <c r="AL52" i="19"/>
  <c r="AF66" i="19"/>
  <c r="E85" i="19"/>
  <c r="V12" i="2"/>
  <c r="V22" i="2"/>
  <c r="W6" i="2"/>
  <c r="K21" i="10"/>
  <c r="J24" i="10"/>
  <c r="B85" i="19" l="1"/>
  <c r="B71" i="19"/>
  <c r="B73" i="19"/>
  <c r="B102" i="19"/>
  <c r="B69" i="19"/>
  <c r="B53" i="19"/>
  <c r="B67" i="19"/>
  <c r="K16" i="10"/>
  <c r="L14" i="10"/>
  <c r="B60" i="19"/>
  <c r="B57" i="19"/>
  <c r="B103" i="19"/>
  <c r="B98" i="19"/>
  <c r="B56" i="19"/>
  <c r="B89" i="19"/>
  <c r="B50" i="19"/>
  <c r="B93" i="19"/>
  <c r="B82" i="19"/>
  <c r="K105" i="19"/>
  <c r="B97" i="19"/>
  <c r="B95" i="19"/>
  <c r="B51" i="19"/>
  <c r="B90" i="19"/>
  <c r="B55" i="19"/>
  <c r="B62" i="19"/>
  <c r="B65" i="19"/>
  <c r="B54" i="19"/>
  <c r="AF74" i="19"/>
  <c r="B99" i="19"/>
  <c r="N20" i="10"/>
  <c r="V54" i="2"/>
  <c r="V52" i="2" s="1"/>
  <c r="V33" i="2"/>
  <c r="L21" i="10"/>
  <c r="W12" i="2"/>
  <c r="W22" i="2"/>
  <c r="B63" i="19"/>
  <c r="Z74" i="19"/>
  <c r="E105" i="19"/>
  <c r="B81" i="19"/>
  <c r="B59" i="19"/>
  <c r="AC105" i="19"/>
  <c r="T105" i="19"/>
  <c r="H105" i="19"/>
  <c r="B66" i="19"/>
  <c r="B94" i="19"/>
  <c r="AL74" i="19"/>
  <c r="Q105" i="19"/>
  <c r="B104" i="19"/>
  <c r="B87" i="19"/>
  <c r="AI74" i="19"/>
  <c r="B101" i="19"/>
  <c r="B72" i="19"/>
  <c r="W105" i="19"/>
  <c r="E74" i="19"/>
  <c r="T6" i="8"/>
  <c r="S13" i="8"/>
  <c r="L17" i="10"/>
  <c r="K23" i="10"/>
  <c r="K24" i="10" s="1"/>
  <c r="B64" i="19"/>
  <c r="N74" i="19"/>
  <c r="B91" i="19"/>
  <c r="B100" i="19"/>
  <c r="B86" i="19"/>
  <c r="B84" i="19"/>
  <c r="Q74" i="19"/>
  <c r="N105" i="19"/>
  <c r="B68" i="19"/>
  <c r="Q18" i="2"/>
  <c r="Q20" i="2" s="1"/>
  <c r="Q23" i="2" s="1"/>
  <c r="R7" i="2"/>
  <c r="Q13" i="2"/>
  <c r="X6" i="2"/>
  <c r="AC74" i="19"/>
  <c r="Z105" i="19"/>
  <c r="B52" i="19"/>
  <c r="AF105" i="19"/>
  <c r="B58" i="19"/>
  <c r="W74" i="19"/>
  <c r="B88" i="19"/>
  <c r="B61" i="19"/>
  <c r="H74" i="19"/>
  <c r="B83" i="19"/>
  <c r="T74" i="19"/>
  <c r="B96" i="19"/>
  <c r="B92" i="19"/>
  <c r="AL105" i="19"/>
  <c r="B70" i="19"/>
  <c r="K74" i="19"/>
  <c r="AI105" i="19"/>
  <c r="S27" i="2"/>
  <c r="R34" i="2"/>
  <c r="S42" i="2"/>
  <c r="R47" i="2"/>
  <c r="R56" i="2" s="1"/>
  <c r="B74" i="19" l="1"/>
  <c r="C8" i="19" s="1"/>
  <c r="L16" i="10"/>
  <c r="M14" i="10"/>
  <c r="T42" i="2"/>
  <c r="S47" i="2"/>
  <c r="S56" i="2" s="1"/>
  <c r="R18" i="2"/>
  <c r="R20" i="2" s="1"/>
  <c r="R23" i="2" s="1"/>
  <c r="S7" i="2"/>
  <c r="R13" i="2"/>
  <c r="M17" i="10"/>
  <c r="L23" i="10"/>
  <c r="L24" i="10" s="1"/>
  <c r="O20" i="10"/>
  <c r="Y6" i="2"/>
  <c r="M21" i="10"/>
  <c r="T27" i="2"/>
  <c r="S34" i="2"/>
  <c r="T13" i="8"/>
  <c r="U6" i="8"/>
  <c r="B105" i="19"/>
  <c r="C9" i="19" s="1"/>
  <c r="C11" i="19" s="1"/>
  <c r="C13" i="13" s="1"/>
  <c r="H13" i="13" s="1"/>
  <c r="W33" i="2"/>
  <c r="W54" i="2"/>
  <c r="W52" i="2" s="1"/>
  <c r="X12" i="2"/>
  <c r="X22" i="2"/>
  <c r="M16" i="10" l="1"/>
  <c r="N14" i="10"/>
  <c r="Y12" i="2"/>
  <c r="Y22" i="2"/>
  <c r="V6" i="8"/>
  <c r="U13" i="8"/>
  <c r="U42" i="2"/>
  <c r="T47" i="2"/>
  <c r="T56" i="2" s="1"/>
  <c r="N21" i="10"/>
  <c r="P20" i="10"/>
  <c r="S18" i="2"/>
  <c r="S20" i="2" s="1"/>
  <c r="S23" i="2" s="1"/>
  <c r="T7" i="2"/>
  <c r="S13" i="2"/>
  <c r="X33" i="2"/>
  <c r="X54" i="2"/>
  <c r="X52" i="2" s="1"/>
  <c r="U27" i="2"/>
  <c r="T34" i="2"/>
  <c r="Z6" i="2"/>
  <c r="N17" i="10"/>
  <c r="M23" i="10"/>
  <c r="M24" i="10" s="1"/>
  <c r="N16" i="10" l="1"/>
  <c r="O14" i="10"/>
  <c r="N23" i="10"/>
  <c r="N24" i="10" s="1"/>
  <c r="O17" i="10"/>
  <c r="V27" i="2"/>
  <c r="U34" i="2"/>
  <c r="T18" i="2"/>
  <c r="T20" i="2" s="1"/>
  <c r="T23" i="2" s="1"/>
  <c r="U7" i="2"/>
  <c r="T13" i="2"/>
  <c r="Z12" i="2"/>
  <c r="Z22" i="2"/>
  <c r="AA6" i="2"/>
  <c r="O21" i="10"/>
  <c r="W6" i="8"/>
  <c r="V13" i="8"/>
  <c r="Q20" i="10"/>
  <c r="V42" i="2"/>
  <c r="U47" i="2"/>
  <c r="U56" i="2" s="1"/>
  <c r="Y54" i="2"/>
  <c r="Y52" i="2" s="1"/>
  <c r="Y33" i="2"/>
  <c r="P14" i="10" l="1"/>
  <c r="O16" i="10"/>
  <c r="AB6" i="2"/>
  <c r="O23" i="10"/>
  <c r="P17" i="10"/>
  <c r="W42" i="2"/>
  <c r="V47" i="2"/>
  <c r="V56" i="2" s="1"/>
  <c r="W13" i="8"/>
  <c r="X6" i="8"/>
  <c r="Z54" i="2"/>
  <c r="Z52" i="2" s="1"/>
  <c r="Z33" i="2"/>
  <c r="U18" i="2"/>
  <c r="U20" i="2" s="1"/>
  <c r="U23" i="2" s="1"/>
  <c r="V7" i="2"/>
  <c r="U13" i="2"/>
  <c r="P21" i="10"/>
  <c r="O24" i="10"/>
  <c r="AA22" i="2"/>
  <c r="AA12" i="2"/>
  <c r="V34" i="2"/>
  <c r="W27" i="2"/>
  <c r="Q14" i="10" l="1"/>
  <c r="Q16" i="10" s="1"/>
  <c r="P16" i="10"/>
  <c r="AC6" i="2"/>
  <c r="Q21" i="10"/>
  <c r="X42" i="2"/>
  <c r="W47" i="2"/>
  <c r="W56" i="2" s="1"/>
  <c r="AB12" i="2"/>
  <c r="AB22" i="2"/>
  <c r="Y6" i="8"/>
  <c r="X13" i="8"/>
  <c r="Q17" i="10"/>
  <c r="Q23" i="10" s="1"/>
  <c r="P23" i="10"/>
  <c r="P24" i="10" s="1"/>
  <c r="X27" i="2"/>
  <c r="W34" i="2"/>
  <c r="AA33" i="2"/>
  <c r="AA54" i="2"/>
  <c r="AA52" i="2" s="1"/>
  <c r="V18" i="2"/>
  <c r="V20" i="2" s="1"/>
  <c r="V23" i="2" s="1"/>
  <c r="W7" i="2"/>
  <c r="V13" i="2"/>
  <c r="AB54" i="2" l="1"/>
  <c r="AB52" i="2" s="1"/>
  <c r="AB33" i="2"/>
  <c r="Y42" i="2"/>
  <c r="X47" i="2"/>
  <c r="X56" i="2" s="1"/>
  <c r="AD6" i="2"/>
  <c r="X7" i="2"/>
  <c r="W18" i="2"/>
  <c r="W20" i="2" s="1"/>
  <c r="W23" i="2" s="1"/>
  <c r="W13" i="2"/>
  <c r="AC22" i="2"/>
  <c r="AC12" i="2"/>
  <c r="Q24" i="10"/>
  <c r="X34" i="2"/>
  <c r="Y27" i="2"/>
  <c r="Z6" i="8"/>
  <c r="Y13" i="8"/>
  <c r="AA6" i="8" l="1"/>
  <c r="Z13" i="8"/>
  <c r="Y34" i="2"/>
  <c r="Z27" i="2"/>
  <c r="AD12" i="2"/>
  <c r="AD22" i="2"/>
  <c r="Y7" i="2"/>
  <c r="X18" i="2"/>
  <c r="X20" i="2" s="1"/>
  <c r="X23" i="2" s="1"/>
  <c r="X13" i="2"/>
  <c r="Z42" i="2"/>
  <c r="Y47" i="2"/>
  <c r="Y56" i="2" s="1"/>
  <c r="AC54" i="2"/>
  <c r="AC52" i="2" s="1"/>
  <c r="AC33" i="2"/>
  <c r="AE6" i="2"/>
  <c r="R24" i="10"/>
  <c r="S24" i="10"/>
  <c r="C23" i="13" s="1"/>
  <c r="H23" i="13" s="1"/>
  <c r="Z34" i="2" l="1"/>
  <c r="AA27" i="2"/>
  <c r="AF6" i="2"/>
  <c r="Z7" i="2"/>
  <c r="Y18" i="2"/>
  <c r="Y20" i="2" s="1"/>
  <c r="Y23" i="2" s="1"/>
  <c r="Y13" i="2"/>
  <c r="AA42" i="2"/>
  <c r="Z47" i="2"/>
  <c r="Z56" i="2" s="1"/>
  <c r="AD54" i="2"/>
  <c r="AD52" i="2" s="1"/>
  <c r="AD33" i="2"/>
  <c r="AE12" i="2"/>
  <c r="AE22" i="2"/>
  <c r="AB6" i="8"/>
  <c r="AA13" i="8"/>
  <c r="AF12" i="2" l="1"/>
  <c r="AF22" i="2"/>
  <c r="AB27" i="2"/>
  <c r="AA34" i="2"/>
  <c r="AA7" i="2"/>
  <c r="Z18" i="2"/>
  <c r="Z20" i="2" s="1"/>
  <c r="Z23" i="2" s="1"/>
  <c r="Z13" i="2"/>
  <c r="AC6" i="8"/>
  <c r="AB13" i="8"/>
  <c r="AB42" i="2"/>
  <c r="AA47" i="2"/>
  <c r="AA56" i="2" s="1"/>
  <c r="AG6" i="2"/>
  <c r="AE54" i="2"/>
  <c r="AE52" i="2" s="1"/>
  <c r="AE33" i="2"/>
  <c r="AC42" i="2" l="1"/>
  <c r="AB47" i="2"/>
  <c r="AB56" i="2" s="1"/>
  <c r="AB34" i="2"/>
  <c r="AC27" i="2"/>
  <c r="AH6" i="2"/>
  <c r="AB7" i="2"/>
  <c r="AA18" i="2"/>
  <c r="AA20" i="2" s="1"/>
  <c r="AA23" i="2" s="1"/>
  <c r="AA13" i="2"/>
  <c r="AF54" i="2"/>
  <c r="AF52" i="2" s="1"/>
  <c r="AF33" i="2"/>
  <c r="AD6" i="8"/>
  <c r="AC13" i="8"/>
  <c r="AD13" i="8" l="1"/>
  <c r="AE6" i="8"/>
  <c r="AI6" i="2"/>
  <c r="AC7" i="2"/>
  <c r="AB18" i="2"/>
  <c r="AB20" i="2" s="1"/>
  <c r="AB23" i="2" s="1"/>
  <c r="AB13" i="2"/>
  <c r="AD27" i="2"/>
  <c r="AC34" i="2"/>
  <c r="AD42" i="2"/>
  <c r="AC47" i="2"/>
  <c r="AC56" i="2" s="1"/>
  <c r="AE42" i="2" l="1"/>
  <c r="AD47" i="2"/>
  <c r="AD56" i="2" s="1"/>
  <c r="AD7" i="2"/>
  <c r="AC18" i="2"/>
  <c r="AC20" i="2" s="1"/>
  <c r="AC23" i="2" s="1"/>
  <c r="AC13" i="2"/>
  <c r="AE13" i="8"/>
  <c r="AF6" i="8"/>
  <c r="AD34" i="2"/>
  <c r="AE27" i="2"/>
  <c r="AE34" i="2" l="1"/>
  <c r="AF27" i="2"/>
  <c r="AF42" i="2"/>
  <c r="AE47" i="2"/>
  <c r="AE56" i="2" s="1"/>
  <c r="AG6" i="8"/>
  <c r="AF13" i="8"/>
  <c r="AE7" i="2"/>
  <c r="AD18" i="2"/>
  <c r="AD20" i="2" s="1"/>
  <c r="AD23" i="2" s="1"/>
  <c r="AD13" i="2"/>
  <c r="AF7" i="2" l="1"/>
  <c r="AE18" i="2"/>
  <c r="AE20" i="2" s="1"/>
  <c r="AE23" i="2" s="1"/>
  <c r="AE13" i="2"/>
  <c r="AG42" i="2"/>
  <c r="AF47" i="2"/>
  <c r="AF56" i="2" s="1"/>
  <c r="AH6" i="8"/>
  <c r="AG13" i="8"/>
  <c r="AG27" i="2"/>
  <c r="AF34" i="2"/>
  <c r="AH27" i="2" l="1"/>
  <c r="AG34" i="2"/>
  <c r="AH42" i="2"/>
  <c r="AG47" i="2"/>
  <c r="AG56" i="2" s="1"/>
  <c r="AG7" i="2"/>
  <c r="AF18" i="2"/>
  <c r="AF20" i="2" s="1"/>
  <c r="AF23" i="2" s="1"/>
  <c r="AF13" i="2"/>
  <c r="AI6" i="8"/>
  <c r="AI13" i="8" s="1"/>
  <c r="AJ13" i="8" s="1"/>
  <c r="AH13" i="8"/>
  <c r="AK13" i="8" l="1"/>
  <c r="AI42" i="2"/>
  <c r="AI47" i="2" s="1"/>
  <c r="AI56" i="2" s="1"/>
  <c r="AH47" i="2"/>
  <c r="AH56" i="2" s="1"/>
  <c r="AK56" i="2" s="1"/>
  <c r="C16" i="13" s="1"/>
  <c r="AH7" i="2"/>
  <c r="AG18" i="2"/>
  <c r="AG20" i="2" s="1"/>
  <c r="AG23" i="2" s="1"/>
  <c r="AG13" i="2"/>
  <c r="AH34" i="2"/>
  <c r="AI27" i="2"/>
  <c r="AI34" i="2" s="1"/>
  <c r="AK34" i="2" l="1"/>
  <c r="C14" i="13" s="1"/>
  <c r="AJ56" i="2"/>
  <c r="AJ34" i="2"/>
  <c r="AI7" i="2"/>
  <c r="AH18" i="2"/>
  <c r="AH20" i="2" s="1"/>
  <c r="AH23" i="2" s="1"/>
  <c r="AH13" i="2"/>
  <c r="AI18" i="2" l="1"/>
  <c r="AI20" i="2" s="1"/>
  <c r="AI23" i="2" s="1"/>
  <c r="AJ23" i="2" s="1"/>
  <c r="AI13" i="2"/>
  <c r="AK23" i="2" l="1"/>
  <c r="AJ13" i="2"/>
  <c r="AK13" i="2"/>
  <c r="C12" i="13" s="1"/>
  <c r="H12" i="13" s="1"/>
  <c r="H7" i="13" l="1"/>
  <c r="D9" i="13"/>
  <c r="H9" i="13"/>
  <c r="D6" i="13"/>
  <c r="H6" i="13" s="1"/>
  <c r="D7" i="13"/>
  <c r="D5" i="13"/>
  <c r="D4" i="13"/>
  <c r="D8" i="13"/>
  <c r="H8"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Uros Simovic</author>
  </authors>
  <commentList>
    <comment ref="C12" authorId="0" shapeId="0" xr:uid="{00000000-0006-0000-0400-000001000000}">
      <text>
        <r>
          <rPr>
            <sz val="9"/>
            <color indexed="81"/>
            <rFont val="Tahoma"/>
            <family val="2"/>
          </rPr>
          <t xml:space="preserve">It is assumed this benefit is realized in the year following the peak load reduction impact
</t>
        </r>
      </text>
    </comment>
    <comment ref="AG12" authorId="0" shapeId="0" xr:uid="{00000000-0006-0000-0400-000002000000}">
      <text>
        <r>
          <rPr>
            <sz val="9"/>
            <color indexed="81"/>
            <rFont val="Tahoma"/>
            <family val="2"/>
          </rPr>
          <t xml:space="preserve">The AES contract lasts 10 years
</t>
        </r>
      </text>
    </comment>
    <comment ref="AG22" authorId="0" shapeId="0" xr:uid="{00000000-0006-0000-0400-000003000000}">
      <text>
        <r>
          <rPr>
            <sz val="9"/>
            <color indexed="81"/>
            <rFont val="Tahoma"/>
            <family val="2"/>
          </rPr>
          <t xml:space="preserve">The AES contract lasts 10 years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Uros Simovic</author>
  </authors>
  <commentList>
    <comment ref="AG12" authorId="0" shapeId="0" xr:uid="{00000000-0006-0000-0500-000001000000}">
      <text>
        <r>
          <rPr>
            <sz val="9"/>
            <color rgb="FF000000"/>
            <rFont val="Tahoma"/>
            <family val="2"/>
          </rPr>
          <t xml:space="preserve">The AES contract lasts 10 years
</t>
        </r>
      </text>
    </comment>
    <comment ref="AH12" authorId="0" shapeId="0" xr:uid="{00000000-0006-0000-0500-000002000000}">
      <text>
        <r>
          <rPr>
            <sz val="9"/>
            <color rgb="FF000000"/>
            <rFont val="Tahoma"/>
            <family val="2"/>
          </rPr>
          <t xml:space="preserve">The AES contract lasts 10 years
</t>
        </r>
      </text>
    </comment>
    <comment ref="AI12" authorId="0" shapeId="0" xr:uid="{00000000-0006-0000-0500-000003000000}">
      <text>
        <r>
          <rPr>
            <sz val="9"/>
            <color rgb="FF000000"/>
            <rFont val="Tahoma"/>
            <family val="2"/>
          </rPr>
          <t xml:space="preserve">The AES contract lasts 10 years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Uros Simovic</author>
  </authors>
  <commentList>
    <comment ref="U6" authorId="0" shapeId="0" xr:uid="{00000000-0006-0000-0600-000001000000}">
      <text>
        <r>
          <rPr>
            <sz val="9"/>
            <color indexed="81"/>
            <rFont val="Tahoma"/>
            <family val="2"/>
          </rPr>
          <t xml:space="preserve">The AES contract lasts 10 years
</t>
        </r>
      </text>
    </comment>
  </commentList>
</comments>
</file>

<file path=xl/sharedStrings.xml><?xml version="1.0" encoding="utf-8"?>
<sst xmlns="http://schemas.openxmlformats.org/spreadsheetml/2006/main" count="2977" uniqueCount="469">
  <si>
    <t>General Assumptions</t>
  </si>
  <si>
    <t>Value</t>
  </si>
  <si>
    <t>Unit</t>
  </si>
  <si>
    <t>Source</t>
  </si>
  <si>
    <t>Discount Rate</t>
  </si>
  <si>
    <t>%</t>
  </si>
  <si>
    <t>National Grid standard</t>
  </si>
  <si>
    <t>Project-Specific Assumptions</t>
  </si>
  <si>
    <t>MW</t>
  </si>
  <si>
    <t>System Coincidence Factor</t>
  </si>
  <si>
    <t>dimensionless</t>
  </si>
  <si>
    <t>Derating Factor</t>
  </si>
  <si>
    <t>Substation Upgrade Cost</t>
  </si>
  <si>
    <t>$</t>
  </si>
  <si>
    <t>Provided by National Grid</t>
  </si>
  <si>
    <t>MWh</t>
  </si>
  <si>
    <t>Round-trip efficiency loss</t>
  </si>
  <si>
    <t xml:space="preserve">Commercial Operating Date </t>
  </si>
  <si>
    <t>Q1</t>
  </si>
  <si>
    <t>Calculation</t>
  </si>
  <si>
    <t>$/MWh</t>
  </si>
  <si>
    <t xml:space="preserve">Avoided Generation Capacity Costs (AGCC), Upstate Load Zones A-F  - Provided by DPS Staff 1/21/2016 </t>
  </si>
  <si>
    <t>AGCC Value</t>
  </si>
  <si>
    <t>Avoided LBMP - CARIS 2 Base Case Annual Average LBMP ($/MWh) by Load Zone - posted 7/14/2016</t>
  </si>
  <si>
    <t>http://www.nyiso.com/public/markets_operations/services/planning/planning_studies/index.jsp</t>
  </si>
  <si>
    <t xml:space="preserve"> &gt; economic planning studies &gt; CARIS Study Outputs &gt; 2016 CARIS 2 Base Case Annual Average LBMPs</t>
  </si>
  <si>
    <t>NIMO Load Zones: WEST, GENESEE, CENTRAL, NORTH, MOHAWK, CAPITAL</t>
  </si>
  <si>
    <t>WEST</t>
  </si>
  <si>
    <t>GENESEE</t>
  </si>
  <si>
    <t>CENTRAL</t>
  </si>
  <si>
    <t>NORTH</t>
  </si>
  <si>
    <t>CAPITAL</t>
  </si>
  <si>
    <t>AVERAGE</t>
  </si>
  <si>
    <t>Avoided Generation Capacity Costs</t>
  </si>
  <si>
    <t>Change Peak Load (Z, Y, r)</t>
  </si>
  <si>
    <t>ΔMW</t>
  </si>
  <si>
    <t>/</t>
  </si>
  <si>
    <t>1-Loss % (Z, Y, b -&gt; r)</t>
  </si>
  <si>
    <t>BCA Handbook</t>
  </si>
  <si>
    <t>x</t>
  </si>
  <si>
    <t>System Coincidence Factor (Z, Y)</t>
  </si>
  <si>
    <t>Dimensionless</t>
  </si>
  <si>
    <t>Derating Factor (Z, Y)</t>
  </si>
  <si>
    <t>AGCC (Z, Y, b)</t>
  </si>
  <si>
    <t>$/kW-yr</t>
  </si>
  <si>
    <t>1/kW -&gt; 1/MW</t>
  </si>
  <si>
    <t>kW/MW</t>
  </si>
  <si>
    <t>Constant</t>
  </si>
  <si>
    <t>Quarterly benefit factor</t>
  </si>
  <si>
    <t>Total Benefit of Avoided Generation Capacity Costs</t>
  </si>
  <si>
    <t>Avoided MW</t>
  </si>
  <si>
    <t>4.1.1</t>
  </si>
  <si>
    <t>Total Nominal</t>
  </si>
  <si>
    <t>Total NPV</t>
  </si>
  <si>
    <t>Description / Calculations</t>
  </si>
  <si>
    <t>Units</t>
  </si>
  <si>
    <t>EAM</t>
  </si>
  <si>
    <t>SCT</t>
  </si>
  <si>
    <t>UCT</t>
  </si>
  <si>
    <t>RIM</t>
  </si>
  <si>
    <t>Q2</t>
  </si>
  <si>
    <t>Q3</t>
  </si>
  <si>
    <t>Q4</t>
  </si>
  <si>
    <t>Year 5</t>
  </si>
  <si>
    <t>Year 6</t>
  </si>
  <si>
    <t>Year 7</t>
  </si>
  <si>
    <t>Year 8</t>
  </si>
  <si>
    <t>Year 9</t>
  </si>
  <si>
    <t>Year 10</t>
  </si>
  <si>
    <t>Year 11</t>
  </si>
  <si>
    <t>Year12</t>
  </si>
  <si>
    <t>Benefits</t>
  </si>
  <si>
    <t>BCA Framework Inputs</t>
  </si>
  <si>
    <t>AGCC Annual &gt; AGCC at Transmission Level &gt; ROS</t>
  </si>
  <si>
    <t>=</t>
  </si>
  <si>
    <t>(1 - Loss% (Z, b -&gt; r))</t>
  </si>
  <si>
    <t>Quarterly Factor</t>
  </si>
  <si>
    <t>Total Benefit from Avoided LBMP</t>
  </si>
  <si>
    <t>Avoided MWh</t>
  </si>
  <si>
    <t>Inputs - Project Specific</t>
  </si>
  <si>
    <t>Inputs - Fixed</t>
  </si>
  <si>
    <t>4.1.2</t>
  </si>
  <si>
    <t>Inputs - Project Specific and Fixed</t>
  </si>
  <si>
    <t>NIMO Load Zone</t>
  </si>
  <si>
    <t>Provided by National Grid (WEST, GENESEE, CENTRAL, NORTH, MOHAWK, CAPITAL)</t>
  </si>
  <si>
    <t>4.1.3</t>
  </si>
  <si>
    <t>Avoided LBMP</t>
  </si>
  <si>
    <t>Avoided Transmission Capacity Infrastructure and Related O&amp;M</t>
  </si>
  <si>
    <t>Loss Percentage (based on location of NWA)</t>
  </si>
  <si>
    <t>Retail delivery (NWA connected to:)</t>
  </si>
  <si>
    <t>Local Transmission</t>
  </si>
  <si>
    <t>Sub Transmission</t>
  </si>
  <si>
    <t>Primary Distribution</t>
  </si>
  <si>
    <t>Secondary Distribution</t>
  </si>
  <si>
    <t>DSIP + BCA Handbook page 224, BCA page 84, Appendix A (Utility - Specific Assumptions - Table A-2</t>
  </si>
  <si>
    <t>Utility System Average Marginal Cost of Service ($/kW-yr)</t>
  </si>
  <si>
    <t>DSIP + BCA Handbook page 225, BCA page 85, Appendix A (Utility - Specific Assumptions - Table A-3</t>
  </si>
  <si>
    <t>Transmission</t>
  </si>
  <si>
    <t>Change Peak Load (Y, r)</t>
  </si>
  <si>
    <t>1-Loss % (Y, b -&gt; r)</t>
  </si>
  <si>
    <t>Trans Coincidence Factor (C, Y)</t>
  </si>
  <si>
    <t>Derating Factor (Y)</t>
  </si>
  <si>
    <t>Marginal Trans Cost (C, Y, b)</t>
  </si>
  <si>
    <t>4.1.4</t>
  </si>
  <si>
    <t>Avoided Transmission Losses</t>
  </si>
  <si>
    <t>For most projects, this benefit will be zero unless an engineering study determines otherwise.</t>
  </si>
  <si>
    <t xml:space="preserve">Transmission losses are already embedded in the LBMP are are only quantified when the transmission loss percent is changed. This is based on system-wide energy and demand, not project specific. </t>
  </si>
  <si>
    <t>4.2.1</t>
  </si>
  <si>
    <t>Avoided Distribution Capacity Infrastructure</t>
  </si>
  <si>
    <t>MOHAWK</t>
  </si>
  <si>
    <t>Calculation based on Inputs - Project Specific</t>
  </si>
  <si>
    <t>Average hourly frequency regulation movement price</t>
  </si>
  <si>
    <t>Average hourly frequency regulation capacity price</t>
  </si>
  <si>
    <t>Average hourly spinning capacity price</t>
  </si>
  <si>
    <t>$/MW</t>
  </si>
  <si>
    <t>Two year historical average (11/01/13-10/31/15) from NYISO Day-Ahead Market - Ancillary Services</t>
  </si>
  <si>
    <t>Two year historical average (11/01/13 - 10/31/15) from NYISO Time-Weighted/Integrated Real-Time Prices - Ancillary Services</t>
  </si>
  <si>
    <t>Summary of Cost-Effectiveness Tests by Benefit and Cost</t>
  </si>
  <si>
    <t>4.1.5</t>
  </si>
  <si>
    <t>4.1.6</t>
  </si>
  <si>
    <t>4.2.2</t>
  </si>
  <si>
    <t>4.2.3</t>
  </si>
  <si>
    <t>4.3.1</t>
  </si>
  <si>
    <t>4.3.2</t>
  </si>
  <si>
    <t>4.4.1</t>
  </si>
  <si>
    <t>4.4.2</t>
  </si>
  <si>
    <t>4.4.3</t>
  </si>
  <si>
    <t>4.4.4</t>
  </si>
  <si>
    <t>4.4.5</t>
  </si>
  <si>
    <t>Benefit</t>
  </si>
  <si>
    <t>Avoided Transmission Capacity Infrastructure</t>
  </si>
  <si>
    <t>Avoided Ancillary Services</t>
  </si>
  <si>
    <t>Wholesale Market Price Impacts</t>
  </si>
  <si>
    <t>Avoided O&amp;M</t>
  </si>
  <si>
    <t>Avoided Distribution Losses</t>
  </si>
  <si>
    <t>Net Avoided Restoration Costs</t>
  </si>
  <si>
    <t>Net Avoided Outage Costs</t>
  </si>
  <si>
    <t>Net Avoided CO2</t>
  </si>
  <si>
    <t>Net Avoided SO2 and NOx</t>
  </si>
  <si>
    <t>Avoided Water Impacts</t>
  </si>
  <si>
    <t>Avoided Land Impacts</t>
  </si>
  <si>
    <t>Net Non-Energy Benefits</t>
  </si>
  <si>
    <t>Costs</t>
  </si>
  <si>
    <t>4.5.1</t>
  </si>
  <si>
    <t>4.5.2</t>
  </si>
  <si>
    <t>4.5.3</t>
  </si>
  <si>
    <t>4.5.4</t>
  </si>
  <si>
    <t>4.5.5</t>
  </si>
  <si>
    <t>4.5.6</t>
  </si>
  <si>
    <t>4.5.7</t>
  </si>
  <si>
    <t>Program Administration Costs</t>
  </si>
  <si>
    <t>Added Ancillary Service Costs</t>
  </si>
  <si>
    <t>Incremental T&amp;D and DSP Costs</t>
  </si>
  <si>
    <t>Participant DER Cost</t>
  </si>
  <si>
    <t>Lost Utility Revenue</t>
  </si>
  <si>
    <t>Shareholder Incentives</t>
  </si>
  <si>
    <t>Net Non-Energy Costs</t>
  </si>
  <si>
    <t>ü</t>
  </si>
  <si>
    <t>Notes</t>
  </si>
  <si>
    <t>NG did not use the BCA handbook methodology. They've used a new methodology which calculates the benefit of deffered infrastructure investment (e.g. NPV of investment in 2020 vs NPV of investment in 2025)</t>
  </si>
  <si>
    <t>?</t>
  </si>
  <si>
    <t>Not defined in handbook</t>
  </si>
  <si>
    <t xml:space="preserve">For most projects, this benefit will be zero unless an engineering study determines otherwise. Transmission losses are already embedded in the LBMP and are only quantified when the transmission loss percent is changed. This is based on system-wide energy and demand, not project specific. </t>
  </si>
  <si>
    <t>h</t>
  </si>
  <si>
    <t>$/ΔMW</t>
  </si>
  <si>
    <t>ΔMW/MWh</t>
  </si>
  <si>
    <t>Regulation Movement Multiplier (RMM)</t>
  </si>
  <si>
    <t>Constant (13 ΔMW/MWh)</t>
  </si>
  <si>
    <t>Frequency regulation Capacity</t>
  </si>
  <si>
    <t>x (</t>
  </si>
  <si>
    <t>+</t>
  </si>
  <si>
    <t>)</t>
  </si>
  <si>
    <t>hours</t>
  </si>
  <si>
    <t>Frequency Regulation</t>
  </si>
  <si>
    <t>Spinning Reserve</t>
  </si>
  <si>
    <t>Regulation Capacity Price</t>
  </si>
  <si>
    <t>Regulation Movement Price</t>
  </si>
  <si>
    <t># hours in a year resource is providing the service</t>
  </si>
  <si>
    <t>Spinning Reserve Capacity Price</t>
  </si>
  <si>
    <t>Frequency Regulation Capacity</t>
  </si>
  <si>
    <t>Spinning Reserve Capacity</t>
  </si>
  <si>
    <t>Time operating in Frequency Regulation market</t>
  </si>
  <si>
    <t>Time operating in Spinning Reserve market</t>
  </si>
  <si>
    <t>Calculation (sum of FR and SR)</t>
  </si>
  <si>
    <t>Avoided Anciliary Services</t>
  </si>
  <si>
    <t>Wholesale Market Price Impact</t>
  </si>
  <si>
    <t>Methodology for modeling one of the inputs is unavailable. DPS staff hasn't provided it</t>
  </si>
  <si>
    <t>This impact will be cosidered once LBMP market price impact has been made available.</t>
  </si>
  <si>
    <t>Transmission Coincidence Factor</t>
  </si>
  <si>
    <t>Distribution Coincidence Factor</t>
  </si>
  <si>
    <t>Assumption, changes according to technology used</t>
  </si>
  <si>
    <t>Distribution Coincidence Factor (C, V, Y)</t>
  </si>
  <si>
    <t>Marginal Distribution Cost (C, V, Y, b)</t>
  </si>
  <si>
    <t xml:space="preserve">Distribution losses are already embedded in LBMP and AGCC are are only quantified when the distribution loss percent is changed. This is based on system-wide energy and demand, not project specific. </t>
  </si>
  <si>
    <t>Net Avoided Restauration Costs</t>
  </si>
  <si>
    <t>For most projects, this benefit will be zero unless an engineering study determines otherwise. This benefit is only quantified when the loss percentage is changed which affects all load in the affected area</t>
  </si>
  <si>
    <t>This benefit includes reduced expenses not tied to avoided or defered distribution system investment from NWA project.</t>
  </si>
  <si>
    <t>For most projects, this benefit will be zero.</t>
  </si>
  <si>
    <t>CAIDI</t>
  </si>
  <si>
    <t>Determining parameters necessary for calculating this benefit (CAIDI and SAIFI post NWA implementation) requires development of a distribution level model and a respective engineering study.</t>
  </si>
  <si>
    <t xml:space="preserve"> </t>
  </si>
  <si>
    <t>Determining parameters necessary for calculating this benefit (NetMarginalDamageCost and delta Loss%) require input from DPS or development of a project-specific engineering study.</t>
  </si>
  <si>
    <t>Onsite Energy Production</t>
  </si>
  <si>
    <t>ΔMWh</t>
  </si>
  <si>
    <t>ton/MWh</t>
  </si>
  <si>
    <t>$/ton</t>
  </si>
  <si>
    <t>Cost of CO2, SOx and NOx</t>
  </si>
  <si>
    <t>CO2</t>
  </si>
  <si>
    <t>SOx</t>
  </si>
  <si>
    <t>NOx</t>
  </si>
  <si>
    <t xml:space="preserve">2016 CARIS 2 Base Case Fuel and Emission Prices, NG Provided Excel file: BCA Framework Inputs </t>
  </si>
  <si>
    <t xml:space="preserve">2017 CARIS 2 Base Case Fuel and Emission Prices, NG Provided Excel file: BCA Framework Inputs </t>
  </si>
  <si>
    <t xml:space="preserve">2018 CARIS 2 Base Case Fuel and Emission Prices, NG Provided Excel file: BCA Framework Inputs </t>
  </si>
  <si>
    <t xml:space="preserve">2019 CARIS 2 Base Case Fuel and Emission Prices, NG Provided Excel file: BCA Framework Inputs </t>
  </si>
  <si>
    <t xml:space="preserve">2020 CARIS 2 Base Case Fuel and Emission Prices, NG Provided Excel file: BCA Framework Inputs </t>
  </si>
  <si>
    <t xml:space="preserve">2021 CARIS 2 Base Case Fuel and Emission Prices, NG Provided Excel file: BCA Framework Inputs </t>
  </si>
  <si>
    <t xml:space="preserve">2022 CARIS 2 Base Case Fuel and Emission Prices, NG Provided Excel file: BCA Framework Inputs </t>
  </si>
  <si>
    <t xml:space="preserve">2023 CARIS 2 Base Case Fuel and Emission Prices, NG Provided Excel file: BCA Framework Inputs </t>
  </si>
  <si>
    <t xml:space="preserve">2024 CARIS 2 Base Case Fuel and Emission Prices, NG Provided Excel file: BCA Framework Inputs </t>
  </si>
  <si>
    <t xml:space="preserve">2025 CARIS 2 Base Case Fuel and Emission Prices, NG Provided Excel file: BCA Framework Inputs </t>
  </si>
  <si>
    <t xml:space="preserve">2026 CARIS 2 Base Case Fuel and Emission Prices, NG Provided Excel file: BCA Framework Inputs </t>
  </si>
  <si>
    <t xml:space="preserve">2027 CARIS 2 Base Case Fuel and Emission Prices, NG Provided Excel file: BCA Framework Inputs </t>
  </si>
  <si>
    <t xml:space="preserve">2028 CARIS 2 Base Case Fuel and Emission Prices, NG Provided Excel file: BCA Framework Inputs </t>
  </si>
  <si>
    <t xml:space="preserve">2029 CARIS 2 Base Case Fuel and Emission Prices, NG Provided Excel file: BCA Framework Inputs </t>
  </si>
  <si>
    <t>SOx Pollutant Intensity</t>
  </si>
  <si>
    <t>NOx Pollutant Intensity</t>
  </si>
  <si>
    <t>Social Cost of SOx</t>
  </si>
  <si>
    <t>Social Cost of Nox</t>
  </si>
  <si>
    <t>Technology Assumptions</t>
  </si>
  <si>
    <t xml:space="preserve"> Rated Energy</t>
  </si>
  <si>
    <t>Change in Peak Load (Effective Project Impact on Substation Peak)</t>
  </si>
  <si>
    <t>Total Peak displaced (total annual dispatch)</t>
  </si>
  <si>
    <t>Total System Cost</t>
  </si>
  <si>
    <t>Net Avoided SOx and NOx</t>
  </si>
  <si>
    <t>Year 1</t>
  </si>
  <si>
    <t>Year 2</t>
  </si>
  <si>
    <t>Year 3</t>
  </si>
  <si>
    <t>Year 4</t>
  </si>
  <si>
    <t>As per BCA handbook, input from DPS is required.</t>
  </si>
  <si>
    <t xml:space="preserve">Determining parameters necessary for calculating this benefit (NetMarginalDamageCost and delta Loss%) require input from DPS or development of a project-specific engineering study. </t>
  </si>
  <si>
    <t>Need to double check Nox calculation</t>
  </si>
  <si>
    <t>Batteries do not provide spinning reserve</t>
  </si>
  <si>
    <t>From proposal</t>
  </si>
  <si>
    <t>From proposal. NPV of $1,934,520 per year for 10 years</t>
  </si>
  <si>
    <t>Solar</t>
  </si>
  <si>
    <t>CHP</t>
  </si>
  <si>
    <t>DR</t>
  </si>
  <si>
    <t>EE</t>
  </si>
  <si>
    <t>Battery</t>
  </si>
  <si>
    <t>Solar, CHP, DR and EE values taken from the BCA Hanbook, pages 216 (71), 218 (73), 220 (75) and 222 (77) respectively</t>
  </si>
  <si>
    <t>Battery values assumed</t>
  </si>
  <si>
    <t>SAIFI</t>
  </si>
  <si>
    <t>LBMP (Z, P, Y, b)</t>
  </si>
  <si>
    <t>Total Peak displaced</t>
  </si>
  <si>
    <t>Highly dependent on derating and coincidence factors.</t>
  </si>
  <si>
    <t>Review National Grid Excel file "Sub 364 - Load Data and ESS Calc"</t>
  </si>
  <si>
    <t>Energy Storage can only participate in frequency regulation and not spinning reserves.</t>
  </si>
  <si>
    <t>Notes specific to the project</t>
  </si>
  <si>
    <t>Further discussion is needed with National Grid. This cost might be considered on a project by project basis and would include project oversight, measurement and verification etc.</t>
  </si>
  <si>
    <t>Further discussion is needed with National Grid. This cost might be considered on a project by project basis and would include land, switching and relay protection upgrade etc.</t>
  </si>
  <si>
    <t>For most projects, this benefit will be zero unless an engineering study determines otherwise. This benefit is only quantified when the loss percentage is changed which affects all load in the affected area. Distribution losses are already embedded in the LBMP and AGCC and are only quantified when the distribution loss percent is changed. This is based on system-wide energy and demand, not project specific.</t>
  </si>
  <si>
    <t>Could we ask for an example?
Knowing these indexes before and after a substation was upgraded (traditional solution e.g. transformator added), could we approximate?</t>
  </si>
  <si>
    <t>central</t>
  </si>
  <si>
    <t>Forecasted Load Growth / Need</t>
  </si>
  <si>
    <t>year</t>
  </si>
  <si>
    <t>Provided by National Grid, Potential Non-Wires Alternative Project – Baldwinsville, New York</t>
  </si>
  <si>
    <t>Forecasted Load</t>
  </si>
  <si>
    <t>Proposed Solution capacity</t>
  </si>
  <si>
    <t>Distribution Capacity Infrastructure Investment</t>
  </si>
  <si>
    <t>Total Benefit of Deffered Generation Capacity Costs</t>
  </si>
  <si>
    <t>State or Federal Funding</t>
  </si>
  <si>
    <t xml:space="preserve">Value provided by National Grid </t>
  </si>
  <si>
    <t>Total Benefit of Avoided Avoided Transmission Capacity Infrastructure and Related O&amp;M</t>
  </si>
  <si>
    <t>Total Benefit of Avoided Anciliary Services</t>
  </si>
  <si>
    <t>This project does not alter the planned transmission system investments and hence the benefit is not quantified.</t>
  </si>
  <si>
    <t>Applicable?</t>
  </si>
  <si>
    <t>Yes</t>
  </si>
  <si>
    <t>No</t>
  </si>
  <si>
    <t>Project NPV acording to applicability selected above</t>
  </si>
  <si>
    <t>Benefit-Cost Ratio acording to applicability selected above</t>
  </si>
  <si>
    <t>Summary</t>
  </si>
  <si>
    <t>Traditional Solution in service year</t>
  </si>
  <si>
    <t>Provided by National Grid, must be in given format</t>
  </si>
  <si>
    <t>NPV of planned infrastructure investment</t>
  </si>
  <si>
    <t>National Grid staff (project oversight, measurement and verification etc.)</t>
  </si>
  <si>
    <t>Total Program Administration Costs</t>
  </si>
  <si>
    <t>Total nominal</t>
  </si>
  <si>
    <t>Project Specific, input from Stacey Hughes</t>
  </si>
  <si>
    <t>Land, switching and relay protection upgrade etc.</t>
  </si>
  <si>
    <t>Total Incremental T&amp;D and DSP Costs</t>
  </si>
  <si>
    <t>NWA solutions help reduce coincident system peak demand. It is assumed that the benefit is realized in the year following the peak load reduction impact.</t>
  </si>
  <si>
    <t>NWA solution helps avoid energy purchase at Locational Based Marginal Pricing level by reducing either energy procured, congestion and losses at the delivery point.</t>
  </si>
  <si>
    <t>NWA solution helps avoid or defer investment in transmission system equipment and related O&amp;M.</t>
  </si>
  <si>
    <t>Hour</t>
  </si>
  <si>
    <t xml:space="preserve"> CENTRAL TOTAL ($/MWh)</t>
  </si>
  <si>
    <t>Parameters</t>
  </si>
  <si>
    <t>NIMO Load Zone:</t>
  </si>
  <si>
    <t>Roundtrip Efficiency Loss:</t>
  </si>
  <si>
    <t>Charging Loss:</t>
  </si>
  <si>
    <t>Discharging Loss:</t>
  </si>
  <si>
    <t>1-Loss % (Z, Y, b -&gt; r):</t>
  </si>
  <si>
    <t>Discount Rate:</t>
  </si>
  <si>
    <t>Total Calculated Nominal LBMP Benefit:</t>
  </si>
  <si>
    <t>Total Calculated NPV LBMP Benefit:</t>
  </si>
  <si>
    <t>User Inputs</t>
  </si>
  <si>
    <t>Project Specific Profile Notes:</t>
  </si>
  <si>
    <t>2018-2029</t>
  </si>
  <si>
    <t>Normalized Charging (-) / Discharging (+) Profile With Losses (Energy)</t>
  </si>
  <si>
    <t>Annual</t>
  </si>
  <si>
    <t>Year</t>
  </si>
  <si>
    <t>Battery Size (MWh)</t>
  </si>
  <si>
    <t>NOTE: For years in which battery not available, use 0 MWh.</t>
  </si>
  <si>
    <t>Total:</t>
  </si>
  <si>
    <t>Nominal LBMP Benefit Calculation for 2018-2034  by Month and Hour</t>
  </si>
  <si>
    <t>2018-2034</t>
  </si>
  <si>
    <t>Total Hours in Years</t>
  </si>
  <si>
    <t>Total Hours in Month</t>
  </si>
  <si>
    <t>Total</t>
  </si>
  <si>
    <t>LBMP Benefit Total ($)</t>
  </si>
  <si>
    <t>NPV LBMP Benefit Calculation for 2018-2034  by Month and Hour</t>
  </si>
  <si>
    <t>NPV LBMP Benefit Total ($)</t>
  </si>
  <si>
    <t>24 Hour Profile by Year and Month for 2016-2034</t>
  </si>
  <si>
    <t>NOTE: MODEL ACCOUNTS FOR LEAP YEARS</t>
  </si>
  <si>
    <t>NOTE: SIMPLIFICATION ASSUMPTION THAT DAYLIGHT SAVINGS CHANGE IS RECOGNIZED STARTING IN MONTH AFTER IT TAKES PLACE; TOTAL HOURS MODIFIED IN MONTH CHANGE TAKES PLACE</t>
  </si>
  <si>
    <t>LBMP Column Name</t>
  </si>
  <si>
    <t>Total Hours in Year</t>
  </si>
  <si>
    <t>Start Hour:</t>
  </si>
  <si>
    <t>End Hour:</t>
  </si>
  <si>
    <t>Average:</t>
  </si>
  <si>
    <t>Assumption: Parabola Discharge from 12 PM to 11 PM Daily; Charging from midnight for 8 hours; Integrate Parabola to Find Area Under Curve (MWh)</t>
  </si>
  <si>
    <t>No Participant DER cost has been identified</t>
  </si>
  <si>
    <t>NWA solution changes the topology of the transmission system and results in a change to the transmission system loss percent.</t>
  </si>
  <si>
    <t xml:space="preserve">The NYISO could purchase ancillary services from the NWA solution in lieu of conventional generators at a lower cost without sacrificing reliability. </t>
  </si>
  <si>
    <t>This benefit is qualified as battery storage has the ability and willingness to provide ancillary services to the NYISO.</t>
  </si>
  <si>
    <t>NWA solution reduces the wholesale market prices on
both energy (i.e., LBMP) and capacity (i.e., AGCC)</t>
  </si>
  <si>
    <t>Location-specific distribution load reductions that are valued at the marginal cost of distribution system infrastructure that is avoided or deferred by the NWA solution</t>
  </si>
  <si>
    <t xml:space="preserve">This benefit includes reduced expenses not tied to avoided or defered distribution system investment from NWA project. </t>
  </si>
  <si>
    <t>Incremental benefit that is realized when a project changes distribution system losses, resulting in changes to both annual energy use and peak demand.</t>
  </si>
  <si>
    <t>NWA solution helps avoid costs of restoring power during outages.</t>
  </si>
  <si>
    <t>NWA solution helps reduce the frequency and duration of outages.</t>
  </si>
  <si>
    <t>This benefit/cost accounts for avoided CO2 emissions due to a reduction in system load levels or an increase in CO2 emissions from onsite generation.</t>
  </si>
  <si>
    <t>This benefit/cost accounts for avoided SO2 and NOx emissions due to a reduction in system load levels or an increase in CO2 emissions from onsite generation.</t>
  </si>
  <si>
    <t>Cost to administer and measure the effect of required program administration performed and funded by utilities or other parties.</t>
  </si>
  <si>
    <t>Caused by projects that contribute to the utility’s need to build additional infrastructure.</t>
  </si>
  <si>
    <t>Cost of additional ancillary service cost on the system dur to NWA solution implementation</t>
  </si>
  <si>
    <t>Equipment and participation costs assumed by DER providers which need to be considered when evaluating the societal costs of a project or program.</t>
  </si>
  <si>
    <t>Together Participant DER Cost and Program Administration Costs equal the total cost of the DER project.</t>
  </si>
  <si>
    <t>Total cost to the bidder and $500,000 value provided by National Grid included in the cost</t>
  </si>
  <si>
    <t>Utilities are required to fix the cause of an outage regardless of whether the NWA solution allows the customer to operate independently of the grid. Nevertheless, NWA solution might be able to lower ocurrances of equipment failure.
For most projects, this benefit will be zero.
Determining parameters necessary for calculating this benefit (CAIDI and SAIFI post NWA implementation) requires development of a distribution level model and a respective engineering study. 
Detailed CAIDI and SAIFI calculations are needed in order to approximate the post implementation values.</t>
  </si>
  <si>
    <t>At this time, the New York State Standardized Interconnection Requirements do not allow for islanding, and therefore limit this configuration to a NWA solution that meets the needs of a customer during an outage.
Same input issues as above and input needed from NG regarding Crew Cost and Expenses</t>
  </si>
  <si>
    <t>It is assumed that the full battery capacity can be used for frequency regulation</t>
  </si>
  <si>
    <t>Value of Energy</t>
  </si>
  <si>
    <t>(Must be in given format)</t>
  </si>
  <si>
    <t>Use 0 if hourly LBMP calculation is used for peak displacement.</t>
  </si>
  <si>
    <t>From Calculations</t>
  </si>
  <si>
    <t>Year13</t>
  </si>
  <si>
    <t>Provided by David Lovelady in an email Thu 9/7/2017 7:38 AM</t>
  </si>
  <si>
    <t>Deferred Distribution Capacity Infrastructure is obtained by calculating the change in NPV of planned project specific Distribution Infrastructure Investment deferred to the year in which the area forecasted load exceeds the capacity of the NWA solution. This benefit is used in lieu of Avoided Distribution Capacity Infrastructure.</t>
  </si>
  <si>
    <t>Maximum number of calls</t>
  </si>
  <si>
    <t>NPV</t>
  </si>
  <si>
    <t>Total Benefit of Avoided Distribution Capacity Infrastructure Costs</t>
  </si>
  <si>
    <t>Off-Peak LMU CO2 Emission rate</t>
  </si>
  <si>
    <t>On-Peak LMU CO2 Emission rate</t>
  </si>
  <si>
    <t>lb/MWh</t>
  </si>
  <si>
    <t>On-Peak</t>
  </si>
  <si>
    <t>Off-Peak</t>
  </si>
  <si>
    <t>SO2</t>
  </si>
  <si>
    <t>Ozone Season NOx</t>
  </si>
  <si>
    <t>Non Ozone Seazon NOx</t>
  </si>
  <si>
    <t>2015 ISO New England Electric Generator Air Emissions Report</t>
  </si>
  <si>
    <t>The ozone season occurs between May 1 and September 30</t>
  </si>
  <si>
    <t>Battery Size</t>
  </si>
  <si>
    <t>Social Cost of Carbon</t>
  </si>
  <si>
    <t>Total Societal Benefit from CO2 emision reductions per time period</t>
  </si>
  <si>
    <t>NE-ISO CO2 On-Peak/Off Peak Emission Ratio</t>
  </si>
  <si>
    <t>BCA Att A 2017.xlsm published by New York State Department of Public Service</t>
  </si>
  <si>
    <t>Spredsheet received from Lauri Mancinelli on Wed 9/13/2017 5:55 PM through email titled "BCA Review - Baldwinsville"</t>
  </si>
  <si>
    <t>NPV LBMP Benefit based on maximum allowed number of calls:</t>
  </si>
  <si>
    <t>Hourly LBMP model is used. Prorated to maximum allowable numbers of calls during period between June and September</t>
  </si>
  <si>
    <t>Cost</t>
  </si>
  <si>
    <t>National Grid Methodology</t>
  </si>
  <si>
    <t>Off-Peak Benefit Factor incl Emission Ratio &amp; RT Loss</t>
  </si>
  <si>
    <t>https://www.nyserda.ny.gov/All-Programs/Programs/Clean-Energy-Standard/REC-and-ZEC-Purchasers</t>
  </si>
  <si>
    <t>Societal cost of CO2 - equal to REC price</t>
  </si>
  <si>
    <t>Deferred Distribution Capacity Infrastructure (ESS Methodology)</t>
  </si>
  <si>
    <t>Net Avoided CO2 (ESS Methodology)</t>
  </si>
  <si>
    <t>UTC</t>
  </si>
  <si>
    <t>BCA Summary</t>
  </si>
  <si>
    <t>Test</t>
  </si>
  <si>
    <t>Category</t>
  </si>
  <si>
    <t>Benefit &amp; Cost Breakdown</t>
  </si>
  <si>
    <t>Without Grant</t>
  </si>
  <si>
    <t>With Grant</t>
  </si>
  <si>
    <t>Using updated 2017 AGCC values</t>
  </si>
  <si>
    <t>Not available in this version of the tool, refer to BCA Tests Summary for details. It is assumed this project does not reduce the LBMP and AGCC prices in the area.</t>
  </si>
  <si>
    <t>Not available in this version of the tool, refer to BCA Tests Summary for details</t>
  </si>
  <si>
    <t>Assumption, operating during months outside June-September for 24 hours and 13 hours during June -September, reduced based on derating factor and maximum allowed number of calls</t>
  </si>
  <si>
    <t>January</t>
  </si>
  <si>
    <t>February</t>
  </si>
  <si>
    <t>March</t>
  </si>
  <si>
    <t>April</t>
  </si>
  <si>
    <t>May</t>
  </si>
  <si>
    <t>June</t>
  </si>
  <si>
    <t>July</t>
  </si>
  <si>
    <t>August</t>
  </si>
  <si>
    <t>September</t>
  </si>
  <si>
    <t>October</t>
  </si>
  <si>
    <t>November</t>
  </si>
  <si>
    <t>December</t>
  </si>
  <si>
    <t>na</t>
  </si>
  <si>
    <t xml:space="preserve">NA </t>
  </si>
  <si>
    <t>NA</t>
  </si>
  <si>
    <t xml:space="preserve">Project NPV </t>
  </si>
  <si>
    <t xml:space="preserve">Benefit-Cost Ratio </t>
  </si>
  <si>
    <t>No quantifiable value</t>
  </si>
  <si>
    <t>This could be considered zero if the solution is designed to not affect the system.</t>
  </si>
  <si>
    <t>Energy storage does not produce pollutants while operating. Project specific calculation comparing CO2 generation based on when the energy storage is charged/discharged has been prepared using using proxy marginal emissions rate from ISO New England</t>
  </si>
  <si>
    <t>National Grid plans a ~$4.5M investment in 2022, this project will defer the traditional solution.</t>
  </si>
  <si>
    <t>This could be equal to zero if the solution does not decrease electricity sales</t>
  </si>
  <si>
    <t>This should be equal to zero</t>
  </si>
  <si>
    <t>Baldwinsville Vendor1 BCA</t>
  </si>
  <si>
    <t>NYSERDA PON 3541 grant, quote provided by Vendor1 and verbally confirmed by NYSERDA</t>
  </si>
  <si>
    <t>From Vendor1 - NG Baldwinsville Presentation 051717 Final, slide 3</t>
  </si>
  <si>
    <t>90.62% - 88.81% as stated by Vendor1's proposal</t>
  </si>
  <si>
    <t>Vendor1 fixed tolling price (yearsly cost to NG)</t>
  </si>
  <si>
    <t>Vendor1's proposal</t>
  </si>
  <si>
    <t>source_data</t>
  </si>
  <si>
    <t>fixed</t>
  </si>
  <si>
    <t>type</t>
  </si>
  <si>
    <t>path</t>
  </si>
  <si>
    <t>excel</t>
  </si>
  <si>
    <t>sourcefiles</t>
  </si>
  <si>
    <t>file_nickname</t>
  </si>
  <si>
    <t>anchor_text</t>
  </si>
  <si>
    <t>calc_factors</t>
  </si>
  <si>
    <t>source_type</t>
  </si>
  <si>
    <t>source_alias</t>
  </si>
  <si>
    <t>source_nickname</t>
  </si>
  <si>
    <t>project</t>
  </si>
  <si>
    <t>name_value_table</t>
  </si>
  <si>
    <t>values_col_text</t>
  </si>
  <si>
    <t>Values</t>
  </si>
  <si>
    <t>yearly_value_lists</t>
  </si>
  <si>
    <t>row_offset</t>
  </si>
  <si>
    <t>name_value_table_alias</t>
  </si>
  <si>
    <t>inverse_of_value_table_alias</t>
  </si>
  <si>
    <t>yearly_value_alias_lookup</t>
  </si>
  <si>
    <t>factor_name</t>
  </si>
  <si>
    <t>/Users/alexandrabarkan/Desktop/SOM/BCA - Vendor1 proposal Baldwinsville (10-03-17) Lite - slh v2.xlsx</t>
  </si>
  <si>
    <t>sheetname</t>
  </si>
  <si>
    <t>payload</t>
  </si>
  <si>
    <t>item</t>
  </si>
  <si>
    <t>Name</t>
  </si>
  <si>
    <t>inner</t>
  </si>
  <si>
    <t>outer</t>
  </si>
  <si>
    <t>dict</t>
  </si>
  <si>
    <t>val type</t>
  </si>
  <si>
    <t>{</t>
  </si>
  <si>
    <t>}</t>
  </si>
  <si>
    <t>fixed:</t>
  </si>
  <si>
    <t>for x in range(rows1:3)</t>
  </si>
  <si>
    <t>name=col1val</t>
  </si>
  <si>
    <t>dictvalue=</t>
  </si>
  <si>
    <t>for c in range columnes(2,4)</t>
  </si>
  <si>
    <t>sourceattrib[listoftitles[c]:cellvalueat©</t>
  </si>
  <si>
    <t>listAttribs</t>
  </si>
  <si>
    <t>Applicable</t>
  </si>
  <si>
    <t xml:space="preserve">  </t>
  </si>
  <si>
    <t>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</si>
</sst>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_(* \(#,##0\);_(* &quot;-&quot;_);_(@_)"/>
    <numFmt numFmtId="44" formatCode="_(&quot;$&quot;* #,##0.00_);_(&quot;$&quot;* \(#,##0.00\);_(&quot;$&quot;* &quot;-&quot;??_);_(@_)"/>
    <numFmt numFmtId="43" formatCode="_(* #,##0.00_);_(* \(#,##0.00\);_(* &quot;-&quot;??_);_(@_)"/>
    <numFmt numFmtId="164" formatCode="&quot;FY&quot;####"/>
    <numFmt numFmtId="165" formatCode="0.0"/>
    <numFmt numFmtId="166" formatCode="&quot;$&quot;#,##0.00"/>
    <numFmt numFmtId="167" formatCode="0.0%"/>
    <numFmt numFmtId="168" formatCode="0.0000%"/>
    <numFmt numFmtId="169" formatCode="&quot;$&quot;#,##0"/>
    <numFmt numFmtId="170" formatCode="#,##0.000"/>
    <numFmt numFmtId="171" formatCode="0.000%"/>
  </numFmts>
  <fonts count="56">
    <font>
      <sz val="11"/>
      <color theme="1"/>
      <name val="Calibri"/>
      <family val="2"/>
      <scheme val="minor"/>
    </font>
    <font>
      <sz val="11"/>
      <color theme="1"/>
      <name val="Calibri"/>
      <family val="2"/>
      <scheme val="minor"/>
    </font>
    <font>
      <sz val="11"/>
      <color rgb="FF9C0006"/>
      <name val="Calibri"/>
      <family val="2"/>
      <scheme val="minor"/>
    </font>
    <font>
      <b/>
      <sz val="10"/>
      <color theme="0"/>
      <name val="Calibri"/>
      <family val="2"/>
      <scheme val="minor"/>
    </font>
    <font>
      <sz val="10"/>
      <color theme="1"/>
      <name val="Calibri"/>
      <family val="2"/>
      <scheme val="minor"/>
    </font>
    <font>
      <sz val="10"/>
      <name val="Arial"/>
      <family val="2"/>
    </font>
    <font>
      <b/>
      <sz val="10"/>
      <name val="Calibri"/>
      <family val="2"/>
      <scheme val="minor"/>
    </font>
    <font>
      <sz val="10"/>
      <name val="Calibri"/>
      <family val="2"/>
      <scheme val="minor"/>
    </font>
    <font>
      <u/>
      <sz val="11"/>
      <color theme="10"/>
      <name val="Calibri"/>
      <family val="2"/>
      <scheme val="minor"/>
    </font>
    <font>
      <b/>
      <sz val="10"/>
      <color theme="1"/>
      <name val="Calibri"/>
      <family val="2"/>
      <scheme val="minor"/>
    </font>
    <font>
      <sz val="11"/>
      <color theme="1"/>
      <name val="Calibri"/>
      <family val="2"/>
      <scheme val="minor"/>
    </font>
    <font>
      <sz val="11"/>
      <color rgb="FF222222"/>
      <name val="Arial"/>
      <family val="2"/>
    </font>
    <font>
      <b/>
      <sz val="11"/>
      <color theme="0"/>
      <name val="Calibri"/>
      <family val="2"/>
      <scheme val="minor"/>
    </font>
    <font>
      <sz val="11"/>
      <color theme="1"/>
      <name val="Calibri"/>
      <family val="2"/>
      <scheme val="minor"/>
    </font>
    <font>
      <sz val="11"/>
      <color theme="1"/>
      <name val="Wingdings"/>
      <charset val="2"/>
    </font>
    <font>
      <sz val="11"/>
      <color rgb="FF000000"/>
      <name val="Calibri"/>
      <family val="2"/>
      <scheme val="minor"/>
    </font>
    <font>
      <sz val="11"/>
      <color theme="1"/>
      <name val="Calibri"/>
      <family val="2"/>
      <scheme val="minor"/>
    </font>
    <font>
      <sz val="9"/>
      <color indexed="81"/>
      <name val="Tahoma"/>
      <family val="2"/>
    </font>
    <font>
      <b/>
      <sz val="11"/>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theme="0"/>
      <name val="Calibri"/>
      <family val="2"/>
      <scheme val="minor"/>
    </font>
    <font>
      <sz val="11"/>
      <color theme="1"/>
      <name val="Calibri"/>
      <family val="2"/>
      <scheme val="minor"/>
    </font>
    <font>
      <sz val="10"/>
      <color theme="1"/>
      <name val="Calibri"/>
      <family val="2"/>
      <scheme val="minor"/>
    </font>
    <font>
      <sz val="10"/>
      <name val="Calibri"/>
      <family val="2"/>
      <scheme val="minor"/>
    </font>
    <font>
      <sz val="10"/>
      <color rgb="FFFF0000"/>
      <name val="Calibri"/>
      <family val="2"/>
      <scheme val="minor"/>
    </font>
    <font>
      <sz val="10"/>
      <color rgb="FF9C0006"/>
      <name val="Calibri"/>
      <family val="2"/>
      <scheme val="minor"/>
    </font>
    <font>
      <sz val="9"/>
      <color rgb="FF9C0006"/>
      <name val="Calibri"/>
      <family val="2"/>
      <scheme val="minor"/>
    </font>
    <font>
      <sz val="11"/>
      <color theme="1"/>
      <name val="Calibri"/>
      <family val="2"/>
      <scheme val="minor"/>
    </font>
    <font>
      <sz val="11"/>
      <color theme="0"/>
      <name val="Calibri"/>
      <family val="2"/>
      <scheme val="minor"/>
    </font>
    <font>
      <b/>
      <sz val="11"/>
      <color theme="0"/>
      <name val="Calibri"/>
      <family val="2"/>
      <scheme val="minor"/>
    </font>
    <font>
      <b/>
      <sz val="12"/>
      <color theme="1"/>
      <name val="Calibri"/>
      <family val="2"/>
      <scheme val="minor"/>
    </font>
    <font>
      <b/>
      <sz val="11"/>
      <color theme="1"/>
      <name val="Calibri"/>
      <family val="2"/>
      <scheme val="minor"/>
    </font>
    <font>
      <b/>
      <sz val="10"/>
      <color theme="0"/>
      <name val="Calibri"/>
      <family val="2"/>
      <scheme val="minor"/>
    </font>
    <font>
      <sz val="11"/>
      <name val="Calibri"/>
      <family val="2"/>
      <scheme val="minor"/>
    </font>
    <font>
      <sz val="9"/>
      <color rgb="FF000000"/>
      <name val="Tahoma"/>
      <family val="2"/>
    </font>
    <font>
      <sz val="9.8000000000000007"/>
      <color rgb="FF808080"/>
      <name val="JetBrains Mono"/>
      <family val="3"/>
    </font>
  </fonts>
  <fills count="33">
    <fill>
      <patternFill patternType="none"/>
    </fill>
    <fill>
      <patternFill patternType="gray125"/>
    </fill>
    <fill>
      <patternFill patternType="solid">
        <fgColor rgb="FFFFC7CE"/>
      </patternFill>
    </fill>
    <fill>
      <patternFill patternType="solid">
        <fgColor theme="3"/>
        <bgColor indexed="64"/>
      </patternFill>
    </fill>
    <fill>
      <patternFill patternType="solid">
        <fgColor rgb="FFFFFF00"/>
        <bgColor indexed="64"/>
      </patternFill>
    </fill>
    <fill>
      <patternFill patternType="solid">
        <fgColor theme="2"/>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2" tint="-9.9978637043366805E-2"/>
        <bgColor indexed="64"/>
      </patternFill>
    </fill>
  </fills>
  <borders count="24">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s>
  <cellStyleXfs count="58">
    <xf numFmtId="0" fontId="0" fillId="0" borderId="0"/>
    <xf numFmtId="43" fontId="1" fillId="0" borderId="0" applyFont="0" applyFill="0" applyBorder="0" applyAlignment="0" applyProtection="0"/>
    <xf numFmtId="0" fontId="2" fillId="2" borderId="0" applyNumberFormat="0" applyBorder="0" applyAlignment="0" applyProtection="0"/>
    <xf numFmtId="0" fontId="5" fillId="0" borderId="0"/>
    <xf numFmtId="0" fontId="8" fillId="0" borderId="0" applyNumberFormat="0" applyFill="0" applyBorder="0" applyAlignment="0" applyProtection="0"/>
    <xf numFmtId="0" fontId="5" fillId="0" borderId="0" applyNumberForma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4" fontId="1" fillId="0" borderId="0" applyFont="0" applyFill="0" applyBorder="0" applyAlignment="0" applyProtection="0"/>
    <xf numFmtId="0" fontId="5" fillId="0" borderId="0"/>
    <xf numFmtId="43" fontId="5" fillId="0" borderId="0" applyFont="0" applyFill="0" applyBorder="0" applyAlignment="0" applyProtection="0"/>
    <xf numFmtId="0" fontId="1" fillId="0" borderId="0"/>
    <xf numFmtId="9" fontId="21" fillId="0" borderId="0" applyFont="0" applyFill="0" applyBorder="0" applyAlignment="0" applyProtection="0"/>
    <xf numFmtId="0" fontId="5" fillId="0" borderId="0"/>
    <xf numFmtId="0" fontId="5" fillId="0" borderId="0"/>
    <xf numFmtId="0" fontId="22" fillId="0" borderId="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0" borderId="0" applyNumberFormat="0" applyBorder="0" applyAlignment="0" applyProtection="0"/>
    <xf numFmtId="0" fontId="23" fillId="13" borderId="0" applyNumberFormat="0" applyBorder="0" applyAlignment="0" applyProtection="0"/>
    <xf numFmtId="0" fontId="23" fillId="16" borderId="0" applyNumberFormat="0" applyBorder="0" applyAlignment="0" applyProtection="0"/>
    <xf numFmtId="0" fontId="24" fillId="17"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4" borderId="0" applyNumberFormat="0" applyBorder="0" applyAlignment="0" applyProtection="0"/>
    <xf numFmtId="0" fontId="25" fillId="8" borderId="0" applyNumberFormat="0" applyBorder="0" applyAlignment="0" applyProtection="0"/>
    <xf numFmtId="0" fontId="26" fillId="25" borderId="14" applyNumberFormat="0" applyAlignment="0" applyProtection="0"/>
    <xf numFmtId="0" fontId="27" fillId="26" borderId="15" applyNumberFormat="0" applyAlignment="0" applyProtection="0"/>
    <xf numFmtId="0" fontId="28" fillId="0" borderId="0" applyNumberFormat="0" applyFill="0" applyBorder="0" applyAlignment="0" applyProtection="0"/>
    <xf numFmtId="0" fontId="29" fillId="9" borderId="0" applyNumberFormat="0" applyBorder="0" applyAlignment="0" applyProtection="0"/>
    <xf numFmtId="0" fontId="30" fillId="0" borderId="16" applyNumberFormat="0" applyFill="0" applyAlignment="0" applyProtection="0"/>
    <xf numFmtId="0" fontId="31" fillId="0" borderId="17" applyNumberFormat="0" applyFill="0" applyAlignment="0" applyProtection="0"/>
    <xf numFmtId="0" fontId="32" fillId="0" borderId="18" applyNumberFormat="0" applyFill="0" applyAlignment="0" applyProtection="0"/>
    <xf numFmtId="0" fontId="32" fillId="0" borderId="0" applyNumberFormat="0" applyFill="0" applyBorder="0" applyAlignment="0" applyProtection="0"/>
    <xf numFmtId="0" fontId="33" fillId="12" borderId="14" applyNumberFormat="0" applyAlignment="0" applyProtection="0"/>
    <xf numFmtId="0" fontId="34" fillId="0" borderId="19" applyNumberFormat="0" applyFill="0" applyAlignment="0" applyProtection="0"/>
    <xf numFmtId="0" fontId="35" fillId="27" borderId="0" applyNumberFormat="0" applyBorder="0" applyAlignment="0" applyProtection="0"/>
    <xf numFmtId="0" fontId="22" fillId="28" borderId="20" applyNumberFormat="0" applyFont="0" applyAlignment="0" applyProtection="0"/>
    <xf numFmtId="0" fontId="36" fillId="25" borderId="21" applyNumberFormat="0" applyAlignment="0" applyProtection="0"/>
    <xf numFmtId="0" fontId="37" fillId="0" borderId="0" applyNumberFormat="0" applyFill="0" applyBorder="0" applyAlignment="0" applyProtection="0"/>
    <xf numFmtId="0" fontId="38" fillId="0" borderId="22" applyNumberFormat="0" applyFill="0" applyAlignment="0" applyProtection="0"/>
    <xf numFmtId="0" fontId="39" fillId="0" borderId="0" applyNumberFormat="0" applyFill="0" applyBorder="0" applyAlignment="0" applyProtection="0"/>
    <xf numFmtId="9" fontId="1" fillId="0" borderId="0" applyFont="0" applyFill="0" applyBorder="0" applyAlignment="0" applyProtection="0"/>
  </cellStyleXfs>
  <cellXfs count="245">
    <xf numFmtId="0" fontId="0" fillId="0" borderId="0" xfId="0"/>
    <xf numFmtId="0" fontId="3" fillId="3" borderId="0" xfId="0" applyFont="1" applyFill="1" applyBorder="1" applyAlignment="1">
      <alignment horizontal="left"/>
    </xf>
    <xf numFmtId="164" fontId="3" fillId="3" borderId="0" xfId="0" applyNumberFormat="1" applyFont="1" applyFill="1" applyBorder="1" applyAlignment="1">
      <alignment horizontal="center"/>
    </xf>
    <xf numFmtId="43" fontId="3" fillId="3" borderId="0" xfId="1" applyFont="1" applyFill="1" applyBorder="1" applyAlignment="1">
      <alignment horizontal="right"/>
    </xf>
    <xf numFmtId="164" fontId="3" fillId="3" borderId="0" xfId="0" applyNumberFormat="1" applyFont="1" applyFill="1" applyBorder="1" applyAlignment="1">
      <alignment horizontal="left"/>
    </xf>
    <xf numFmtId="0" fontId="4" fillId="0" borderId="2" xfId="0" applyFont="1" applyBorder="1"/>
    <xf numFmtId="0" fontId="4" fillId="0" borderId="2" xfId="0" applyFont="1" applyBorder="1" applyAlignment="1">
      <alignment horizontal="center"/>
    </xf>
    <xf numFmtId="0" fontId="4" fillId="0" borderId="3" xfId="0" applyFont="1" applyBorder="1"/>
    <xf numFmtId="0" fontId="4" fillId="0" borderId="0" xfId="0" applyFont="1" applyBorder="1"/>
    <xf numFmtId="0" fontId="4" fillId="0" borderId="0" xfId="0" applyFont="1" applyBorder="1" applyAlignment="1">
      <alignment horizontal="center"/>
    </xf>
    <xf numFmtId="10" fontId="4" fillId="0" borderId="0" xfId="1" applyNumberFormat="1" applyFont="1" applyBorder="1"/>
    <xf numFmtId="43" fontId="7" fillId="0" borderId="0" xfId="1" applyFont="1" applyFill="1" applyBorder="1"/>
    <xf numFmtId="0" fontId="7" fillId="0" borderId="0" xfId="3" applyFont="1" applyBorder="1" applyAlignment="1">
      <alignment horizontal="left"/>
    </xf>
    <xf numFmtId="0" fontId="4" fillId="0" borderId="5" xfId="0" applyFont="1" applyBorder="1"/>
    <xf numFmtId="0" fontId="4" fillId="0" borderId="5" xfId="0" applyFont="1" applyBorder="1" applyAlignment="1">
      <alignment horizontal="center"/>
    </xf>
    <xf numFmtId="0" fontId="4" fillId="0" borderId="3" xfId="0" applyFont="1" applyBorder="1" applyAlignment="1">
      <alignment horizontal="left"/>
    </xf>
    <xf numFmtId="43" fontId="0" fillId="0" borderId="0" xfId="0" applyNumberFormat="1"/>
    <xf numFmtId="0" fontId="4" fillId="0" borderId="4" xfId="0" applyFont="1" applyBorder="1" applyAlignment="1">
      <alignment horizontal="left"/>
    </xf>
    <xf numFmtId="0" fontId="4" fillId="0" borderId="1" xfId="0" applyFont="1" applyBorder="1" applyAlignment="1">
      <alignment horizontal="left"/>
    </xf>
    <xf numFmtId="0" fontId="3" fillId="3" borderId="1" xfId="0" applyFont="1" applyFill="1" applyBorder="1"/>
    <xf numFmtId="0" fontId="4" fillId="3" borderId="2" xfId="0" applyFont="1" applyFill="1" applyBorder="1"/>
    <xf numFmtId="0" fontId="4" fillId="3" borderId="6" xfId="0" applyFont="1" applyFill="1" applyBorder="1"/>
    <xf numFmtId="0" fontId="8" fillId="0" borderId="3" xfId="4" applyBorder="1"/>
    <xf numFmtId="0" fontId="4" fillId="0" borderId="7" xfId="0" applyFont="1" applyBorder="1"/>
    <xf numFmtId="0" fontId="9" fillId="5" borderId="3" xfId="0" applyFont="1" applyFill="1" applyBorder="1"/>
    <xf numFmtId="0" fontId="6" fillId="5" borderId="0" xfId="5" applyFont="1" applyFill="1" applyBorder="1" applyAlignment="1" applyProtection="1"/>
    <xf numFmtId="0" fontId="6" fillId="5" borderId="0" xfId="0" applyFont="1" applyFill="1" applyBorder="1" applyAlignment="1" applyProtection="1"/>
    <xf numFmtId="0" fontId="6" fillId="5" borderId="7" xfId="0" applyFont="1" applyFill="1" applyBorder="1" applyAlignment="1" applyProtection="1"/>
    <xf numFmtId="0" fontId="7" fillId="0" borderId="3" xfId="5" applyFont="1" applyFill="1" applyBorder="1" applyAlignment="1" applyProtection="1"/>
    <xf numFmtId="2" fontId="7" fillId="0" borderId="0" xfId="5" applyNumberFormat="1" applyFont="1" applyFill="1" applyBorder="1" applyAlignment="1" applyProtection="1"/>
    <xf numFmtId="2" fontId="7" fillId="0" borderId="0" xfId="0" applyNumberFormat="1" applyFont="1" applyFill="1" applyBorder="1" applyAlignment="1" applyProtection="1"/>
    <xf numFmtId="2" fontId="7" fillId="0" borderId="7" xfId="0" applyNumberFormat="1" applyFont="1" applyFill="1" applyBorder="1" applyAlignment="1" applyProtection="1"/>
    <xf numFmtId="0" fontId="9" fillId="0" borderId="4" xfId="0" applyFont="1" applyFill="1" applyBorder="1"/>
    <xf numFmtId="165" fontId="9" fillId="0" borderId="5" xfId="0" applyNumberFormat="1" applyFont="1" applyFill="1" applyBorder="1"/>
    <xf numFmtId="165" fontId="9" fillId="0" borderId="8" xfId="0" applyNumberFormat="1" applyFont="1" applyFill="1" applyBorder="1"/>
    <xf numFmtId="10" fontId="4" fillId="0" borderId="5" xfId="0" applyNumberFormat="1" applyFont="1" applyBorder="1"/>
    <xf numFmtId="10" fontId="0" fillId="0" borderId="0" xfId="0" applyNumberFormat="1"/>
    <xf numFmtId="0" fontId="0" fillId="0" borderId="0" xfId="0" applyAlignment="1">
      <alignment horizontal="center" vertical="center"/>
    </xf>
    <xf numFmtId="166" fontId="0" fillId="0" borderId="0" xfId="0" applyNumberFormat="1"/>
    <xf numFmtId="0" fontId="0" fillId="4" borderId="0" xfId="0" applyFill="1"/>
    <xf numFmtId="10" fontId="7" fillId="0" borderId="0" xfId="1" applyNumberFormat="1" applyFont="1" applyFill="1" applyBorder="1"/>
    <xf numFmtId="0" fontId="10" fillId="0" borderId="0" xfId="0" applyFont="1"/>
    <xf numFmtId="0" fontId="10" fillId="0" borderId="0" xfId="0" applyFont="1" applyAlignment="1">
      <alignment horizontal="center" vertical="center"/>
    </xf>
    <xf numFmtId="0" fontId="10" fillId="4" borderId="0" xfId="0" applyFont="1" applyFill="1"/>
    <xf numFmtId="43" fontId="10" fillId="0" borderId="0" xfId="0" applyNumberFormat="1" applyFont="1"/>
    <xf numFmtId="10" fontId="10" fillId="0" borderId="0" xfId="0" applyNumberFormat="1" applyFont="1"/>
    <xf numFmtId="166" fontId="10" fillId="0" borderId="0" xfId="0" applyNumberFormat="1" applyFont="1"/>
    <xf numFmtId="0" fontId="10" fillId="0" borderId="5" xfId="0" applyFont="1" applyBorder="1"/>
    <xf numFmtId="2" fontId="10" fillId="0" borderId="5" xfId="0" applyNumberFormat="1" applyFont="1" applyBorder="1"/>
    <xf numFmtId="0" fontId="10" fillId="0" borderId="0" xfId="0" applyFont="1" applyAlignment="1">
      <alignment horizontal="center"/>
    </xf>
    <xf numFmtId="168" fontId="10" fillId="0" borderId="0" xfId="0" applyNumberFormat="1" applyFont="1"/>
    <xf numFmtId="1" fontId="10" fillId="0" borderId="0" xfId="0" applyNumberFormat="1" applyFont="1"/>
    <xf numFmtId="0" fontId="11" fillId="0" borderId="0" xfId="0" applyFont="1" applyAlignment="1">
      <alignment wrapText="1"/>
    </xf>
    <xf numFmtId="0" fontId="10" fillId="0" borderId="2" xfId="0" applyFont="1" applyBorder="1"/>
    <xf numFmtId="41" fontId="4" fillId="0" borderId="0" xfId="1" applyNumberFormat="1" applyFont="1" applyBorder="1"/>
    <xf numFmtId="41" fontId="4" fillId="0" borderId="5" xfId="1" applyNumberFormat="1" applyFont="1" applyBorder="1"/>
    <xf numFmtId="41" fontId="0" fillId="0" borderId="0" xfId="0" applyNumberFormat="1"/>
    <xf numFmtId="2" fontId="0" fillId="0" borderId="0" xfId="0" applyNumberFormat="1"/>
    <xf numFmtId="0" fontId="0" fillId="0" borderId="0" xfId="0" applyFont="1"/>
    <xf numFmtId="0" fontId="0" fillId="4" borderId="0" xfId="0" applyFont="1" applyFill="1"/>
    <xf numFmtId="0" fontId="13" fillId="0" borderId="0" xfId="0" applyFont="1"/>
    <xf numFmtId="0" fontId="13" fillId="0" borderId="9" xfId="0" applyFont="1" applyBorder="1"/>
    <xf numFmtId="0" fontId="13" fillId="0" borderId="9" xfId="0" applyFont="1" applyBorder="1" applyAlignment="1">
      <alignment horizontal="center" vertical="center"/>
    </xf>
    <xf numFmtId="0" fontId="13" fillId="0" borderId="9" xfId="0" applyFont="1" applyBorder="1" applyAlignment="1">
      <alignment horizontal="center"/>
    </xf>
    <xf numFmtId="0" fontId="14" fillId="0" borderId="9" xfId="0" applyFont="1" applyBorder="1" applyAlignment="1">
      <alignment horizontal="center" vertical="center"/>
    </xf>
    <xf numFmtId="0" fontId="13" fillId="0" borderId="0" xfId="0" applyFont="1" applyAlignment="1">
      <alignment wrapText="1"/>
    </xf>
    <xf numFmtId="0" fontId="13" fillId="0" borderId="9" xfId="0" applyFont="1" applyBorder="1" applyAlignment="1">
      <alignment wrapText="1"/>
    </xf>
    <xf numFmtId="0" fontId="14" fillId="0" borderId="9" xfId="0" applyFont="1" applyFill="1" applyBorder="1" applyAlignment="1">
      <alignment horizontal="center" vertical="center"/>
    </xf>
    <xf numFmtId="0" fontId="13" fillId="0" borderId="7" xfId="0" applyFont="1" applyBorder="1" applyAlignment="1">
      <alignment wrapText="1"/>
    </xf>
    <xf numFmtId="0" fontId="13" fillId="0" borderId="7" xfId="0" applyFont="1" applyFill="1" applyBorder="1"/>
    <xf numFmtId="166" fontId="10" fillId="0" borderId="2" xfId="0" applyNumberFormat="1" applyFont="1" applyBorder="1"/>
    <xf numFmtId="3" fontId="10" fillId="0" borderId="0" xfId="0" applyNumberFormat="1" applyFont="1"/>
    <xf numFmtId="0" fontId="0" fillId="0" borderId="0" xfId="0" applyFont="1" applyFill="1" applyBorder="1"/>
    <xf numFmtId="0" fontId="0" fillId="0" borderId="9" xfId="0" applyFont="1" applyBorder="1"/>
    <xf numFmtId="0" fontId="0" fillId="0" borderId="9" xfId="0" applyFont="1" applyBorder="1" applyAlignment="1">
      <alignment wrapText="1"/>
    </xf>
    <xf numFmtId="0" fontId="0" fillId="0" borderId="9" xfId="0" applyFont="1" applyBorder="1" applyAlignment="1">
      <alignment horizontal="center" vertical="center"/>
    </xf>
    <xf numFmtId="0" fontId="13" fillId="0" borderId="9" xfId="0" applyFont="1" applyFill="1" applyBorder="1" applyAlignment="1">
      <alignment horizontal="center" vertical="center"/>
    </xf>
    <xf numFmtId="0" fontId="0" fillId="0" borderId="5" xfId="0" applyFont="1" applyBorder="1"/>
    <xf numFmtId="0" fontId="0" fillId="0" borderId="9" xfId="0" applyFont="1" applyBorder="1" applyAlignment="1">
      <alignment horizontal="center"/>
    </xf>
    <xf numFmtId="0" fontId="0" fillId="0" borderId="12" xfId="0" applyFont="1" applyFill="1" applyBorder="1" applyAlignment="1">
      <alignment wrapText="1"/>
    </xf>
    <xf numFmtId="0" fontId="0" fillId="0" borderId="0" xfId="0" applyFont="1" applyAlignment="1">
      <alignment wrapText="1"/>
    </xf>
    <xf numFmtId="0" fontId="0" fillId="0" borderId="10" xfId="0" applyFont="1" applyBorder="1" applyAlignment="1">
      <alignment vertical="top" wrapText="1"/>
    </xf>
    <xf numFmtId="0" fontId="15" fillId="0" borderId="0" xfId="0" applyFont="1" applyAlignment="1">
      <alignment wrapText="1" readingOrder="1"/>
    </xf>
    <xf numFmtId="0" fontId="0" fillId="4" borderId="9" xfId="0" applyFont="1" applyFill="1" applyBorder="1"/>
    <xf numFmtId="165" fontId="10" fillId="0" borderId="0" xfId="0" applyNumberFormat="1" applyFont="1"/>
    <xf numFmtId="169" fontId="10" fillId="0" borderId="0" xfId="0" applyNumberFormat="1" applyFont="1"/>
    <xf numFmtId="1" fontId="10" fillId="0" borderId="0" xfId="0" applyNumberFormat="1" applyFont="1" applyAlignment="1">
      <alignment horizontal="center" vertical="center"/>
    </xf>
    <xf numFmtId="0" fontId="0" fillId="0" borderId="0" xfId="0" applyFont="1" applyFill="1"/>
    <xf numFmtId="0" fontId="0" fillId="0" borderId="0" xfId="0" applyFont="1" applyAlignment="1">
      <alignment horizontal="center" vertical="center"/>
    </xf>
    <xf numFmtId="0" fontId="16" fillId="4" borderId="9" xfId="0" applyFont="1" applyFill="1" applyBorder="1"/>
    <xf numFmtId="0" fontId="16" fillId="4" borderId="9" xfId="0" applyFont="1" applyFill="1" applyBorder="1" applyAlignment="1">
      <alignment wrapText="1"/>
    </xf>
    <xf numFmtId="0" fontId="0" fillId="0" borderId="9" xfId="0" applyFont="1" applyBorder="1" applyAlignment="1">
      <alignment horizontal="left" vertical="center" wrapText="1"/>
    </xf>
    <xf numFmtId="0" fontId="0" fillId="0" borderId="9" xfId="0" applyFont="1" applyBorder="1" applyAlignment="1">
      <alignment horizontal="left"/>
    </xf>
    <xf numFmtId="0" fontId="19" fillId="0" borderId="0" xfId="0" applyFont="1"/>
    <xf numFmtId="0" fontId="18" fillId="0" borderId="0" xfId="0" applyFont="1"/>
    <xf numFmtId="44" fontId="18" fillId="0" borderId="0" xfId="8" applyFont="1"/>
    <xf numFmtId="0" fontId="20" fillId="0" borderId="0" xfId="0" applyFont="1"/>
    <xf numFmtId="43" fontId="19" fillId="0" borderId="0" xfId="0" applyNumberFormat="1" applyFont="1"/>
    <xf numFmtId="0" fontId="0" fillId="0" borderId="0" xfId="0" applyNumberFormat="1"/>
    <xf numFmtId="0" fontId="0" fillId="0" borderId="0" xfId="0" applyAlignment="1">
      <alignment horizontal="right"/>
    </xf>
    <xf numFmtId="39" fontId="10" fillId="0" borderId="0" xfId="0" applyNumberFormat="1" applyFont="1"/>
    <xf numFmtId="0" fontId="0" fillId="0" borderId="9" xfId="0" applyFont="1" applyFill="1" applyBorder="1" applyAlignment="1">
      <alignment horizontal="left" vertical="center" wrapText="1"/>
    </xf>
    <xf numFmtId="0" fontId="0" fillId="0" borderId="10" xfId="0" applyFont="1" applyFill="1" applyBorder="1" applyAlignment="1">
      <alignment horizontal="left" vertical="center" wrapText="1"/>
    </xf>
    <xf numFmtId="0" fontId="0" fillId="0" borderId="7" xfId="0" applyFont="1" applyBorder="1" applyAlignment="1">
      <alignment wrapText="1"/>
    </xf>
    <xf numFmtId="0" fontId="0" fillId="0" borderId="7" xfId="0" applyFont="1" applyFill="1" applyBorder="1" applyAlignment="1">
      <alignment horizontal="left" vertical="center" wrapText="1"/>
    </xf>
    <xf numFmtId="0" fontId="0" fillId="0" borderId="9" xfId="0" applyFont="1" applyBorder="1" applyAlignment="1">
      <alignment horizontal="left" wrapText="1"/>
    </xf>
    <xf numFmtId="0" fontId="0" fillId="0" borderId="0" xfId="0" applyFont="1" applyBorder="1" applyAlignment="1">
      <alignment horizontal="left" vertical="center" wrapText="1"/>
    </xf>
    <xf numFmtId="0" fontId="1" fillId="0" borderId="0" xfId="0" applyFont="1"/>
    <xf numFmtId="3" fontId="1" fillId="0" borderId="0" xfId="0" applyNumberFormat="1" applyFont="1"/>
    <xf numFmtId="0" fontId="4" fillId="0" borderId="0" xfId="0" quotePrefix="1" applyFont="1" applyAlignment="1">
      <alignment horizontal="center"/>
    </xf>
    <xf numFmtId="10" fontId="10" fillId="0" borderId="2" xfId="0" applyNumberFormat="1" applyFont="1" applyBorder="1"/>
    <xf numFmtId="0" fontId="0" fillId="0" borderId="0" xfId="0" applyFont="1"/>
    <xf numFmtId="0" fontId="0" fillId="0" borderId="0" xfId="0"/>
    <xf numFmtId="0" fontId="7" fillId="0" borderId="5" xfId="3" quotePrefix="1" applyFont="1" applyFill="1" applyBorder="1" applyAlignment="1">
      <alignment horizontal="center"/>
    </xf>
    <xf numFmtId="3" fontId="0" fillId="0" borderId="0" xfId="0" applyNumberFormat="1"/>
    <xf numFmtId="0" fontId="4" fillId="0" borderId="0" xfId="0" applyFont="1" applyBorder="1" applyAlignment="1">
      <alignment horizontal="center"/>
    </xf>
    <xf numFmtId="0" fontId="4" fillId="0" borderId="0" xfId="0" applyFont="1" applyBorder="1"/>
    <xf numFmtId="0" fontId="3" fillId="3" borderId="0" xfId="0" applyFont="1" applyFill="1" applyBorder="1" applyAlignment="1">
      <alignment horizontal="left"/>
    </xf>
    <xf numFmtId="0" fontId="4" fillId="0" borderId="0" xfId="0" applyFont="1" applyBorder="1" applyAlignment="1">
      <alignment horizontal="left"/>
    </xf>
    <xf numFmtId="0" fontId="0" fillId="0" borderId="2" xfId="0" applyFont="1" applyBorder="1"/>
    <xf numFmtId="0" fontId="0" fillId="0" borderId="0" xfId="0" applyFont="1" applyAlignment="1">
      <alignment horizontal="center"/>
    </xf>
    <xf numFmtId="0" fontId="0" fillId="0" borderId="0" xfId="0" applyFont="1"/>
    <xf numFmtId="0" fontId="0" fillId="0" borderId="0" xfId="0"/>
    <xf numFmtId="0" fontId="0" fillId="0" borderId="0" xfId="0" applyFont="1"/>
    <xf numFmtId="43" fontId="10" fillId="0" borderId="2" xfId="0" applyNumberFormat="1" applyFont="1" applyBorder="1"/>
    <xf numFmtId="0" fontId="0" fillId="0" borderId="0" xfId="0" applyFont="1"/>
    <xf numFmtId="0" fontId="0" fillId="0" borderId="0" xfId="0"/>
    <xf numFmtId="0" fontId="4" fillId="0" borderId="2" xfId="0" applyFont="1" applyBorder="1"/>
    <xf numFmtId="0" fontId="4" fillId="0" borderId="0" xfId="0" applyFont="1" applyBorder="1"/>
    <xf numFmtId="43" fontId="4" fillId="0" borderId="0" xfId="1" applyFont="1" applyBorder="1"/>
    <xf numFmtId="0" fontId="4" fillId="0" borderId="0" xfId="0" applyFont="1" applyBorder="1" applyAlignment="1">
      <alignment horizontal="center"/>
    </xf>
    <xf numFmtId="0" fontId="4" fillId="0" borderId="5" xfId="0" applyFont="1" applyBorder="1"/>
    <xf numFmtId="0" fontId="4" fillId="0" borderId="5" xfId="0" applyFont="1" applyBorder="1" applyAlignment="1">
      <alignment horizontal="center"/>
    </xf>
    <xf numFmtId="0" fontId="4" fillId="0" borderId="3" xfId="0" applyFont="1" applyBorder="1" applyAlignment="1">
      <alignment horizontal="left"/>
    </xf>
    <xf numFmtId="0" fontId="4" fillId="0" borderId="4" xfId="0" applyFont="1" applyBorder="1" applyAlignment="1">
      <alignment horizontal="left"/>
    </xf>
    <xf numFmtId="43" fontId="4" fillId="0" borderId="5" xfId="1" applyFont="1" applyBorder="1"/>
    <xf numFmtId="0" fontId="0" fillId="0" borderId="0" xfId="0" applyAlignment="1">
      <alignment horizontal="center" vertical="center"/>
    </xf>
    <xf numFmtId="0" fontId="14" fillId="0" borderId="9" xfId="0" applyFont="1" applyBorder="1" applyAlignment="1">
      <alignment horizontal="center" vertical="center"/>
    </xf>
    <xf numFmtId="0" fontId="0" fillId="0" borderId="0" xfId="0" applyFont="1" applyAlignment="1">
      <alignment horizontal="center" vertical="center"/>
    </xf>
    <xf numFmtId="44" fontId="18" fillId="0" borderId="0" xfId="8" applyFont="1"/>
    <xf numFmtId="0" fontId="8" fillId="0" borderId="0" xfId="4"/>
    <xf numFmtId="171" fontId="10" fillId="0" borderId="0" xfId="57" applyNumberFormat="1" applyFont="1"/>
    <xf numFmtId="0" fontId="0" fillId="0" borderId="0" xfId="0" applyFont="1" applyBorder="1"/>
    <xf numFmtId="0" fontId="10" fillId="0" borderId="0" xfId="0" applyFont="1" applyBorder="1"/>
    <xf numFmtId="10" fontId="10" fillId="0" borderId="0" xfId="0" applyNumberFormat="1" applyFont="1" applyBorder="1"/>
    <xf numFmtId="0" fontId="40" fillId="3" borderId="0" xfId="0" applyFont="1" applyFill="1" applyBorder="1" applyAlignment="1">
      <alignment horizontal="left"/>
    </xf>
    <xf numFmtId="164" fontId="40" fillId="3" borderId="0" xfId="0" applyNumberFormat="1" applyFont="1" applyFill="1" applyBorder="1" applyAlignment="1">
      <alignment horizontal="center"/>
    </xf>
    <xf numFmtId="43" fontId="40" fillId="3" borderId="0" xfId="1" applyFont="1" applyFill="1" applyBorder="1" applyAlignment="1">
      <alignment horizontal="right"/>
    </xf>
    <xf numFmtId="0" fontId="41" fillId="0" borderId="0" xfId="0" applyFont="1"/>
    <xf numFmtId="0" fontId="42" fillId="0" borderId="3" xfId="0" applyFont="1" applyBorder="1" applyAlignment="1">
      <alignment horizontal="left"/>
    </xf>
    <xf numFmtId="0" fontId="42" fillId="0" borderId="0" xfId="0" applyFont="1" applyBorder="1"/>
    <xf numFmtId="43" fontId="42" fillId="0" borderId="0" xfId="1" applyFont="1" applyFill="1" applyBorder="1"/>
    <xf numFmtId="43" fontId="42" fillId="0" borderId="0" xfId="1" applyFont="1" applyBorder="1" applyAlignment="1">
      <alignment horizontal="center"/>
    </xf>
    <xf numFmtId="41" fontId="42" fillId="0" borderId="0" xfId="1" applyNumberFormat="1" applyFont="1" applyBorder="1"/>
    <xf numFmtId="0" fontId="42" fillId="0" borderId="0" xfId="1" applyNumberFormat="1" applyFont="1" applyBorder="1"/>
    <xf numFmtId="43" fontId="42" fillId="0" borderId="0" xfId="1" applyFont="1" applyBorder="1" applyAlignment="1">
      <alignment horizontal="center" vertical="center"/>
    </xf>
    <xf numFmtId="0" fontId="42" fillId="0" borderId="1" xfId="0" applyFont="1" applyBorder="1"/>
    <xf numFmtId="0" fontId="42" fillId="0" borderId="2" xfId="0" applyFont="1" applyBorder="1"/>
    <xf numFmtId="0" fontId="42" fillId="0" borderId="2" xfId="0" applyFont="1" applyBorder="1" applyAlignment="1">
      <alignment horizontal="center"/>
    </xf>
    <xf numFmtId="0" fontId="43" fillId="0" borderId="0" xfId="3" applyFont="1" applyFill="1" applyBorder="1"/>
    <xf numFmtId="0" fontId="42" fillId="0" borderId="3" xfId="0" applyFont="1" applyBorder="1"/>
    <xf numFmtId="0" fontId="42" fillId="0" borderId="0" xfId="0" applyFont="1" applyBorder="1" applyAlignment="1">
      <alignment horizontal="center"/>
    </xf>
    <xf numFmtId="43" fontId="42" fillId="0" borderId="0" xfId="1" applyFont="1" applyBorder="1"/>
    <xf numFmtId="43" fontId="41" fillId="0" borderId="0" xfId="0" applyNumberFormat="1" applyFont="1"/>
    <xf numFmtId="39" fontId="42" fillId="0" borderId="0" xfId="0" applyNumberFormat="1" applyFont="1" applyBorder="1"/>
    <xf numFmtId="43" fontId="42" fillId="0" borderId="0" xfId="0" applyNumberFormat="1" applyFont="1" applyBorder="1"/>
    <xf numFmtId="2" fontId="42" fillId="0" borderId="0" xfId="0" applyNumberFormat="1" applyFont="1" applyBorder="1"/>
    <xf numFmtId="165" fontId="41" fillId="0" borderId="0" xfId="0" applyNumberFormat="1" applyFont="1"/>
    <xf numFmtId="10" fontId="4" fillId="0" borderId="0" xfId="0" applyNumberFormat="1" applyFont="1" applyBorder="1"/>
    <xf numFmtId="2" fontId="4" fillId="0" borderId="0" xfId="0" applyNumberFormat="1" applyFont="1" applyBorder="1"/>
    <xf numFmtId="0" fontId="40" fillId="3" borderId="3" xfId="0" applyFont="1" applyFill="1" applyBorder="1" applyAlignment="1">
      <alignment horizontal="left"/>
    </xf>
    <xf numFmtId="164" fontId="40" fillId="3" borderId="7" xfId="0" applyNumberFormat="1" applyFont="1" applyFill="1" applyBorder="1" applyAlignment="1">
      <alignment horizontal="left"/>
    </xf>
    <xf numFmtId="0" fontId="42" fillId="0" borderId="7" xfId="0" applyFont="1" applyFill="1" applyBorder="1"/>
    <xf numFmtId="0" fontId="42" fillId="0" borderId="7" xfId="0" applyFont="1" applyBorder="1"/>
    <xf numFmtId="0" fontId="41" fillId="0" borderId="0" xfId="0" applyFont="1" applyBorder="1"/>
    <xf numFmtId="0" fontId="41" fillId="0" borderId="5" xfId="0" applyFont="1" applyBorder="1"/>
    <xf numFmtId="43" fontId="42" fillId="0" borderId="5" xfId="1" applyFont="1" applyBorder="1" applyAlignment="1">
      <alignment horizontal="center"/>
    </xf>
    <xf numFmtId="0" fontId="43" fillId="0" borderId="7" xfId="3" applyFont="1" applyFill="1" applyBorder="1"/>
    <xf numFmtId="0" fontId="43" fillId="0" borderId="7" xfId="3" applyFont="1" applyFill="1" applyBorder="1" applyAlignment="1">
      <alignment wrapText="1"/>
    </xf>
    <xf numFmtId="0" fontId="44" fillId="0" borderId="7" xfId="3" applyFont="1" applyFill="1" applyBorder="1"/>
    <xf numFmtId="0" fontId="42" fillId="0" borderId="4" xfId="0" applyFont="1" applyBorder="1"/>
    <xf numFmtId="0" fontId="42" fillId="0" borderId="5" xfId="0" applyFont="1" applyBorder="1"/>
    <xf numFmtId="43" fontId="43" fillId="0" borderId="8" xfId="3" applyNumberFormat="1" applyFont="1" applyFill="1" applyBorder="1"/>
    <xf numFmtId="0" fontId="43" fillId="0" borderId="0" xfId="3" applyFont="1" applyFill="1" applyBorder="1" applyAlignment="1"/>
    <xf numFmtId="169" fontId="41" fillId="31" borderId="9" xfId="0" applyNumberFormat="1" applyFont="1" applyFill="1" applyBorder="1" applyAlignment="1">
      <alignment horizontal="center"/>
    </xf>
    <xf numFmtId="167" fontId="42" fillId="31" borderId="0" xfId="1" applyNumberFormat="1" applyFont="1" applyFill="1" applyBorder="1"/>
    <xf numFmtId="41" fontId="45" fillId="31" borderId="0" xfId="2" applyNumberFormat="1" applyFont="1" applyFill="1" applyBorder="1"/>
    <xf numFmtId="0" fontId="46" fillId="31" borderId="5" xfId="2" applyNumberFormat="1" applyFont="1" applyFill="1" applyBorder="1"/>
    <xf numFmtId="43" fontId="46" fillId="31" borderId="5" xfId="2" applyNumberFormat="1" applyFont="1" applyFill="1" applyBorder="1"/>
    <xf numFmtId="43" fontId="45" fillId="31" borderId="0" xfId="2" applyNumberFormat="1" applyFont="1" applyFill="1" applyBorder="1"/>
    <xf numFmtId="0" fontId="47" fillId="0" borderId="0" xfId="0" applyFont="1"/>
    <xf numFmtId="0" fontId="47" fillId="0" borderId="0" xfId="0" applyFont="1" applyAlignment="1">
      <alignment wrapText="1"/>
    </xf>
    <xf numFmtId="0" fontId="49" fillId="3" borderId="9" xfId="0" applyFont="1" applyFill="1" applyBorder="1" applyAlignment="1">
      <alignment horizontal="center"/>
    </xf>
    <xf numFmtId="0" fontId="47" fillId="30" borderId="9" xfId="0" applyFont="1" applyFill="1" applyBorder="1" applyAlignment="1">
      <alignment horizontal="center" wrapText="1"/>
    </xf>
    <xf numFmtId="166" fontId="47" fillId="0" borderId="9" xfId="0" applyNumberFormat="1" applyFont="1" applyBorder="1"/>
    <xf numFmtId="169" fontId="47" fillId="0" borderId="9" xfId="0" applyNumberFormat="1" applyFont="1" applyBorder="1"/>
    <xf numFmtId="166" fontId="47" fillId="0" borderId="0" xfId="0" applyNumberFormat="1" applyFont="1" applyAlignment="1">
      <alignment horizontal="left"/>
    </xf>
    <xf numFmtId="170" fontId="47" fillId="0" borderId="9" xfId="0" applyNumberFormat="1" applyFont="1" applyBorder="1"/>
    <xf numFmtId="2" fontId="47" fillId="0" borderId="0" xfId="0" applyNumberFormat="1" applyFont="1" applyAlignment="1">
      <alignment horizontal="left"/>
    </xf>
    <xf numFmtId="169" fontId="47" fillId="0" borderId="0" xfId="0" applyNumberFormat="1" applyFont="1" applyBorder="1"/>
    <xf numFmtId="0" fontId="47" fillId="0" borderId="0" xfId="0" applyFont="1" applyBorder="1" applyAlignment="1">
      <alignment wrapText="1"/>
    </xf>
    <xf numFmtId="169" fontId="47" fillId="0" borderId="0" xfId="0" applyNumberFormat="1" applyFont="1" applyBorder="1" applyAlignment="1">
      <alignment horizontal="center"/>
    </xf>
    <xf numFmtId="0" fontId="52" fillId="3" borderId="23" xfId="0" applyFont="1" applyFill="1" applyBorder="1" applyAlignment="1">
      <alignment horizontal="left"/>
    </xf>
    <xf numFmtId="0" fontId="51" fillId="29" borderId="23" xfId="0" applyFont="1" applyFill="1" applyBorder="1" applyAlignment="1">
      <alignment horizontal="left" vertical="center"/>
    </xf>
    <xf numFmtId="0" fontId="47" fillId="30" borderId="23" xfId="0" applyFont="1" applyFill="1" applyBorder="1" applyAlignment="1">
      <alignment horizontal="left" wrapText="1"/>
    </xf>
    <xf numFmtId="169" fontId="47" fillId="0" borderId="23" xfId="0" applyNumberFormat="1" applyFont="1" applyBorder="1"/>
    <xf numFmtId="169" fontId="47" fillId="0" borderId="23" xfId="0" applyNumberFormat="1" applyFont="1" applyBorder="1" applyAlignment="1">
      <alignment horizontal="center"/>
    </xf>
    <xf numFmtId="169" fontId="47" fillId="0" borderId="23" xfId="0" applyNumberFormat="1" applyFont="1" applyFill="1" applyBorder="1" applyAlignment="1">
      <alignment horizontal="left"/>
    </xf>
    <xf numFmtId="0" fontId="47" fillId="0" borderId="23" xfId="0" applyFont="1" applyBorder="1" applyAlignment="1">
      <alignment wrapText="1"/>
    </xf>
    <xf numFmtId="0" fontId="47" fillId="0" borderId="23" xfId="0" applyFont="1" applyBorder="1"/>
    <xf numFmtId="0" fontId="47" fillId="0" borderId="23" xfId="0" applyFont="1" applyFill="1" applyBorder="1" applyAlignment="1">
      <alignment wrapText="1"/>
    </xf>
    <xf numFmtId="0" fontId="48" fillId="0" borderId="0" xfId="0" applyFont="1" applyFill="1"/>
    <xf numFmtId="0" fontId="47" fillId="0" borderId="0" xfId="0" applyFont="1" applyFill="1"/>
    <xf numFmtId="0" fontId="47" fillId="32" borderId="0" xfId="0" applyFont="1" applyFill="1"/>
    <xf numFmtId="0" fontId="51" fillId="32" borderId="0" xfId="0" applyFont="1" applyFill="1"/>
    <xf numFmtId="0" fontId="48" fillId="32" borderId="0" xfId="0" applyFont="1" applyFill="1"/>
    <xf numFmtId="0" fontId="18" fillId="32" borderId="0" xfId="0" applyFont="1" applyFill="1"/>
    <xf numFmtId="169" fontId="0" fillId="0" borderId="9" xfId="0" applyNumberFormat="1" applyFont="1" applyBorder="1" applyAlignment="1">
      <alignment horizontal="center"/>
    </xf>
    <xf numFmtId="166" fontId="0" fillId="0" borderId="9" xfId="0" applyNumberFormat="1" applyFont="1" applyBorder="1" applyAlignment="1">
      <alignment horizontal="center"/>
    </xf>
    <xf numFmtId="2" fontId="47" fillId="0" borderId="9" xfId="0" applyNumberFormat="1" applyFont="1" applyBorder="1"/>
    <xf numFmtId="0" fontId="0" fillId="0" borderId="23" xfId="0" applyFont="1" applyBorder="1"/>
    <xf numFmtId="0" fontId="0" fillId="30" borderId="9" xfId="0" applyFont="1" applyFill="1" applyBorder="1" applyAlignment="1">
      <alignment horizontal="center" wrapText="1"/>
    </xf>
    <xf numFmtId="0" fontId="0" fillId="0" borderId="23" xfId="0" applyFont="1" applyFill="1" applyBorder="1" applyAlignment="1">
      <alignment wrapText="1"/>
    </xf>
    <xf numFmtId="0" fontId="53" fillId="0" borderId="23" xfId="0" applyFont="1" applyFill="1" applyBorder="1" applyAlignment="1">
      <alignment horizontal="left"/>
    </xf>
    <xf numFmtId="0" fontId="0" fillId="0" borderId="23" xfId="0" applyFont="1" applyBorder="1" applyAlignment="1">
      <alignment wrapText="1"/>
    </xf>
    <xf numFmtId="0" fontId="55" fillId="0" borderId="0" xfId="0" applyFont="1"/>
    <xf numFmtId="11" fontId="10" fillId="0" borderId="0" xfId="0" applyNumberFormat="1" applyFont="1"/>
    <xf numFmtId="0" fontId="41" fillId="0" borderId="7" xfId="0" applyFont="1" applyBorder="1"/>
    <xf numFmtId="0" fontId="41" fillId="0" borderId="3" xfId="0" applyFont="1" applyBorder="1"/>
    <xf numFmtId="169" fontId="41" fillId="0" borderId="0" xfId="0" applyNumberFormat="1" applyFont="1" applyFill="1" applyBorder="1" applyAlignment="1">
      <alignment horizontal="center"/>
    </xf>
    <xf numFmtId="0" fontId="4" fillId="0" borderId="0" xfId="0" applyFont="1" applyFill="1" applyBorder="1" applyAlignment="1">
      <alignment horizontal="left"/>
    </xf>
    <xf numFmtId="0" fontId="0" fillId="0" borderId="5" xfId="0" applyFont="1" applyFill="1" applyBorder="1"/>
    <xf numFmtId="0" fontId="41" fillId="0" borderId="4" xfId="0" applyFont="1" applyBorder="1"/>
    <xf numFmtId="0" fontId="0" fillId="0" borderId="7" xfId="0" applyFont="1" applyFill="1" applyBorder="1"/>
    <xf numFmtId="0" fontId="41" fillId="0" borderId="8" xfId="0" applyFont="1" applyBorder="1"/>
    <xf numFmtId="0" fontId="50" fillId="29" borderId="10" xfId="0" applyFont="1" applyFill="1" applyBorder="1" applyAlignment="1">
      <alignment horizontal="center" vertical="center"/>
    </xf>
    <xf numFmtId="0" fontId="50" fillId="29" borderId="13" xfId="0" applyFont="1" applyFill="1" applyBorder="1" applyAlignment="1">
      <alignment horizontal="center" vertical="center"/>
    </xf>
    <xf numFmtId="0" fontId="50" fillId="29" borderId="11" xfId="0" applyFont="1" applyFill="1" applyBorder="1" applyAlignment="1">
      <alignment horizontal="center" vertical="center"/>
    </xf>
    <xf numFmtId="0" fontId="0" fillId="0" borderId="0" xfId="0" applyFont="1" applyAlignment="1">
      <alignment wrapText="1"/>
    </xf>
    <xf numFmtId="0" fontId="3" fillId="3" borderId="0" xfId="0" applyFont="1" applyFill="1" applyBorder="1" applyAlignment="1">
      <alignment horizontal="center"/>
    </xf>
    <xf numFmtId="0" fontId="12" fillId="6" borderId="9" xfId="0" applyFont="1" applyFill="1" applyBorder="1" applyAlignment="1">
      <alignment horizontal="center"/>
    </xf>
    <xf numFmtId="0" fontId="0" fillId="0" borderId="0" xfId="0" applyFont="1" applyAlignment="1">
      <alignment horizontal="left" vertical="center" wrapText="1"/>
    </xf>
    <xf numFmtId="0" fontId="13" fillId="0" borderId="0" xfId="0" applyFont="1" applyAlignment="1">
      <alignment horizontal="left" vertical="center" wrapText="1"/>
    </xf>
    <xf numFmtId="0" fontId="0" fillId="0" borderId="0" xfId="0" applyAlignment="1">
      <alignment horizontal="left" wrapText="1"/>
    </xf>
    <xf numFmtId="0" fontId="18" fillId="0" borderId="0" xfId="0" applyFont="1" applyAlignment="1">
      <alignment horizontal="left" wrapText="1"/>
    </xf>
  </cellXfs>
  <cellStyles count="58">
    <cellStyle name="20% - Accent1 2" xfId="16" xr:uid="{00000000-0005-0000-0000-000000000000}"/>
    <cellStyle name="20% - Accent2 2" xfId="17" xr:uid="{00000000-0005-0000-0000-000001000000}"/>
    <cellStyle name="20% - Accent3 2" xfId="18" xr:uid="{00000000-0005-0000-0000-000002000000}"/>
    <cellStyle name="20% - Accent4 2" xfId="19" xr:uid="{00000000-0005-0000-0000-000003000000}"/>
    <cellStyle name="20% - Accent5 2" xfId="20" xr:uid="{00000000-0005-0000-0000-000004000000}"/>
    <cellStyle name="20% - Accent6 2" xfId="21" xr:uid="{00000000-0005-0000-0000-000005000000}"/>
    <cellStyle name="40% - Accent1 2" xfId="22" xr:uid="{00000000-0005-0000-0000-000006000000}"/>
    <cellStyle name="40% - Accent2 2" xfId="23" xr:uid="{00000000-0005-0000-0000-000007000000}"/>
    <cellStyle name="40% - Accent3 2" xfId="24" xr:uid="{00000000-0005-0000-0000-000008000000}"/>
    <cellStyle name="40% - Accent4 2" xfId="25" xr:uid="{00000000-0005-0000-0000-000009000000}"/>
    <cellStyle name="40% - Accent5 2" xfId="26" xr:uid="{00000000-0005-0000-0000-00000A000000}"/>
    <cellStyle name="40% - Accent6 2" xfId="27" xr:uid="{00000000-0005-0000-0000-00000B000000}"/>
    <cellStyle name="60% - Accent1 2" xfId="28" xr:uid="{00000000-0005-0000-0000-00000C000000}"/>
    <cellStyle name="60% - Accent2 2" xfId="29" xr:uid="{00000000-0005-0000-0000-00000D000000}"/>
    <cellStyle name="60% - Accent3 2" xfId="30" xr:uid="{00000000-0005-0000-0000-00000E000000}"/>
    <cellStyle name="60% - Accent4 2" xfId="31" xr:uid="{00000000-0005-0000-0000-00000F000000}"/>
    <cellStyle name="60% - Accent5 2" xfId="32" xr:uid="{00000000-0005-0000-0000-000010000000}"/>
    <cellStyle name="60% - Accent6 2" xfId="33" xr:uid="{00000000-0005-0000-0000-000011000000}"/>
    <cellStyle name="Accent1 2" xfId="34" xr:uid="{00000000-0005-0000-0000-000012000000}"/>
    <cellStyle name="Accent2 2" xfId="35" xr:uid="{00000000-0005-0000-0000-000013000000}"/>
    <cellStyle name="Accent3 2" xfId="36" xr:uid="{00000000-0005-0000-0000-000014000000}"/>
    <cellStyle name="Accent4 2" xfId="37" xr:uid="{00000000-0005-0000-0000-000015000000}"/>
    <cellStyle name="Accent5 2" xfId="38" xr:uid="{00000000-0005-0000-0000-000016000000}"/>
    <cellStyle name="Accent6 2" xfId="39" xr:uid="{00000000-0005-0000-0000-000017000000}"/>
    <cellStyle name="Bad" xfId="2" builtinId="27"/>
    <cellStyle name="Bad 2" xfId="40" xr:uid="{00000000-0005-0000-0000-000019000000}"/>
    <cellStyle name="Calculation 2" xfId="41" xr:uid="{00000000-0005-0000-0000-00001A000000}"/>
    <cellStyle name="Check Cell 2" xfId="42" xr:uid="{00000000-0005-0000-0000-00001B000000}"/>
    <cellStyle name="Comma" xfId="1" builtinId="3"/>
    <cellStyle name="Comma 2" xfId="10" xr:uid="{00000000-0005-0000-0000-00001D000000}"/>
    <cellStyle name="Currency" xfId="8" builtinId="4"/>
    <cellStyle name="Currency 2" xfId="6" xr:uid="{00000000-0005-0000-0000-00001F000000}"/>
    <cellStyle name="Explanatory Text 2" xfId="43" xr:uid="{00000000-0005-0000-0000-000020000000}"/>
    <cellStyle name="Good 2" xfId="44" xr:uid="{00000000-0005-0000-0000-000021000000}"/>
    <cellStyle name="Heading 1 2" xfId="45" xr:uid="{00000000-0005-0000-0000-000022000000}"/>
    <cellStyle name="Heading 2 2" xfId="46" xr:uid="{00000000-0005-0000-0000-000023000000}"/>
    <cellStyle name="Heading 3 2" xfId="47" xr:uid="{00000000-0005-0000-0000-000024000000}"/>
    <cellStyle name="Heading 4 2" xfId="48" xr:uid="{00000000-0005-0000-0000-000025000000}"/>
    <cellStyle name="Hyperlink" xfId="4" builtinId="8"/>
    <cellStyle name="Input 2" xfId="49" xr:uid="{00000000-0005-0000-0000-000027000000}"/>
    <cellStyle name="Linked Cell 2" xfId="50" xr:uid="{00000000-0005-0000-0000-000028000000}"/>
    <cellStyle name="Neutral 2" xfId="51" xr:uid="{00000000-0005-0000-0000-000029000000}"/>
    <cellStyle name="Normal" xfId="0" builtinId="0"/>
    <cellStyle name="Normal 113" xfId="13" xr:uid="{00000000-0005-0000-0000-00002B000000}"/>
    <cellStyle name="Normal 2" xfId="9" xr:uid="{00000000-0005-0000-0000-00002C000000}"/>
    <cellStyle name="Normal 2 2" xfId="5" xr:uid="{00000000-0005-0000-0000-00002D000000}"/>
    <cellStyle name="Normal 2 3" xfId="15" xr:uid="{00000000-0005-0000-0000-00002E000000}"/>
    <cellStyle name="Normal 3" xfId="3" xr:uid="{00000000-0005-0000-0000-00002F000000}"/>
    <cellStyle name="Normal 3 2" xfId="14" xr:uid="{00000000-0005-0000-0000-000030000000}"/>
    <cellStyle name="Normal 5" xfId="11" xr:uid="{00000000-0005-0000-0000-000031000000}"/>
    <cellStyle name="Note 2" xfId="52" xr:uid="{00000000-0005-0000-0000-000032000000}"/>
    <cellStyle name="Output 2" xfId="53" xr:uid="{00000000-0005-0000-0000-000033000000}"/>
    <cellStyle name="Percent" xfId="57" builtinId="5"/>
    <cellStyle name="Percent 11" xfId="12" xr:uid="{00000000-0005-0000-0000-000035000000}"/>
    <cellStyle name="Percent 2" xfId="7" xr:uid="{00000000-0005-0000-0000-000036000000}"/>
    <cellStyle name="Title 2" xfId="54" xr:uid="{00000000-0005-0000-0000-000037000000}"/>
    <cellStyle name="Total 2" xfId="55" xr:uid="{00000000-0005-0000-0000-000038000000}"/>
    <cellStyle name="Warning Text 2" xfId="56" xr:uid="{00000000-0005-0000-0000-000039000000}"/>
  </cellStyles>
  <dxfs count="1">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iso-ne.com/static-assets/documents/2017/01/2015_emissions_report.pdf" TargetMode="External"/><Relationship Id="rId1" Type="http://schemas.openxmlformats.org/officeDocument/2006/relationships/hyperlink" Target="http://www.nyiso.com/public/markets_operations/services/planning/planning_studies/index.j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I49"/>
  <sheetViews>
    <sheetView workbookViewId="0">
      <pane ySplit="1" topLeftCell="A28" activePane="bottomLeft" state="frozen"/>
      <selection pane="bottomLeft" activeCell="H17" sqref="H17"/>
    </sheetView>
  </sheetViews>
  <sheetFormatPr baseColWidth="10" defaultColWidth="8.6640625" defaultRowHeight="15"/>
  <cols>
    <col min="1" max="1" width="8.6640625" style="190"/>
    <col min="2" max="2" width="35.5" style="191" customWidth="1"/>
    <col min="3" max="3" width="15.6640625" style="190" hidden="1" customWidth="1"/>
    <col min="4" max="4" width="15.5" style="190" customWidth="1"/>
    <col min="5" max="7" width="10.5" style="190" hidden="1" customWidth="1"/>
    <col min="8" max="8" width="13" style="190" customWidth="1"/>
    <col min="9" max="9" width="72" style="190" customWidth="1"/>
    <col min="10" max="16384" width="8.6640625" style="190"/>
  </cols>
  <sheetData>
    <row r="1" spans="1:9" ht="18.75" customHeight="1">
      <c r="A1" s="238" t="s">
        <v>420</v>
      </c>
      <c r="B1" s="238"/>
    </row>
    <row r="2" spans="1:9" s="211" customFormat="1">
      <c r="A2" s="216" t="s">
        <v>387</v>
      </c>
      <c r="B2" s="215"/>
      <c r="C2" s="215"/>
      <c r="D2" s="215"/>
      <c r="E2" s="215"/>
      <c r="F2" s="215"/>
      <c r="G2" s="215"/>
      <c r="H2" s="215"/>
    </row>
    <row r="3" spans="1:9">
      <c r="A3" s="192" t="s">
        <v>388</v>
      </c>
      <c r="B3" s="192" t="s">
        <v>389</v>
      </c>
      <c r="C3" s="192"/>
      <c r="D3" s="192" t="s">
        <v>391</v>
      </c>
      <c r="E3" s="192"/>
      <c r="F3" s="192"/>
      <c r="G3" s="192"/>
      <c r="H3" s="192" t="s">
        <v>392</v>
      </c>
    </row>
    <row r="4" spans="1:9" ht="16">
      <c r="A4" s="235" t="s">
        <v>57</v>
      </c>
      <c r="B4" s="221" t="s">
        <v>412</v>
      </c>
      <c r="D4" s="194" t="e">
        <f>SUMIF(E12:E27,"Yes",H12:H27)-SUMIF(E29:E35,"Yes",H29:H35)</f>
        <v>#REF!</v>
      </c>
      <c r="H4" s="217" t="s">
        <v>409</v>
      </c>
      <c r="I4" s="196"/>
    </row>
    <row r="5" spans="1:9" ht="16">
      <c r="A5" s="236"/>
      <c r="B5" s="221" t="s">
        <v>413</v>
      </c>
      <c r="D5" s="197" t="e">
        <f>(SUMIF(E12:E27,"Yes",H12:H27))/(SUMIF(E29:E35,"Yes",H29:H35))</f>
        <v>#REF!</v>
      </c>
      <c r="H5" s="218" t="s">
        <v>409</v>
      </c>
      <c r="I5" s="198"/>
    </row>
    <row r="6" spans="1:9" ht="32" hidden="1">
      <c r="A6" s="235" t="s">
        <v>386</v>
      </c>
      <c r="B6" s="193" t="s">
        <v>278</v>
      </c>
      <c r="D6" s="194" t="e">
        <f>SUMIF(F12:F27,"Yes",H12:H27)-SUMIF(F29:F35,"Yes",H29:H35)</f>
        <v>#REF!</v>
      </c>
      <c r="H6" s="195" t="e">
        <f>D6+'Inputs - Project Specific'!G9</f>
        <v>#REF!</v>
      </c>
    </row>
    <row r="7" spans="1:9" ht="32" hidden="1">
      <c r="A7" s="236"/>
      <c r="B7" s="193" t="s">
        <v>279</v>
      </c>
      <c r="D7" s="197" t="e">
        <f>(SUMIF(F12:F27,"Yes",H12:H27))/(SUMIF(F29:F35,"Yes",H29:H35))</f>
        <v>#REF!</v>
      </c>
      <c r="H7" s="219" t="e">
        <f>(SUMIF(F12:F27,"Yes",H12:H27))/(SUMIF(F29:F35,"Yes",H29:H35)-'Inputs - Project Specific'!G9)</f>
        <v>#REF!</v>
      </c>
    </row>
    <row r="8" spans="1:9" ht="32" hidden="1">
      <c r="A8" s="235" t="s">
        <v>59</v>
      </c>
      <c r="B8" s="193" t="s">
        <v>278</v>
      </c>
      <c r="D8" s="194" t="e">
        <f>SUMIF(G12:G27,"Yes",H12:H27)-SUMIF(G29:G35,"Yes",H29:H35)</f>
        <v>#REF!</v>
      </c>
      <c r="H8" s="195" t="e">
        <f>D8+'Inputs - Project Specific'!G9</f>
        <v>#REF!</v>
      </c>
    </row>
    <row r="9" spans="1:9" ht="32" hidden="1">
      <c r="A9" s="237"/>
      <c r="B9" s="193" t="s">
        <v>279</v>
      </c>
      <c r="D9" s="197" t="e">
        <f>(SUMIF(G12:G27,"Yes",H12:H27))/(SUMIF(G29:G35,"Yes",H29:H35))</f>
        <v>#REF!</v>
      </c>
      <c r="H9" s="219" t="e">
        <f>(SUMIF(G12:G27,"Yes",H12:H27))/(SUMIF(G29:G35,"Yes",H29:H35)-'Inputs - Project Specific'!G9)</f>
        <v>#REF!</v>
      </c>
    </row>
    <row r="10" spans="1:9" s="212" customFormat="1">
      <c r="A10" s="214" t="s">
        <v>390</v>
      </c>
      <c r="B10" s="213"/>
      <c r="C10" s="213"/>
      <c r="D10" s="213"/>
      <c r="E10" s="213"/>
      <c r="F10" s="213"/>
      <c r="G10" s="213"/>
      <c r="H10" s="213"/>
      <c r="I10" s="213"/>
    </row>
    <row r="11" spans="1:9">
      <c r="A11" s="202" t="s">
        <v>71</v>
      </c>
      <c r="B11" s="202"/>
      <c r="C11" s="202" t="s">
        <v>354</v>
      </c>
      <c r="D11" s="202" t="s">
        <v>275</v>
      </c>
      <c r="E11" s="202" t="s">
        <v>57</v>
      </c>
      <c r="F11" s="202" t="s">
        <v>386</v>
      </c>
      <c r="G11" s="202" t="s">
        <v>59</v>
      </c>
      <c r="H11" s="202" t="s">
        <v>359</v>
      </c>
      <c r="I11" s="202" t="s">
        <v>257</v>
      </c>
    </row>
    <row r="12" spans="1:9" ht="16">
      <c r="A12" s="203" t="s">
        <v>51</v>
      </c>
      <c r="B12" s="204" t="s">
        <v>33</v>
      </c>
      <c r="C12" s="205">
        <f>'4.1_Benefits'!AK13</f>
        <v>1078403.3583834248</v>
      </c>
      <c r="D12" s="206" t="s">
        <v>276</v>
      </c>
      <c r="E12" s="206" t="s">
        <v>276</v>
      </c>
      <c r="F12" s="206" t="s">
        <v>276</v>
      </c>
      <c r="G12" s="206" t="s">
        <v>276</v>
      </c>
      <c r="H12" s="205">
        <f t="shared" ref="H12:H27" si="0">IF(D12="Yes",C12,0)</f>
        <v>1078403.3583834248</v>
      </c>
      <c r="I12" s="207" t="s">
        <v>393</v>
      </c>
    </row>
    <row r="13" spans="1:9" ht="32">
      <c r="A13" s="203" t="s">
        <v>81</v>
      </c>
      <c r="B13" s="204" t="s">
        <v>86</v>
      </c>
      <c r="C13" s="205">
        <f>IF('Inputs - Project Specific'!G35=0,IF('Inputs - Project Specific'!F32="yes",'LBMP Calculation'!C11,'LBMP Calculation'!C9),'4.1_Benefits'!AK23)</f>
        <v>165382.79013314354</v>
      </c>
      <c r="D13" s="206" t="s">
        <v>276</v>
      </c>
      <c r="E13" s="206" t="s">
        <v>276</v>
      </c>
      <c r="F13" s="206" t="s">
        <v>276</v>
      </c>
      <c r="G13" s="206" t="s">
        <v>276</v>
      </c>
      <c r="H13" s="205">
        <f t="shared" si="0"/>
        <v>165382.79013314354</v>
      </c>
      <c r="I13" s="208" t="s">
        <v>378</v>
      </c>
    </row>
    <row r="14" spans="1:9" ht="32">
      <c r="A14" s="203" t="s">
        <v>85</v>
      </c>
      <c r="B14" s="204" t="s">
        <v>130</v>
      </c>
      <c r="C14" s="205">
        <f>'4.1_Benefits'!AK34</f>
        <v>791993.83233516768</v>
      </c>
      <c r="D14" s="206" t="s">
        <v>277</v>
      </c>
      <c r="E14" s="206" t="s">
        <v>276</v>
      </c>
      <c r="F14" s="206" t="s">
        <v>276</v>
      </c>
      <c r="G14" s="206" t="s">
        <v>276</v>
      </c>
      <c r="H14" s="205">
        <f t="shared" si="0"/>
        <v>0</v>
      </c>
      <c r="I14" s="208" t="s">
        <v>274</v>
      </c>
    </row>
    <row r="15" spans="1:9" ht="16">
      <c r="A15" s="203" t="s">
        <v>103</v>
      </c>
      <c r="B15" s="204" t="s">
        <v>104</v>
      </c>
      <c r="C15" s="205">
        <v>0</v>
      </c>
      <c r="D15" s="206" t="s">
        <v>277</v>
      </c>
      <c r="E15" s="206" t="s">
        <v>276</v>
      </c>
      <c r="F15" s="206" t="s">
        <v>276</v>
      </c>
      <c r="G15" s="206" t="s">
        <v>276</v>
      </c>
      <c r="H15" s="205">
        <f t="shared" si="0"/>
        <v>0</v>
      </c>
      <c r="I15" s="220" t="s">
        <v>414</v>
      </c>
    </row>
    <row r="16" spans="1:9" ht="16">
      <c r="A16" s="203" t="s">
        <v>118</v>
      </c>
      <c r="B16" s="204" t="s">
        <v>131</v>
      </c>
      <c r="C16" s="205">
        <f>'4.1_Benefits'!AK56</f>
        <v>3103580.6420881562</v>
      </c>
      <c r="D16" s="206" t="s">
        <v>277</v>
      </c>
      <c r="E16" s="206" t="s">
        <v>276</v>
      </c>
      <c r="F16" s="206" t="s">
        <v>276</v>
      </c>
      <c r="G16" s="206" t="s">
        <v>276</v>
      </c>
      <c r="H16" s="205">
        <f t="shared" si="0"/>
        <v>0</v>
      </c>
      <c r="I16" s="210" t="s">
        <v>256</v>
      </c>
    </row>
    <row r="17" spans="1:9" ht="32">
      <c r="A17" s="203" t="s">
        <v>119</v>
      </c>
      <c r="B17" s="204" t="s">
        <v>132</v>
      </c>
      <c r="C17" s="205">
        <v>0</v>
      </c>
      <c r="D17" s="206" t="s">
        <v>277</v>
      </c>
      <c r="E17" s="206" t="s">
        <v>277</v>
      </c>
      <c r="F17" s="206" t="s">
        <v>276</v>
      </c>
      <c r="G17" s="206" t="s">
        <v>276</v>
      </c>
      <c r="H17" s="205">
        <f t="shared" si="0"/>
        <v>0</v>
      </c>
      <c r="I17" s="208" t="s">
        <v>394</v>
      </c>
    </row>
    <row r="18" spans="1:9" ht="32">
      <c r="A18" s="203" t="s">
        <v>107</v>
      </c>
      <c r="B18" s="204" t="s">
        <v>108</v>
      </c>
      <c r="C18" s="205" t="e">
        <f>IF('Inputs - Project Specific'!G7&lt;&gt;0,'Project Specific Calculations'!S10,'4.2-4.4_Benefits'!AK13)</f>
        <v>#REF!</v>
      </c>
      <c r="D18" s="206" t="s">
        <v>276</v>
      </c>
      <c r="E18" s="206" t="s">
        <v>276</v>
      </c>
      <c r="F18" s="206" t="s">
        <v>276</v>
      </c>
      <c r="G18" s="206" t="s">
        <v>276</v>
      </c>
      <c r="H18" s="205" t="e">
        <f t="shared" si="0"/>
        <v>#REF!</v>
      </c>
      <c r="I18" s="222" t="s">
        <v>417</v>
      </c>
    </row>
    <row r="19" spans="1:9" ht="16">
      <c r="A19" s="203" t="s">
        <v>120</v>
      </c>
      <c r="B19" s="204" t="s">
        <v>133</v>
      </c>
      <c r="C19" s="205">
        <v>0</v>
      </c>
      <c r="D19" s="206" t="s">
        <v>277</v>
      </c>
      <c r="E19" s="206" t="s">
        <v>276</v>
      </c>
      <c r="F19" s="206" t="s">
        <v>276</v>
      </c>
      <c r="G19" s="206" t="s">
        <v>276</v>
      </c>
      <c r="H19" s="205">
        <f t="shared" si="0"/>
        <v>0</v>
      </c>
      <c r="I19" s="220" t="s">
        <v>414</v>
      </c>
    </row>
    <row r="20" spans="1:9" ht="16">
      <c r="A20" s="203" t="s">
        <v>121</v>
      </c>
      <c r="B20" s="204" t="s">
        <v>134</v>
      </c>
      <c r="C20" s="205">
        <v>0</v>
      </c>
      <c r="D20" s="206" t="s">
        <v>277</v>
      </c>
      <c r="E20" s="206" t="s">
        <v>276</v>
      </c>
      <c r="F20" s="206" t="s">
        <v>276</v>
      </c>
      <c r="G20" s="206" t="s">
        <v>276</v>
      </c>
      <c r="H20" s="205">
        <f t="shared" si="0"/>
        <v>0</v>
      </c>
      <c r="I20" s="220" t="s">
        <v>414</v>
      </c>
    </row>
    <row r="21" spans="1:9" ht="16">
      <c r="A21" s="203" t="s">
        <v>122</v>
      </c>
      <c r="B21" s="204" t="s">
        <v>135</v>
      </c>
      <c r="C21" s="205">
        <v>0</v>
      </c>
      <c r="D21" s="206" t="s">
        <v>277</v>
      </c>
      <c r="E21" s="206" t="s">
        <v>276</v>
      </c>
      <c r="F21" s="206" t="s">
        <v>276</v>
      </c>
      <c r="G21" s="206" t="s">
        <v>276</v>
      </c>
      <c r="H21" s="205">
        <f t="shared" si="0"/>
        <v>0</v>
      </c>
      <c r="I21" s="209" t="s">
        <v>395</v>
      </c>
    </row>
    <row r="22" spans="1:9" ht="16">
      <c r="A22" s="203" t="s">
        <v>123</v>
      </c>
      <c r="B22" s="204" t="s">
        <v>136</v>
      </c>
      <c r="C22" s="205">
        <v>0</v>
      </c>
      <c r="D22" s="206" t="s">
        <v>277</v>
      </c>
      <c r="E22" s="206" t="s">
        <v>276</v>
      </c>
      <c r="F22" s="206" t="s">
        <v>277</v>
      </c>
      <c r="G22" s="206" t="s">
        <v>277</v>
      </c>
      <c r="H22" s="205">
        <f t="shared" si="0"/>
        <v>0</v>
      </c>
      <c r="I22" s="209" t="s">
        <v>395</v>
      </c>
    </row>
    <row r="23" spans="1:9" ht="48">
      <c r="A23" s="203" t="s">
        <v>124</v>
      </c>
      <c r="B23" s="204" t="s">
        <v>137</v>
      </c>
      <c r="C23" s="205">
        <f>'Project Specific Calculations'!S24</f>
        <v>-2209.4604434214652</v>
      </c>
      <c r="D23" s="206" t="s">
        <v>276</v>
      </c>
      <c r="E23" s="206" t="s">
        <v>276</v>
      </c>
      <c r="F23" s="206" t="s">
        <v>277</v>
      </c>
      <c r="G23" s="206" t="s">
        <v>277</v>
      </c>
      <c r="H23" s="205">
        <f t="shared" si="0"/>
        <v>-2209.4604434214652</v>
      </c>
      <c r="I23" s="224" t="s">
        <v>416</v>
      </c>
    </row>
    <row r="24" spans="1:9" ht="48">
      <c r="A24" s="203" t="s">
        <v>125</v>
      </c>
      <c r="B24" s="204" t="s">
        <v>138</v>
      </c>
      <c r="C24" s="205"/>
      <c r="D24" s="206" t="s">
        <v>277</v>
      </c>
      <c r="E24" s="206" t="s">
        <v>276</v>
      </c>
      <c r="F24" s="206" t="s">
        <v>277</v>
      </c>
      <c r="G24" s="206" t="s">
        <v>277</v>
      </c>
      <c r="H24" s="205">
        <f t="shared" si="0"/>
        <v>0</v>
      </c>
      <c r="I24" s="224" t="s">
        <v>416</v>
      </c>
    </row>
    <row r="25" spans="1:9" ht="16">
      <c r="A25" s="203" t="s">
        <v>126</v>
      </c>
      <c r="B25" s="204" t="s">
        <v>139</v>
      </c>
      <c r="C25" s="205">
        <v>0</v>
      </c>
      <c r="D25" s="206" t="s">
        <v>277</v>
      </c>
      <c r="E25" s="206" t="s">
        <v>276</v>
      </c>
      <c r="F25" s="206" t="s">
        <v>277</v>
      </c>
      <c r="G25" s="206" t="s">
        <v>277</v>
      </c>
      <c r="H25" s="205">
        <f t="shared" si="0"/>
        <v>0</v>
      </c>
      <c r="I25" s="220" t="s">
        <v>410</v>
      </c>
    </row>
    <row r="26" spans="1:9" ht="16">
      <c r="A26" s="203" t="s">
        <v>127</v>
      </c>
      <c r="B26" s="204" t="s">
        <v>140</v>
      </c>
      <c r="C26" s="205">
        <v>0</v>
      </c>
      <c r="D26" s="206" t="s">
        <v>277</v>
      </c>
      <c r="E26" s="206" t="s">
        <v>276</v>
      </c>
      <c r="F26" s="206" t="s">
        <v>277</v>
      </c>
      <c r="G26" s="206" t="s">
        <v>277</v>
      </c>
      <c r="H26" s="205">
        <f t="shared" si="0"/>
        <v>0</v>
      </c>
      <c r="I26" s="220" t="s">
        <v>411</v>
      </c>
    </row>
    <row r="27" spans="1:9" ht="16">
      <c r="A27" s="203" t="s">
        <v>128</v>
      </c>
      <c r="B27" s="204" t="s">
        <v>141</v>
      </c>
      <c r="C27" s="205">
        <v>0</v>
      </c>
      <c r="D27" s="206" t="s">
        <v>277</v>
      </c>
      <c r="E27" s="206" t="s">
        <v>276</v>
      </c>
      <c r="F27" s="206" t="s">
        <v>276</v>
      </c>
      <c r="G27" s="206" t="s">
        <v>276</v>
      </c>
      <c r="H27" s="205">
        <f t="shared" si="0"/>
        <v>0</v>
      </c>
      <c r="I27" s="220" t="s">
        <v>411</v>
      </c>
    </row>
    <row r="28" spans="1:9">
      <c r="A28" s="202" t="s">
        <v>142</v>
      </c>
      <c r="B28" s="202"/>
      <c r="C28" s="202" t="s">
        <v>354</v>
      </c>
      <c r="D28" s="202" t="s">
        <v>275</v>
      </c>
      <c r="E28" s="202" t="s">
        <v>57</v>
      </c>
      <c r="F28" s="202" t="s">
        <v>386</v>
      </c>
      <c r="G28" s="202" t="s">
        <v>59</v>
      </c>
      <c r="H28" s="202" t="s">
        <v>359</v>
      </c>
      <c r="I28" s="202" t="s">
        <v>257</v>
      </c>
    </row>
    <row r="29" spans="1:9" ht="16">
      <c r="A29" s="203" t="s">
        <v>143</v>
      </c>
      <c r="B29" s="204" t="s">
        <v>150</v>
      </c>
      <c r="C29" s="205">
        <f>'4.5_Costs'!X10</f>
        <v>14181972.055397125</v>
      </c>
      <c r="D29" s="206" t="s">
        <v>276</v>
      </c>
      <c r="E29" s="206" t="s">
        <v>276</v>
      </c>
      <c r="F29" s="206" t="s">
        <v>276</v>
      </c>
      <c r="G29" s="206" t="s">
        <v>276</v>
      </c>
      <c r="H29" s="205">
        <f t="shared" ref="H29:H35" si="1">IF(D29="Yes",C29,0)</f>
        <v>14181972.055397125</v>
      </c>
      <c r="I29" s="208" t="s">
        <v>347</v>
      </c>
    </row>
    <row r="30" spans="1:9" ht="16">
      <c r="A30" s="203" t="s">
        <v>144</v>
      </c>
      <c r="B30" s="204" t="s">
        <v>151</v>
      </c>
      <c r="C30" s="205"/>
      <c r="D30" s="206" t="s">
        <v>277</v>
      </c>
      <c r="E30" s="206" t="s">
        <v>277</v>
      </c>
      <c r="F30" s="206" t="s">
        <v>276</v>
      </c>
      <c r="G30" s="206" t="s">
        <v>276</v>
      </c>
      <c r="H30" s="205">
        <f t="shared" si="1"/>
        <v>0</v>
      </c>
      <c r="I30" s="209" t="str">
        <f>'BCA Tests Summary'!F21</f>
        <v>This could be considered zero if the solution is designed to not affect the system.</v>
      </c>
    </row>
    <row r="31" spans="1:9" ht="16">
      <c r="A31" s="203" t="s">
        <v>145</v>
      </c>
      <c r="B31" s="204" t="s">
        <v>152</v>
      </c>
      <c r="C31" s="205">
        <f>'4.5_Costs'!X18</f>
        <v>500000</v>
      </c>
      <c r="D31" s="206" t="s">
        <v>276</v>
      </c>
      <c r="E31" s="206" t="s">
        <v>276</v>
      </c>
      <c r="F31" s="206" t="s">
        <v>276</v>
      </c>
      <c r="G31" s="206" t="s">
        <v>276</v>
      </c>
      <c r="H31" s="205">
        <f t="shared" si="1"/>
        <v>500000</v>
      </c>
      <c r="I31" s="209" t="s">
        <v>271</v>
      </c>
    </row>
    <row r="32" spans="1:9">
      <c r="A32" s="203" t="s">
        <v>146</v>
      </c>
      <c r="B32" s="223" t="s">
        <v>153</v>
      </c>
      <c r="C32" s="205"/>
      <c r="D32" s="206" t="s">
        <v>277</v>
      </c>
      <c r="E32" s="206" t="s">
        <v>276</v>
      </c>
      <c r="F32" s="206" t="s">
        <v>277</v>
      </c>
      <c r="G32" s="206" t="s">
        <v>277</v>
      </c>
      <c r="H32" s="205">
        <f t="shared" si="1"/>
        <v>0</v>
      </c>
      <c r="I32" s="209" t="s">
        <v>330</v>
      </c>
    </row>
    <row r="33" spans="1:9" ht="16">
      <c r="A33" s="203" t="s">
        <v>147</v>
      </c>
      <c r="B33" s="204" t="s">
        <v>154</v>
      </c>
      <c r="C33" s="205"/>
      <c r="D33" s="206" t="s">
        <v>277</v>
      </c>
      <c r="E33" s="206" t="s">
        <v>277</v>
      </c>
      <c r="F33" s="206" t="s">
        <v>277</v>
      </c>
      <c r="G33" s="206" t="s">
        <v>276</v>
      </c>
      <c r="H33" s="205">
        <f t="shared" si="1"/>
        <v>0</v>
      </c>
      <c r="I33" s="209" t="str">
        <f>'BCA Tests Summary'!F24</f>
        <v>This could be equal to zero if the solution does not decrease electricity sales</v>
      </c>
    </row>
    <row r="34" spans="1:9" ht="16">
      <c r="A34" s="203" t="s">
        <v>148</v>
      </c>
      <c r="B34" s="204" t="s">
        <v>155</v>
      </c>
      <c r="C34" s="205"/>
      <c r="D34" s="206" t="s">
        <v>277</v>
      </c>
      <c r="E34" s="206" t="s">
        <v>277</v>
      </c>
      <c r="F34" s="206" t="s">
        <v>276</v>
      </c>
      <c r="G34" s="206" t="s">
        <v>276</v>
      </c>
      <c r="H34" s="205">
        <f t="shared" si="1"/>
        <v>0</v>
      </c>
      <c r="I34" s="209" t="str">
        <f>'BCA Tests Summary'!F25</f>
        <v>This should be equal to zero</v>
      </c>
    </row>
    <row r="35" spans="1:9" ht="16">
      <c r="A35" s="203" t="s">
        <v>149</v>
      </c>
      <c r="B35" s="204" t="s">
        <v>156</v>
      </c>
      <c r="C35" s="205"/>
      <c r="D35" s="206" t="s">
        <v>277</v>
      </c>
      <c r="E35" s="206" t="s">
        <v>276</v>
      </c>
      <c r="F35" s="206" t="s">
        <v>276</v>
      </c>
      <c r="G35" s="206" t="s">
        <v>276</v>
      </c>
      <c r="H35" s="205">
        <f t="shared" si="1"/>
        <v>0</v>
      </c>
      <c r="I35" s="209" t="str">
        <f>'BCA Tests Summary'!F26</f>
        <v>NA</v>
      </c>
    </row>
    <row r="36" spans="1:9">
      <c r="A36" s="199"/>
      <c r="B36" s="200"/>
      <c r="C36" s="199"/>
      <c r="D36" s="201"/>
      <c r="E36" s="199"/>
      <c r="F36" s="201"/>
      <c r="G36" s="201"/>
      <c r="H36" s="199"/>
    </row>
    <row r="48" spans="1:9" hidden="1">
      <c r="A48" s="190" t="s">
        <v>276</v>
      </c>
    </row>
    <row r="49" spans="1:1" hidden="1">
      <c r="A49" s="190" t="s">
        <v>277</v>
      </c>
    </row>
  </sheetData>
  <mergeCells count="4">
    <mergeCell ref="A4:A5"/>
    <mergeCell ref="A6:A7"/>
    <mergeCell ref="A8:A9"/>
    <mergeCell ref="A1:B1"/>
  </mergeCells>
  <dataValidations disablePrompts="1" count="1">
    <dataValidation type="list" allowBlank="1" showInputMessage="1" showErrorMessage="1" sqref="D12:G27 D29:G36" xr:uid="{00000000-0002-0000-0000-000000000000}">
      <formula1>$A$48:$A$49</formula1>
    </dataValidation>
  </dataValidations>
  <pageMargins left="0.7" right="0.7" top="0.75" bottom="0.75" header="0.3" footer="0.3"/>
  <pageSetup scale="78" orientation="landscape" r:id="rId1"/>
  <ignoredErrors>
    <ignoredError sqref="H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65"/>
  <sheetViews>
    <sheetView tabSelected="1" zoomScaleNormal="100" workbookViewId="0">
      <selection activeCell="D18" sqref="D18"/>
    </sheetView>
  </sheetViews>
  <sheetFormatPr baseColWidth="10" defaultColWidth="8.6640625" defaultRowHeight="15"/>
  <cols>
    <col min="1" max="1" width="3.5" style="148" customWidth="1"/>
    <col min="2" max="4" width="8.6640625" style="148"/>
    <col min="5" max="5" width="9.5" style="148" bestFit="1" customWidth="1"/>
    <col min="6" max="6" width="9.1640625" style="148" bestFit="1" customWidth="1"/>
    <col min="7" max="7" width="13.5" style="148" customWidth="1"/>
    <col min="8" max="8" width="12.6640625" style="148" bestFit="1" customWidth="1"/>
    <col min="9" max="9" width="89.5" style="148" customWidth="1"/>
    <col min="10" max="16384" width="8.6640625" style="148"/>
  </cols>
  <sheetData>
    <row r="2" spans="2:13">
      <c r="B2" s="170" t="s">
        <v>7</v>
      </c>
      <c r="C2" s="145"/>
      <c r="D2" s="146"/>
      <c r="E2" s="146"/>
      <c r="F2" s="146"/>
      <c r="G2" s="3" t="s">
        <v>1</v>
      </c>
      <c r="H2" s="146" t="s">
        <v>2</v>
      </c>
      <c r="I2" s="171" t="s">
        <v>158</v>
      </c>
    </row>
    <row r="3" spans="2:13">
      <c r="B3" s="133" t="s">
        <v>9</v>
      </c>
      <c r="C3" s="150"/>
      <c r="D3" s="150"/>
      <c r="E3" s="150"/>
      <c r="F3" s="150"/>
      <c r="G3" s="151">
        <v>0.95</v>
      </c>
      <c r="H3" s="152" t="s">
        <v>10</v>
      </c>
      <c r="I3" s="172" t="s">
        <v>190</v>
      </c>
    </row>
    <row r="4" spans="2:13">
      <c r="B4" s="149" t="s">
        <v>188</v>
      </c>
      <c r="C4" s="150"/>
      <c r="D4" s="150"/>
      <c r="E4" s="150"/>
      <c r="F4" s="150"/>
      <c r="G4" s="151">
        <v>0.95</v>
      </c>
      <c r="H4" s="152" t="s">
        <v>10</v>
      </c>
      <c r="I4" s="172" t="s">
        <v>190</v>
      </c>
    </row>
    <row r="5" spans="2:13">
      <c r="B5" s="133" t="s">
        <v>189</v>
      </c>
      <c r="C5" s="150"/>
      <c r="D5" s="150"/>
      <c r="E5" s="150"/>
      <c r="F5" s="150"/>
      <c r="G5" s="151">
        <v>0.95</v>
      </c>
      <c r="H5" s="152" t="s">
        <v>10</v>
      </c>
      <c r="I5" s="172" t="s">
        <v>190</v>
      </c>
    </row>
    <row r="6" spans="2:13">
      <c r="B6" s="149" t="s">
        <v>11</v>
      </c>
      <c r="C6" s="150"/>
      <c r="D6" s="150"/>
      <c r="E6" s="150"/>
      <c r="F6" s="150"/>
      <c r="G6" s="151">
        <v>0.95</v>
      </c>
      <c r="H6" s="152" t="s">
        <v>10</v>
      </c>
      <c r="I6" s="172" t="s">
        <v>190</v>
      </c>
    </row>
    <row r="7" spans="2:13">
      <c r="B7" s="149" t="s">
        <v>12</v>
      </c>
      <c r="C7" s="150"/>
      <c r="D7" s="150"/>
      <c r="E7" s="150"/>
      <c r="F7" s="150"/>
      <c r="G7" s="153">
        <v>4448000</v>
      </c>
      <c r="H7" s="152" t="s">
        <v>13</v>
      </c>
      <c r="I7" s="173" t="s">
        <v>356</v>
      </c>
    </row>
    <row r="8" spans="2:13">
      <c r="B8" s="149" t="s">
        <v>281</v>
      </c>
      <c r="C8" s="150"/>
      <c r="D8" s="150"/>
      <c r="E8" s="150"/>
      <c r="F8" s="150"/>
      <c r="G8" s="154">
        <v>2022</v>
      </c>
      <c r="H8" s="152" t="s">
        <v>264</v>
      </c>
      <c r="I8" s="173" t="s">
        <v>282</v>
      </c>
    </row>
    <row r="9" spans="2:13">
      <c r="B9" s="149" t="s">
        <v>270</v>
      </c>
      <c r="C9" s="150"/>
      <c r="D9" s="150"/>
      <c r="E9" s="150"/>
      <c r="F9" s="150"/>
      <c r="G9" s="153">
        <v>3000000</v>
      </c>
      <c r="H9" s="152" t="s">
        <v>13</v>
      </c>
      <c r="I9" s="173" t="s">
        <v>421</v>
      </c>
    </row>
    <row r="10" spans="2:13">
      <c r="B10" s="149" t="s">
        <v>83</v>
      </c>
      <c r="C10" s="150"/>
      <c r="D10" s="150"/>
      <c r="E10" s="150"/>
      <c r="F10" s="150"/>
      <c r="G10" s="155" t="s">
        <v>262</v>
      </c>
      <c r="H10" s="152" t="s">
        <v>10</v>
      </c>
      <c r="I10" s="173" t="s">
        <v>84</v>
      </c>
    </row>
    <row r="11" spans="2:13">
      <c r="B11" s="149" t="s">
        <v>198</v>
      </c>
      <c r="C11" s="150"/>
      <c r="D11" s="150"/>
      <c r="E11" s="150"/>
      <c r="F11" s="150"/>
      <c r="G11" s="152"/>
      <c r="H11" s="152" t="s">
        <v>172</v>
      </c>
      <c r="I11" s="173" t="s">
        <v>14</v>
      </c>
    </row>
    <row r="12" spans="2:13">
      <c r="B12" s="133" t="s">
        <v>251</v>
      </c>
      <c r="C12" s="150"/>
      <c r="D12" s="150"/>
      <c r="E12" s="150"/>
      <c r="F12" s="150"/>
      <c r="G12" s="152"/>
      <c r="H12" s="152" t="s">
        <v>172</v>
      </c>
      <c r="I12" s="173" t="s">
        <v>14</v>
      </c>
    </row>
    <row r="13" spans="2:13">
      <c r="B13" s="228"/>
      <c r="I13" s="227"/>
    </row>
    <row r="14" spans="2:13">
      <c r="B14" s="133" t="s">
        <v>263</v>
      </c>
      <c r="E14" s="174"/>
      <c r="F14" s="230" t="s">
        <v>309</v>
      </c>
      <c r="G14" s="142" t="s">
        <v>468</v>
      </c>
      <c r="H14" s="142" t="s">
        <v>2</v>
      </c>
      <c r="I14" s="233" t="s">
        <v>158</v>
      </c>
      <c r="J14" s="150"/>
      <c r="K14" s="152"/>
      <c r="L14" s="152"/>
      <c r="M14" s="150"/>
    </row>
    <row r="15" spans="2:13">
      <c r="B15" s="133"/>
      <c r="E15" s="174"/>
      <c r="F15" s="174">
        <v>2018</v>
      </c>
      <c r="G15" s="174">
        <v>4.7</v>
      </c>
      <c r="H15" s="152" t="s">
        <v>8</v>
      </c>
      <c r="I15" s="173" t="s">
        <v>265</v>
      </c>
      <c r="J15" s="174"/>
      <c r="K15" s="174"/>
      <c r="L15" s="174"/>
      <c r="M15" s="174"/>
    </row>
    <row r="16" spans="2:13">
      <c r="B16" s="228"/>
      <c r="C16" s="174"/>
      <c r="D16" s="174"/>
      <c r="E16" s="174"/>
      <c r="F16" s="174">
        <v>2019</v>
      </c>
      <c r="G16" s="174">
        <v>4.9000000000000004</v>
      </c>
      <c r="H16" s="152" t="s">
        <v>8</v>
      </c>
      <c r="I16" s="227"/>
      <c r="J16" s="174"/>
      <c r="K16" s="174"/>
      <c r="L16" s="152"/>
      <c r="M16" s="174"/>
    </row>
    <row r="17" spans="2:13">
      <c r="B17" s="228"/>
      <c r="C17" s="174"/>
      <c r="D17" s="174"/>
      <c r="E17" s="174"/>
      <c r="F17" s="174">
        <v>2020</v>
      </c>
      <c r="G17" s="174">
        <v>4.8</v>
      </c>
      <c r="H17" s="152" t="s">
        <v>8</v>
      </c>
      <c r="I17" s="227"/>
      <c r="J17" s="174"/>
      <c r="K17" s="174"/>
      <c r="L17" s="152"/>
      <c r="M17" s="150"/>
    </row>
    <row r="18" spans="2:13">
      <c r="B18" s="228"/>
      <c r="C18" s="174"/>
      <c r="D18" s="174"/>
      <c r="E18" s="174"/>
      <c r="F18" s="72">
        <v>2021</v>
      </c>
      <c r="G18" s="142">
        <v>5</v>
      </c>
      <c r="H18" s="152" t="s">
        <v>8</v>
      </c>
      <c r="I18" s="227"/>
      <c r="J18" s="174"/>
      <c r="K18" s="174"/>
      <c r="L18" s="152"/>
      <c r="M18" s="150"/>
    </row>
    <row r="19" spans="2:13">
      <c r="B19" s="228"/>
      <c r="C19" s="174"/>
      <c r="D19" s="174"/>
      <c r="E19" s="174"/>
      <c r="F19" s="72">
        <v>2022</v>
      </c>
      <c r="G19" s="142">
        <v>5.0999999999999996</v>
      </c>
      <c r="H19" s="152" t="s">
        <v>8</v>
      </c>
      <c r="I19" s="227"/>
      <c r="J19" s="174"/>
      <c r="K19" s="174"/>
      <c r="L19" s="152"/>
      <c r="M19" s="150"/>
    </row>
    <row r="20" spans="2:13">
      <c r="B20" s="228"/>
      <c r="C20" s="174"/>
      <c r="D20" s="174"/>
      <c r="E20" s="174"/>
      <c r="F20" s="72">
        <v>2023</v>
      </c>
      <c r="G20" s="142">
        <v>5.2</v>
      </c>
      <c r="H20" s="152" t="s">
        <v>8</v>
      </c>
      <c r="I20" s="227"/>
      <c r="J20" s="174"/>
      <c r="K20" s="174"/>
      <c r="L20" s="152"/>
      <c r="M20" s="150"/>
    </row>
    <row r="21" spans="2:13">
      <c r="B21" s="228"/>
      <c r="C21" s="174"/>
      <c r="D21" s="174"/>
      <c r="E21" s="174"/>
      <c r="F21" s="72">
        <v>2024</v>
      </c>
      <c r="G21" s="142">
        <v>5.4</v>
      </c>
      <c r="H21" s="152" t="s">
        <v>8</v>
      </c>
      <c r="I21" s="227"/>
      <c r="J21" s="174"/>
      <c r="K21" s="174"/>
      <c r="L21" s="152"/>
      <c r="M21" s="150"/>
    </row>
    <row r="22" spans="2:13">
      <c r="B22" s="228"/>
      <c r="C22" s="174"/>
      <c r="D22" s="174"/>
      <c r="E22" s="174"/>
      <c r="F22" s="72">
        <v>2025</v>
      </c>
      <c r="G22" s="142">
        <v>5.5</v>
      </c>
      <c r="H22" s="152" t="s">
        <v>8</v>
      </c>
      <c r="I22" s="227"/>
      <c r="J22" s="174"/>
      <c r="K22" s="174"/>
      <c r="L22" s="152"/>
      <c r="M22" s="150"/>
    </row>
    <row r="23" spans="2:13">
      <c r="B23" s="228"/>
      <c r="C23" s="174"/>
      <c r="D23" s="174"/>
      <c r="E23" s="174"/>
      <c r="F23" s="72">
        <v>2026</v>
      </c>
      <c r="G23" s="142">
        <v>5.8</v>
      </c>
      <c r="H23" s="152" t="s">
        <v>8</v>
      </c>
      <c r="I23" s="227"/>
      <c r="J23" s="174"/>
      <c r="K23" s="174"/>
      <c r="L23" s="152"/>
      <c r="M23" s="150"/>
    </row>
    <row r="24" spans="2:13">
      <c r="B24" s="228"/>
      <c r="C24" s="174"/>
      <c r="D24" s="174"/>
      <c r="E24" s="174"/>
      <c r="F24" s="72">
        <v>2027</v>
      </c>
      <c r="G24" s="142">
        <v>6</v>
      </c>
      <c r="H24" s="152" t="s">
        <v>8</v>
      </c>
      <c r="I24" s="227"/>
      <c r="J24" s="174"/>
      <c r="K24" s="174"/>
      <c r="L24" s="152"/>
      <c r="M24" s="150"/>
    </row>
    <row r="25" spans="2:13">
      <c r="B25" s="228"/>
      <c r="C25" s="174"/>
      <c r="D25" s="174"/>
      <c r="E25" s="174"/>
      <c r="F25" s="72">
        <v>2028</v>
      </c>
      <c r="G25" s="142">
        <v>6.3</v>
      </c>
      <c r="H25" s="152" t="s">
        <v>8</v>
      </c>
      <c r="I25" s="227"/>
      <c r="J25" s="174"/>
      <c r="K25" s="174"/>
      <c r="L25" s="152"/>
      <c r="M25" s="150"/>
    </row>
    <row r="26" spans="2:13">
      <c r="B26" s="232"/>
      <c r="C26" s="175"/>
      <c r="D26" s="175"/>
      <c r="E26" s="175"/>
      <c r="F26" s="231">
        <v>2029</v>
      </c>
      <c r="G26" s="77">
        <v>6.6</v>
      </c>
      <c r="H26" s="176" t="s">
        <v>8</v>
      </c>
      <c r="I26" s="234"/>
      <c r="J26" s="174"/>
      <c r="K26" s="174"/>
      <c r="L26" s="152"/>
      <c r="M26" s="150"/>
    </row>
    <row r="27" spans="2:13">
      <c r="B27" s="174"/>
      <c r="C27" s="174"/>
      <c r="D27" s="174"/>
      <c r="E27" s="174"/>
      <c r="F27" s="174"/>
      <c r="G27" s="174"/>
      <c r="H27" s="174"/>
      <c r="I27" s="174"/>
      <c r="J27" s="174"/>
      <c r="K27" s="174"/>
      <c r="L27" s="174"/>
      <c r="M27" s="174"/>
    </row>
    <row r="29" spans="2:13">
      <c r="B29" s="170" t="s">
        <v>228</v>
      </c>
      <c r="C29" s="145"/>
      <c r="D29" s="146"/>
      <c r="E29" s="2" t="s">
        <v>466</v>
      </c>
      <c r="F29" s="2"/>
      <c r="G29" s="147" t="s">
        <v>1</v>
      </c>
      <c r="H29" s="146" t="s">
        <v>2</v>
      </c>
      <c r="I29" s="171" t="s">
        <v>158</v>
      </c>
    </row>
    <row r="30" spans="2:13">
      <c r="B30" s="156" t="s">
        <v>229</v>
      </c>
      <c r="C30" s="157"/>
      <c r="D30" s="157"/>
      <c r="E30" s="157"/>
      <c r="F30" s="157"/>
      <c r="G30" s="189">
        <v>19.600000000000001</v>
      </c>
      <c r="H30" s="158" t="s">
        <v>15</v>
      </c>
      <c r="I30" s="177" t="s">
        <v>242</v>
      </c>
    </row>
    <row r="31" spans="2:13">
      <c r="B31" s="7" t="s">
        <v>230</v>
      </c>
      <c r="C31" s="150"/>
      <c r="D31" s="150"/>
      <c r="E31" s="150"/>
      <c r="F31" s="150"/>
      <c r="G31" s="189">
        <v>4.9000000000000004</v>
      </c>
      <c r="H31" s="161" t="s">
        <v>8</v>
      </c>
      <c r="I31" s="177" t="s">
        <v>242</v>
      </c>
    </row>
    <row r="32" spans="2:13">
      <c r="B32" s="160" t="s">
        <v>358</v>
      </c>
      <c r="C32" s="150"/>
      <c r="D32" s="150"/>
      <c r="E32" s="184" t="s">
        <v>276</v>
      </c>
      <c r="F32" s="229"/>
      <c r="G32" s="186">
        <v>20</v>
      </c>
      <c r="H32" s="152" t="s">
        <v>10</v>
      </c>
      <c r="I32" s="177" t="s">
        <v>422</v>
      </c>
    </row>
    <row r="33" spans="2:10">
      <c r="B33" s="160" t="s">
        <v>168</v>
      </c>
      <c r="C33" s="150"/>
      <c r="D33" s="150"/>
      <c r="E33" s="150"/>
      <c r="F33" s="150"/>
      <c r="G33" s="162">
        <f>G31</f>
        <v>4.9000000000000004</v>
      </c>
      <c r="H33" s="161" t="s">
        <v>8</v>
      </c>
      <c r="I33" s="177" t="s">
        <v>350</v>
      </c>
      <c r="J33" s="163"/>
    </row>
    <row r="34" spans="2:10">
      <c r="B34" s="160" t="s">
        <v>180</v>
      </c>
      <c r="C34" s="150"/>
      <c r="D34" s="150"/>
      <c r="E34" s="150"/>
      <c r="F34" s="150"/>
      <c r="G34" s="164">
        <v>0</v>
      </c>
      <c r="H34" s="161" t="s">
        <v>8</v>
      </c>
      <c r="I34" s="177" t="s">
        <v>241</v>
      </c>
    </row>
    <row r="35" spans="2:10">
      <c r="B35" s="160" t="s">
        <v>231</v>
      </c>
      <c r="C35" s="150"/>
      <c r="D35" s="150"/>
      <c r="E35" s="150"/>
      <c r="F35" s="150"/>
      <c r="G35" s="164">
        <v>0</v>
      </c>
      <c r="H35" s="161" t="s">
        <v>15</v>
      </c>
      <c r="I35" s="177" t="s">
        <v>353</v>
      </c>
    </row>
    <row r="36" spans="2:10" ht="30">
      <c r="B36" s="160" t="s">
        <v>181</v>
      </c>
      <c r="C36" s="150"/>
      <c r="D36" s="150"/>
      <c r="E36" s="150"/>
      <c r="F36" s="150"/>
      <c r="G36" s="165">
        <f>IF(F32="Yes",13*G32*G6, (24*30*8+13*30*4)*G6)</f>
        <v>6954</v>
      </c>
      <c r="H36" s="161" t="s">
        <v>172</v>
      </c>
      <c r="I36" s="178" t="s">
        <v>396</v>
      </c>
    </row>
    <row r="37" spans="2:10">
      <c r="B37" s="160" t="s">
        <v>182</v>
      </c>
      <c r="C37" s="150"/>
      <c r="D37" s="150"/>
      <c r="E37" s="150"/>
      <c r="F37" s="150"/>
      <c r="G37" s="164">
        <v>0</v>
      </c>
      <c r="H37" s="161" t="s">
        <v>172</v>
      </c>
      <c r="I37" s="177" t="s">
        <v>241</v>
      </c>
    </row>
    <row r="38" spans="2:10">
      <c r="B38" s="7" t="s">
        <v>89</v>
      </c>
      <c r="C38" s="150"/>
      <c r="D38" s="150"/>
      <c r="E38" s="150"/>
      <c r="F38" s="150"/>
      <c r="G38" s="150" t="s">
        <v>93</v>
      </c>
      <c r="H38" s="152" t="s">
        <v>10</v>
      </c>
      <c r="I38" s="177"/>
    </row>
    <row r="39" spans="2:10">
      <c r="B39" s="160" t="s">
        <v>224</v>
      </c>
      <c r="C39" s="150"/>
      <c r="D39" s="150"/>
      <c r="E39" s="150"/>
      <c r="F39" s="150"/>
      <c r="G39" s="166">
        <v>0</v>
      </c>
      <c r="H39" s="152" t="s">
        <v>204</v>
      </c>
      <c r="I39" s="179"/>
    </row>
    <row r="40" spans="2:10">
      <c r="B40" s="160" t="s">
        <v>225</v>
      </c>
      <c r="C40" s="150"/>
      <c r="D40" s="150"/>
      <c r="E40" s="150"/>
      <c r="F40" s="150"/>
      <c r="G40" s="166">
        <v>0</v>
      </c>
      <c r="H40" s="152" t="s">
        <v>204</v>
      </c>
      <c r="I40" s="179"/>
    </row>
    <row r="41" spans="2:10">
      <c r="B41" s="160" t="s">
        <v>16</v>
      </c>
      <c r="C41" s="150"/>
      <c r="D41" s="150"/>
      <c r="E41" s="150"/>
      <c r="F41" s="161"/>
      <c r="G41" s="185">
        <f>1-((90.62% + 88.81%)/2)</f>
        <v>0.10285</v>
      </c>
      <c r="H41" s="161" t="s">
        <v>5</v>
      </c>
      <c r="I41" s="172" t="s">
        <v>423</v>
      </c>
    </row>
    <row r="42" spans="2:10">
      <c r="B42" s="160" t="s">
        <v>232</v>
      </c>
      <c r="C42" s="150"/>
      <c r="D42" s="150"/>
      <c r="E42" s="150"/>
      <c r="F42" s="150"/>
      <c r="G42" s="186">
        <f>'4.5_Costs'!X6</f>
        <v>13681972.055397125</v>
      </c>
      <c r="H42" s="161" t="s">
        <v>13</v>
      </c>
      <c r="I42" s="177" t="s">
        <v>243</v>
      </c>
    </row>
    <row r="43" spans="2:10">
      <c r="B43" s="180" t="s">
        <v>17</v>
      </c>
      <c r="C43" s="181"/>
      <c r="D43" s="181"/>
      <c r="E43" s="181"/>
      <c r="F43" s="187">
        <v>2018</v>
      </c>
      <c r="G43" s="188" t="s">
        <v>60</v>
      </c>
      <c r="H43" s="176" t="s">
        <v>10</v>
      </c>
      <c r="I43" s="182" t="s">
        <v>352</v>
      </c>
    </row>
    <row r="44" spans="2:10">
      <c r="G44" s="125" t="s">
        <v>467</v>
      </c>
    </row>
    <row r="45" spans="2:10">
      <c r="B45" s="159"/>
      <c r="C45" s="159" t="s">
        <v>244</v>
      </c>
      <c r="D45" s="159" t="s">
        <v>245</v>
      </c>
      <c r="E45" s="159" t="s">
        <v>246</v>
      </c>
      <c r="F45" s="159" t="s">
        <v>247</v>
      </c>
      <c r="G45" s="159" t="s">
        <v>248</v>
      </c>
    </row>
    <row r="46" spans="2:10">
      <c r="B46" s="183" t="s">
        <v>9</v>
      </c>
      <c r="C46" s="159">
        <v>0.36</v>
      </c>
      <c r="D46" s="159">
        <v>0.95</v>
      </c>
      <c r="E46" s="159">
        <v>0</v>
      </c>
      <c r="F46" s="159">
        <v>0.71</v>
      </c>
      <c r="G46" s="159">
        <v>0.95</v>
      </c>
      <c r="H46" s="159"/>
      <c r="I46" s="159"/>
    </row>
    <row r="47" spans="2:10">
      <c r="B47" s="183" t="s">
        <v>188</v>
      </c>
      <c r="C47" s="159">
        <v>0.08</v>
      </c>
      <c r="D47" s="159">
        <v>0.95</v>
      </c>
      <c r="E47" s="159">
        <v>0.91</v>
      </c>
      <c r="F47" s="159">
        <v>0.71</v>
      </c>
      <c r="G47" s="159">
        <v>0.95</v>
      </c>
      <c r="H47" s="159"/>
      <c r="I47" s="159" t="s">
        <v>249</v>
      </c>
    </row>
    <row r="48" spans="2:10">
      <c r="B48" s="183" t="s">
        <v>189</v>
      </c>
      <c r="C48" s="159">
        <v>7.0000000000000007E-2</v>
      </c>
      <c r="D48" s="159">
        <v>0.95</v>
      </c>
      <c r="E48" s="159">
        <v>0.53</v>
      </c>
      <c r="F48" s="159">
        <v>0.56999999999999995</v>
      </c>
      <c r="G48" s="159">
        <v>0.95</v>
      </c>
      <c r="H48" s="159"/>
      <c r="I48" s="159" t="s">
        <v>250</v>
      </c>
    </row>
    <row r="49" spans="2:9">
      <c r="B49" s="183" t="s">
        <v>11</v>
      </c>
      <c r="C49" s="159"/>
      <c r="D49" s="159"/>
      <c r="E49" s="159"/>
      <c r="F49" s="159"/>
      <c r="G49" s="159">
        <v>0.95</v>
      </c>
      <c r="H49" s="159"/>
      <c r="I49" s="159"/>
    </row>
    <row r="51" spans="2:9">
      <c r="B51" s="159"/>
    </row>
    <row r="53" spans="2:9">
      <c r="C53" s="167"/>
    </row>
    <row r="54" spans="2:9">
      <c r="C54" s="167"/>
    </row>
    <row r="55" spans="2:9">
      <c r="C55" s="167"/>
    </row>
    <row r="56" spans="2:9">
      <c r="C56" s="167"/>
    </row>
    <row r="57" spans="2:9">
      <c r="C57" s="167"/>
    </row>
    <row r="58" spans="2:9">
      <c r="C58" s="167"/>
    </row>
    <row r="59" spans="2:9">
      <c r="C59" s="167"/>
    </row>
    <row r="60" spans="2:9">
      <c r="C60" s="167"/>
    </row>
    <row r="61" spans="2:9">
      <c r="C61" s="167"/>
    </row>
    <row r="62" spans="2:9">
      <c r="C62" s="167"/>
    </row>
    <row r="63" spans="2:9">
      <c r="C63" s="167"/>
    </row>
    <row r="64" spans="2:9">
      <c r="C64" s="167"/>
    </row>
    <row r="65" spans="3:3">
      <c r="C65" s="167"/>
    </row>
  </sheetData>
  <dataValidations count="1">
    <dataValidation type="list" allowBlank="1" showInputMessage="1" showErrorMessage="1" sqref="E32:F32" xr:uid="{00000000-0002-0000-0100-000000000000}">
      <formula1>$B$58:$B$59</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'Inputs - Fixed'!$A$7:$A$10</xm:f>
          </x14:formula1>
          <xm:sqref>G38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T80"/>
  <sheetViews>
    <sheetView workbookViewId="0">
      <selection activeCell="X71" sqref="X71"/>
    </sheetView>
  </sheetViews>
  <sheetFormatPr baseColWidth="10" defaultColWidth="8.83203125" defaultRowHeight="15"/>
  <cols>
    <col min="6" max="6" width="11.83203125" bestFit="1" customWidth="1"/>
  </cols>
  <sheetData>
    <row r="2" spans="1:20">
      <c r="A2" s="1" t="s">
        <v>0</v>
      </c>
      <c r="B2" s="1"/>
      <c r="C2" s="2"/>
      <c r="D2" s="2"/>
      <c r="E2" s="2"/>
      <c r="F2" s="3" t="s">
        <v>1</v>
      </c>
      <c r="G2" s="2" t="s">
        <v>2</v>
      </c>
      <c r="H2" s="4" t="s">
        <v>3</v>
      </c>
      <c r="I2" s="4"/>
      <c r="J2" s="4"/>
      <c r="K2" s="4"/>
      <c r="L2" s="4"/>
      <c r="M2" s="4"/>
      <c r="N2" s="4"/>
      <c r="O2" s="4"/>
      <c r="P2" s="4"/>
      <c r="Q2" s="4"/>
      <c r="R2" s="4"/>
      <c r="S2" s="4"/>
      <c r="T2" s="4"/>
    </row>
    <row r="3" spans="1:20">
      <c r="A3" s="7" t="s">
        <v>4</v>
      </c>
      <c r="B3" s="8"/>
      <c r="C3" s="8"/>
      <c r="D3" s="8"/>
      <c r="E3" s="8"/>
      <c r="F3" s="10">
        <v>6.8500000000000005E-2</v>
      </c>
      <c r="G3" s="9" t="s">
        <v>5</v>
      </c>
      <c r="H3" s="8" t="s">
        <v>6</v>
      </c>
    </row>
    <row r="4" spans="1:20">
      <c r="A4" s="7" t="s">
        <v>112</v>
      </c>
      <c r="B4" s="8"/>
      <c r="C4" s="8"/>
      <c r="D4" s="8"/>
      <c r="E4" s="8"/>
      <c r="F4" s="11">
        <v>11.034718607306001</v>
      </c>
      <c r="G4" s="9" t="s">
        <v>20</v>
      </c>
      <c r="H4" s="12" t="s">
        <v>115</v>
      </c>
    </row>
    <row r="5" spans="1:20">
      <c r="A5" s="7" t="s">
        <v>111</v>
      </c>
      <c r="B5" s="8"/>
      <c r="C5" s="8"/>
      <c r="D5" s="8"/>
      <c r="E5" s="8"/>
      <c r="F5" s="11">
        <v>0.20959417799999999</v>
      </c>
      <c r="G5" s="9" t="s">
        <v>114</v>
      </c>
      <c r="H5" s="12" t="s">
        <v>116</v>
      </c>
    </row>
    <row r="6" spans="1:20">
      <c r="A6" s="7" t="s">
        <v>113</v>
      </c>
      <c r="B6" s="8"/>
      <c r="C6" s="8"/>
      <c r="D6" s="8"/>
      <c r="E6" s="8"/>
      <c r="F6" s="11">
        <v>10.13306375</v>
      </c>
      <c r="G6" s="9" t="s">
        <v>20</v>
      </c>
      <c r="H6" s="12" t="s">
        <v>115</v>
      </c>
    </row>
    <row r="7" spans="1:20">
      <c r="A7" s="7" t="s">
        <v>90</v>
      </c>
      <c r="B7" s="8"/>
      <c r="C7" s="8"/>
      <c r="D7" s="8"/>
      <c r="E7" s="8"/>
      <c r="F7" s="40">
        <v>1.89E-2</v>
      </c>
      <c r="G7" s="9" t="s">
        <v>5</v>
      </c>
      <c r="H7" s="12" t="s">
        <v>94</v>
      </c>
    </row>
    <row r="8" spans="1:20">
      <c r="A8" s="7" t="s">
        <v>91</v>
      </c>
      <c r="B8" s="8"/>
      <c r="C8" s="8"/>
      <c r="D8" s="8"/>
      <c r="E8" s="8"/>
      <c r="F8" s="40">
        <v>7.4000000000000003E-3</v>
      </c>
      <c r="G8" s="9" t="s">
        <v>5</v>
      </c>
      <c r="H8" s="12" t="s">
        <v>94</v>
      </c>
    </row>
    <row r="9" spans="1:20">
      <c r="A9" s="7" t="s">
        <v>92</v>
      </c>
      <c r="B9" s="8"/>
      <c r="C9" s="8"/>
      <c r="D9" s="8"/>
      <c r="E9" s="8"/>
      <c r="F9" s="40">
        <v>1.2200000000000001E-2</v>
      </c>
      <c r="G9" s="9" t="s">
        <v>5</v>
      </c>
      <c r="H9" s="12" t="s">
        <v>94</v>
      </c>
    </row>
    <row r="10" spans="1:20">
      <c r="A10" s="7" t="s">
        <v>93</v>
      </c>
      <c r="B10" s="8"/>
      <c r="C10" s="8"/>
      <c r="D10" s="8"/>
      <c r="E10" s="8"/>
      <c r="F10" s="40">
        <v>1.78E-2</v>
      </c>
      <c r="G10" s="9" t="s">
        <v>5</v>
      </c>
      <c r="H10" s="12" t="s">
        <v>94</v>
      </c>
    </row>
    <row r="11" spans="1:20">
      <c r="A11" s="133" t="s">
        <v>88</v>
      </c>
      <c r="B11" s="128"/>
      <c r="C11" s="128"/>
      <c r="D11" s="128"/>
      <c r="E11" s="128"/>
      <c r="F11" s="168">
        <f>IF(A7='Inputs - Project Specific'!G38,'Inputs - Fixed'!F7,IF(A8='Inputs - Project Specific'!G38,SUM(F7:F8),IF(A9='Inputs - Project Specific'!G38,SUM(F7:F9),IF(A10='Inputs - Project Specific'!G38,SUM(F7:F10)))))</f>
        <v>5.6300000000000003E-2</v>
      </c>
      <c r="G11" s="130" t="s">
        <v>5</v>
      </c>
      <c r="H11" s="128" t="s">
        <v>110</v>
      </c>
    </row>
    <row r="12" spans="1:20" s="126" customFormat="1">
      <c r="A12" s="118" t="s">
        <v>383</v>
      </c>
      <c r="B12" s="128"/>
      <c r="C12" s="128"/>
      <c r="D12" s="128"/>
      <c r="E12" s="128"/>
      <c r="F12" s="169">
        <v>21.16</v>
      </c>
      <c r="G12" s="130" t="s">
        <v>13</v>
      </c>
      <c r="H12" s="128" t="s">
        <v>382</v>
      </c>
    </row>
    <row r="13" spans="1:20">
      <c r="F13" s="35"/>
      <c r="G13" s="36"/>
    </row>
    <row r="14" spans="1:20">
      <c r="A14" s="1" t="s">
        <v>206</v>
      </c>
      <c r="B14" s="1"/>
      <c r="C14" s="2"/>
      <c r="D14" s="2" t="s">
        <v>208</v>
      </c>
      <c r="E14" s="2" t="s">
        <v>209</v>
      </c>
      <c r="F14" s="3" t="s">
        <v>207</v>
      </c>
      <c r="G14" s="2" t="s">
        <v>2</v>
      </c>
      <c r="H14" s="4" t="s">
        <v>3</v>
      </c>
      <c r="I14" s="4"/>
      <c r="J14" s="4"/>
      <c r="K14" s="4"/>
      <c r="L14" s="4"/>
      <c r="M14" s="4"/>
      <c r="N14" s="4"/>
      <c r="O14" s="4"/>
      <c r="P14" s="4"/>
      <c r="Q14" s="4"/>
      <c r="R14" s="4"/>
      <c r="S14" s="4"/>
      <c r="T14" s="4"/>
    </row>
    <row r="15" spans="1:20">
      <c r="A15" s="18">
        <v>2016</v>
      </c>
      <c r="B15" s="5"/>
      <c r="C15" s="5"/>
      <c r="D15" s="54">
        <v>5</v>
      </c>
      <c r="E15" s="54">
        <v>50</v>
      </c>
      <c r="F15" s="54">
        <v>24.24</v>
      </c>
      <c r="G15" s="6" t="s">
        <v>20</v>
      </c>
      <c r="H15" s="5" t="s">
        <v>210</v>
      </c>
    </row>
    <row r="16" spans="1:20">
      <c r="A16" s="15">
        <v>2017</v>
      </c>
      <c r="B16" s="8"/>
      <c r="C16" s="8"/>
      <c r="D16" s="54">
        <v>5</v>
      </c>
      <c r="E16" s="54">
        <v>60</v>
      </c>
      <c r="F16" s="54">
        <v>24.24</v>
      </c>
      <c r="G16" s="9" t="s">
        <v>20</v>
      </c>
      <c r="H16" s="8" t="s">
        <v>211</v>
      </c>
    </row>
    <row r="17" spans="1:20">
      <c r="A17" s="15">
        <v>2018</v>
      </c>
      <c r="B17" s="8"/>
      <c r="C17" s="8"/>
      <c r="D17" s="54">
        <v>5</v>
      </c>
      <c r="E17" s="54">
        <v>55</v>
      </c>
      <c r="F17" s="54">
        <v>24.24</v>
      </c>
      <c r="G17" s="9" t="s">
        <v>20</v>
      </c>
      <c r="H17" s="8" t="s">
        <v>212</v>
      </c>
    </row>
    <row r="18" spans="1:20">
      <c r="A18" s="15">
        <v>2019</v>
      </c>
      <c r="B18" s="8"/>
      <c r="C18" s="8"/>
      <c r="D18" s="54">
        <v>5</v>
      </c>
      <c r="E18" s="54">
        <v>50</v>
      </c>
      <c r="F18" s="54">
        <v>24.24</v>
      </c>
      <c r="G18" s="9" t="s">
        <v>20</v>
      </c>
      <c r="H18" s="8" t="s">
        <v>213</v>
      </c>
    </row>
    <row r="19" spans="1:20">
      <c r="A19" s="15">
        <v>2020</v>
      </c>
      <c r="B19" s="8"/>
      <c r="C19" s="8"/>
      <c r="D19" s="54">
        <v>5</v>
      </c>
      <c r="E19" s="54">
        <v>45</v>
      </c>
      <c r="F19" s="54">
        <v>24.24</v>
      </c>
      <c r="G19" s="9" t="s">
        <v>20</v>
      </c>
      <c r="H19" s="8" t="s">
        <v>214</v>
      </c>
    </row>
    <row r="20" spans="1:20">
      <c r="A20" s="15">
        <v>2021</v>
      </c>
      <c r="B20" s="8"/>
      <c r="C20" s="8"/>
      <c r="D20" s="54">
        <v>5</v>
      </c>
      <c r="E20" s="54">
        <v>40</v>
      </c>
      <c r="F20" s="54">
        <v>24.24</v>
      </c>
      <c r="G20" s="9" t="s">
        <v>20</v>
      </c>
      <c r="H20" s="8" t="s">
        <v>215</v>
      </c>
    </row>
    <row r="21" spans="1:20">
      <c r="A21" s="15">
        <v>2022</v>
      </c>
      <c r="B21" s="8"/>
      <c r="C21" s="8"/>
      <c r="D21" s="54">
        <v>5</v>
      </c>
      <c r="E21" s="54">
        <v>55</v>
      </c>
      <c r="F21" s="54">
        <v>24.24</v>
      </c>
      <c r="G21" s="9" t="s">
        <v>20</v>
      </c>
      <c r="H21" s="8" t="s">
        <v>216</v>
      </c>
    </row>
    <row r="22" spans="1:20">
      <c r="A22" s="15">
        <v>2023</v>
      </c>
      <c r="B22" s="8"/>
      <c r="C22" s="8"/>
      <c r="D22" s="54">
        <v>5</v>
      </c>
      <c r="E22" s="54">
        <v>50</v>
      </c>
      <c r="F22" s="54">
        <v>24.24</v>
      </c>
      <c r="G22" s="9" t="s">
        <v>20</v>
      </c>
      <c r="H22" s="8" t="s">
        <v>217</v>
      </c>
    </row>
    <row r="23" spans="1:20">
      <c r="A23" s="15">
        <v>2024</v>
      </c>
      <c r="B23" s="8"/>
      <c r="C23" s="8"/>
      <c r="D23" s="54">
        <v>5</v>
      </c>
      <c r="E23" s="54">
        <v>45</v>
      </c>
      <c r="F23" s="54">
        <v>24.24</v>
      </c>
      <c r="G23" s="9" t="s">
        <v>20</v>
      </c>
      <c r="H23" s="8" t="s">
        <v>218</v>
      </c>
    </row>
    <row r="24" spans="1:20">
      <c r="A24" s="15">
        <v>2025</v>
      </c>
      <c r="B24" s="8"/>
      <c r="C24" s="8"/>
      <c r="D24" s="54">
        <v>5</v>
      </c>
      <c r="E24" s="54">
        <v>40</v>
      </c>
      <c r="F24" s="54">
        <v>24.24</v>
      </c>
      <c r="G24" s="9" t="s">
        <v>20</v>
      </c>
      <c r="H24" s="8" t="s">
        <v>219</v>
      </c>
    </row>
    <row r="25" spans="1:20">
      <c r="A25" s="15">
        <v>2026</v>
      </c>
      <c r="B25" s="8"/>
      <c r="C25" s="8"/>
      <c r="D25" s="54">
        <v>5</v>
      </c>
      <c r="E25" s="54">
        <v>35</v>
      </c>
      <c r="F25" s="54">
        <v>24.24</v>
      </c>
      <c r="G25" s="9" t="s">
        <v>20</v>
      </c>
      <c r="H25" s="8" t="s">
        <v>220</v>
      </c>
    </row>
    <row r="26" spans="1:20">
      <c r="A26" s="15">
        <v>2027</v>
      </c>
      <c r="B26" s="8"/>
      <c r="C26" s="8"/>
      <c r="D26" s="54">
        <v>5</v>
      </c>
      <c r="E26" s="54">
        <v>30</v>
      </c>
      <c r="F26" s="54">
        <v>24.24</v>
      </c>
      <c r="G26" s="9" t="s">
        <v>20</v>
      </c>
      <c r="H26" s="8" t="s">
        <v>221</v>
      </c>
    </row>
    <row r="27" spans="1:20">
      <c r="A27" s="15">
        <v>2028</v>
      </c>
      <c r="B27" s="8"/>
      <c r="C27" s="8"/>
      <c r="D27" s="54">
        <v>5</v>
      </c>
      <c r="E27" s="54">
        <v>25</v>
      </c>
      <c r="F27" s="54">
        <v>24.24</v>
      </c>
      <c r="G27" s="9" t="s">
        <v>20</v>
      </c>
      <c r="H27" s="8" t="s">
        <v>222</v>
      </c>
    </row>
    <row r="28" spans="1:20">
      <c r="A28" s="17">
        <v>2029</v>
      </c>
      <c r="B28" s="13"/>
      <c r="C28" s="13"/>
      <c r="D28" s="55">
        <v>5</v>
      </c>
      <c r="E28" s="55">
        <v>20</v>
      </c>
      <c r="F28" s="54">
        <v>24.24</v>
      </c>
      <c r="G28" s="14" t="s">
        <v>20</v>
      </c>
      <c r="H28" s="13" t="s">
        <v>223</v>
      </c>
    </row>
    <row r="29" spans="1:20" s="112" customFormat="1">
      <c r="A29" s="118"/>
      <c r="B29" s="116"/>
      <c r="C29" s="116"/>
      <c r="D29" s="54"/>
      <c r="E29" s="54"/>
      <c r="F29" s="54"/>
      <c r="G29" s="115"/>
      <c r="H29" s="116"/>
    </row>
    <row r="30" spans="1:20" s="112" customFormat="1">
      <c r="A30" s="118"/>
      <c r="B30" s="239" t="s">
        <v>207</v>
      </c>
      <c r="C30" s="239"/>
      <c r="D30" s="239" t="s">
        <v>366</v>
      </c>
      <c r="E30" s="239"/>
      <c r="F30" s="239" t="s">
        <v>367</v>
      </c>
      <c r="G30" s="239"/>
      <c r="H30" s="239" t="s">
        <v>368</v>
      </c>
      <c r="I30" s="239"/>
    </row>
    <row r="31" spans="1:20" s="112" customFormat="1">
      <c r="A31" s="117"/>
      <c r="B31" s="117" t="s">
        <v>364</v>
      </c>
      <c r="C31" s="117" t="s">
        <v>365</v>
      </c>
      <c r="D31" s="117" t="s">
        <v>364</v>
      </c>
      <c r="E31" s="117" t="s">
        <v>365</v>
      </c>
      <c r="F31" s="117" t="s">
        <v>364</v>
      </c>
      <c r="G31" s="117" t="s">
        <v>365</v>
      </c>
      <c r="H31" s="117" t="s">
        <v>364</v>
      </c>
      <c r="I31" s="117" t="s">
        <v>365</v>
      </c>
      <c r="J31" s="117"/>
      <c r="K31" s="117"/>
      <c r="L31" s="117"/>
      <c r="M31" s="117"/>
      <c r="N31" s="117"/>
      <c r="O31" s="117"/>
      <c r="P31" s="117"/>
      <c r="Q31" s="117"/>
      <c r="R31" s="117"/>
      <c r="S31" s="117"/>
      <c r="T31" s="117"/>
    </row>
    <row r="32" spans="1:20" s="112" customFormat="1">
      <c r="A32" s="118">
        <v>2009</v>
      </c>
      <c r="B32">
        <v>882</v>
      </c>
      <c r="C32">
        <v>946</v>
      </c>
      <c r="D32">
        <v>1.1200000000000001</v>
      </c>
      <c r="E32">
        <v>1.72</v>
      </c>
      <c r="F32">
        <v>0.36</v>
      </c>
      <c r="G32">
        <v>0.39</v>
      </c>
      <c r="H32">
        <v>0.28999999999999998</v>
      </c>
      <c r="I32">
        <v>0.45</v>
      </c>
      <c r="J32" s="112" t="s">
        <v>363</v>
      </c>
      <c r="K32" s="140" t="s">
        <v>369</v>
      </c>
    </row>
    <row r="33" spans="1:20" s="112" customFormat="1">
      <c r="A33" s="118">
        <v>2010</v>
      </c>
      <c r="B33" s="114">
        <v>1019</v>
      </c>
      <c r="C33" s="114">
        <v>1036</v>
      </c>
      <c r="D33">
        <v>1.05</v>
      </c>
      <c r="E33">
        <v>1.45</v>
      </c>
      <c r="F33">
        <v>0.62</v>
      </c>
      <c r="G33">
        <v>0.47</v>
      </c>
      <c r="H33">
        <v>0.33</v>
      </c>
      <c r="I33">
        <v>0.47</v>
      </c>
      <c r="J33" s="112" t="s">
        <v>363</v>
      </c>
    </row>
    <row r="34" spans="1:20" s="112" customFormat="1">
      <c r="A34" s="118">
        <v>2011</v>
      </c>
      <c r="B34">
        <v>943</v>
      </c>
      <c r="C34">
        <v>908</v>
      </c>
      <c r="D34">
        <v>1.34</v>
      </c>
      <c r="E34">
        <v>1.35</v>
      </c>
      <c r="F34">
        <v>0.24</v>
      </c>
      <c r="G34">
        <v>0.28999999999999998</v>
      </c>
      <c r="H34">
        <v>0.14000000000000001</v>
      </c>
      <c r="I34">
        <v>0.36</v>
      </c>
      <c r="J34" s="112" t="s">
        <v>363</v>
      </c>
      <c r="L34" t="s">
        <v>370</v>
      </c>
    </row>
    <row r="35" spans="1:20" s="112" customFormat="1">
      <c r="A35" s="118">
        <v>2012</v>
      </c>
      <c r="B35">
        <v>876</v>
      </c>
      <c r="C35">
        <v>839</v>
      </c>
      <c r="D35">
        <v>0.39</v>
      </c>
      <c r="E35">
        <v>0.32</v>
      </c>
      <c r="F35">
        <v>0.35</v>
      </c>
      <c r="G35">
        <v>0.21</v>
      </c>
      <c r="H35">
        <v>0.19</v>
      </c>
      <c r="I35">
        <v>0.16</v>
      </c>
      <c r="J35" s="112" t="s">
        <v>363</v>
      </c>
    </row>
    <row r="36" spans="1:20" s="112" customFormat="1">
      <c r="A36" s="118">
        <v>2013</v>
      </c>
      <c r="B36">
        <v>921</v>
      </c>
      <c r="C36">
        <v>937</v>
      </c>
      <c r="D36">
        <v>0.51</v>
      </c>
      <c r="E36">
        <v>0.59</v>
      </c>
      <c r="F36">
        <v>0.32</v>
      </c>
      <c r="G36">
        <v>0.21</v>
      </c>
      <c r="H36">
        <v>0.35</v>
      </c>
      <c r="I36">
        <v>0.43</v>
      </c>
      <c r="J36" s="112" t="s">
        <v>363</v>
      </c>
    </row>
    <row r="37" spans="1:20" s="112" customFormat="1">
      <c r="A37" s="118">
        <v>2014</v>
      </c>
      <c r="B37">
        <v>931</v>
      </c>
      <c r="C37">
        <v>949</v>
      </c>
      <c r="D37">
        <v>0.46</v>
      </c>
      <c r="E37">
        <v>0.45</v>
      </c>
      <c r="F37">
        <v>0.21</v>
      </c>
      <c r="G37">
        <v>0.14000000000000001</v>
      </c>
      <c r="H37">
        <v>0.51</v>
      </c>
      <c r="I37">
        <v>0.56000000000000005</v>
      </c>
      <c r="J37" s="112" t="s">
        <v>363</v>
      </c>
    </row>
    <row r="38" spans="1:20">
      <c r="A38" s="118">
        <v>2015</v>
      </c>
      <c r="B38">
        <v>891</v>
      </c>
      <c r="C38">
        <v>832</v>
      </c>
      <c r="D38">
        <v>0.4</v>
      </c>
      <c r="E38">
        <v>0.28999999999999998</v>
      </c>
      <c r="F38">
        <v>0.34</v>
      </c>
      <c r="G38">
        <v>0.16</v>
      </c>
      <c r="H38">
        <v>0.32</v>
      </c>
      <c r="I38">
        <v>0.32</v>
      </c>
      <c r="J38" s="112" t="s">
        <v>363</v>
      </c>
    </row>
    <row r="39" spans="1:20" s="112" customFormat="1">
      <c r="A39" s="118"/>
    </row>
    <row r="40" spans="1:20">
      <c r="A40" s="1" t="s">
        <v>21</v>
      </c>
      <c r="B40" s="1"/>
      <c r="C40" s="2"/>
      <c r="D40" s="2"/>
      <c r="E40" s="2"/>
      <c r="F40" s="3" t="s">
        <v>22</v>
      </c>
      <c r="G40" s="2" t="s">
        <v>2</v>
      </c>
      <c r="H40" s="4" t="s">
        <v>3</v>
      </c>
      <c r="I40" s="4"/>
      <c r="J40" s="4"/>
      <c r="K40" s="4"/>
      <c r="L40" s="4"/>
      <c r="M40" s="4"/>
      <c r="N40" s="4"/>
      <c r="O40" s="4"/>
      <c r="P40" s="4"/>
      <c r="Q40" s="4"/>
      <c r="R40" s="4"/>
      <c r="S40" s="4"/>
      <c r="T40" s="4"/>
    </row>
    <row r="41" spans="1:20">
      <c r="A41" s="133">
        <v>2017</v>
      </c>
      <c r="B41" s="128"/>
      <c r="C41" s="128"/>
      <c r="D41" s="128"/>
      <c r="E41" s="128"/>
      <c r="F41" s="129">
        <v>18.4585632660987</v>
      </c>
      <c r="G41" s="130" t="s">
        <v>13</v>
      </c>
      <c r="H41" s="127" t="s">
        <v>72</v>
      </c>
    </row>
    <row r="42" spans="1:20">
      <c r="A42" s="133">
        <v>2018</v>
      </c>
      <c r="B42" s="128"/>
      <c r="C42" s="128"/>
      <c r="D42" s="128"/>
      <c r="E42" s="128"/>
      <c r="F42" s="129">
        <v>21.061837432708437</v>
      </c>
      <c r="G42" s="130" t="s">
        <v>13</v>
      </c>
      <c r="H42" s="128" t="s">
        <v>375</v>
      </c>
    </row>
    <row r="43" spans="1:20">
      <c r="A43" s="133">
        <v>2019</v>
      </c>
      <c r="B43" s="128"/>
      <c r="C43" s="128"/>
      <c r="D43" s="128"/>
      <c r="E43" s="128"/>
      <c r="F43" s="129">
        <v>20.139283806517568</v>
      </c>
      <c r="G43" s="130" t="s">
        <v>13</v>
      </c>
      <c r="H43" s="128" t="s">
        <v>376</v>
      </c>
    </row>
    <row r="44" spans="1:20">
      <c r="A44" s="133">
        <v>2020</v>
      </c>
      <c r="B44" s="128"/>
      <c r="C44" s="128"/>
      <c r="D44" s="128"/>
      <c r="E44" s="128"/>
      <c r="F44" s="129">
        <v>33.826186037287087</v>
      </c>
      <c r="G44" s="130" t="s">
        <v>13</v>
      </c>
      <c r="H44" s="128" t="s">
        <v>73</v>
      </c>
    </row>
    <row r="45" spans="1:20">
      <c r="A45" s="133">
        <v>2021</v>
      </c>
      <c r="B45" s="128"/>
      <c r="C45" s="128"/>
      <c r="D45" s="128"/>
      <c r="E45" s="128"/>
      <c r="F45" s="129">
        <v>39.457677236090248</v>
      </c>
      <c r="G45" s="130" t="s">
        <v>13</v>
      </c>
      <c r="H45" s="128"/>
    </row>
    <row r="46" spans="1:20">
      <c r="A46" s="133">
        <v>2022</v>
      </c>
      <c r="B46" s="128"/>
      <c r="C46" s="128"/>
      <c r="D46" s="128"/>
      <c r="E46" s="128"/>
      <c r="F46" s="129">
        <v>40.13718857651935</v>
      </c>
      <c r="G46" s="130" t="s">
        <v>13</v>
      </c>
      <c r="H46" s="128"/>
    </row>
    <row r="47" spans="1:20">
      <c r="A47" s="133">
        <v>2023</v>
      </c>
      <c r="B47" s="128"/>
      <c r="C47" s="128"/>
      <c r="D47" s="128"/>
      <c r="E47" s="128"/>
      <c r="F47" s="129">
        <v>41.605532308366065</v>
      </c>
      <c r="G47" s="130" t="s">
        <v>13</v>
      </c>
      <c r="H47" s="128"/>
    </row>
    <row r="48" spans="1:20">
      <c r="A48" s="133">
        <v>2024</v>
      </c>
      <c r="B48" s="128"/>
      <c r="C48" s="128"/>
      <c r="D48" s="128"/>
      <c r="E48" s="128"/>
      <c r="F48" s="129">
        <v>42.709559000557469</v>
      </c>
      <c r="G48" s="130" t="s">
        <v>13</v>
      </c>
      <c r="H48" s="128"/>
    </row>
    <row r="49" spans="1:20">
      <c r="A49" s="133">
        <v>2025</v>
      </c>
      <c r="B49" s="128"/>
      <c r="C49" s="128"/>
      <c r="D49" s="128"/>
      <c r="E49" s="128"/>
      <c r="F49" s="129">
        <v>44.087732717597319</v>
      </c>
      <c r="G49" s="130" t="s">
        <v>13</v>
      </c>
      <c r="H49" s="128"/>
    </row>
    <row r="50" spans="1:20">
      <c r="A50" s="133">
        <v>2026</v>
      </c>
      <c r="B50" s="128"/>
      <c r="C50" s="128"/>
      <c r="D50" s="128"/>
      <c r="E50" s="128"/>
      <c r="F50" s="129">
        <v>45.433509374564132</v>
      </c>
      <c r="G50" s="130" t="s">
        <v>13</v>
      </c>
      <c r="H50" s="128"/>
    </row>
    <row r="51" spans="1:20">
      <c r="A51" s="133">
        <v>2027</v>
      </c>
      <c r="B51" s="128"/>
      <c r="C51" s="128"/>
      <c r="D51" s="128"/>
      <c r="E51" s="128"/>
      <c r="F51" s="129">
        <v>47.110611062501981</v>
      </c>
      <c r="G51" s="130" t="s">
        <v>13</v>
      </c>
      <c r="H51" s="128"/>
    </row>
    <row r="52" spans="1:20">
      <c r="A52" s="133">
        <v>2028</v>
      </c>
      <c r="B52" s="128"/>
      <c r="C52" s="128"/>
      <c r="D52" s="128"/>
      <c r="E52" s="128"/>
      <c r="F52" s="129">
        <v>48.496091957592412</v>
      </c>
      <c r="G52" s="130" t="s">
        <v>13</v>
      </c>
      <c r="H52" s="128"/>
    </row>
    <row r="53" spans="1:20">
      <c r="A53" s="133">
        <v>2029</v>
      </c>
      <c r="B53" s="128"/>
      <c r="C53" s="128"/>
      <c r="D53" s="128"/>
      <c r="E53" s="128"/>
      <c r="F53" s="129">
        <v>49.878470087427402</v>
      </c>
      <c r="G53" s="130" t="s">
        <v>13</v>
      </c>
      <c r="H53" s="128"/>
    </row>
    <row r="54" spans="1:20">
      <c r="A54" s="133">
        <v>2030</v>
      </c>
      <c r="B54" s="128"/>
      <c r="C54" s="128"/>
      <c r="D54" s="128"/>
      <c r="E54" s="128"/>
      <c r="F54" s="129">
        <v>51.257730841302703</v>
      </c>
      <c r="G54" s="130" t="s">
        <v>13</v>
      </c>
      <c r="H54" s="128"/>
    </row>
    <row r="55" spans="1:20">
      <c r="A55" s="133">
        <v>2031</v>
      </c>
      <c r="B55" s="128"/>
      <c r="C55" s="128"/>
      <c r="D55" s="128"/>
      <c r="E55" s="128"/>
      <c r="F55" s="129">
        <v>52.633859780587585</v>
      </c>
      <c r="G55" s="130" t="s">
        <v>13</v>
      </c>
      <c r="H55" s="128"/>
    </row>
    <row r="56" spans="1:20">
      <c r="A56" s="133">
        <v>2032</v>
      </c>
      <c r="B56" s="128"/>
      <c r="C56" s="128"/>
      <c r="D56" s="128"/>
      <c r="E56" s="128"/>
      <c r="F56" s="129">
        <v>54.006842638327427</v>
      </c>
      <c r="G56" s="130" t="s">
        <v>13</v>
      </c>
      <c r="H56" s="128"/>
    </row>
    <row r="57" spans="1:20">
      <c r="A57" s="133">
        <v>2033</v>
      </c>
      <c r="B57" s="128"/>
      <c r="C57" s="128"/>
      <c r="D57" s="128"/>
      <c r="E57" s="128"/>
      <c r="F57" s="129">
        <v>55.376665318838093</v>
      </c>
      <c r="G57" s="130" t="s">
        <v>13</v>
      </c>
      <c r="H57" s="128"/>
    </row>
    <row r="58" spans="1:20">
      <c r="A58" s="133">
        <v>2034</v>
      </c>
      <c r="B58" s="128"/>
      <c r="C58" s="128"/>
      <c r="D58" s="128"/>
      <c r="E58" s="128"/>
      <c r="F58" s="129">
        <v>56.743313897294783</v>
      </c>
      <c r="G58" s="130" t="s">
        <v>13</v>
      </c>
      <c r="H58" s="128"/>
    </row>
    <row r="59" spans="1:20">
      <c r="A59" s="134">
        <v>2035</v>
      </c>
      <c r="B59" s="131"/>
      <c r="C59" s="131"/>
      <c r="D59" s="131"/>
      <c r="E59" s="131"/>
      <c r="F59" s="135">
        <v>58.10677461931116</v>
      </c>
      <c r="G59" s="132" t="s">
        <v>13</v>
      </c>
      <c r="H59" s="131"/>
      <c r="I59" s="13"/>
      <c r="J59" s="13"/>
      <c r="K59" s="13"/>
      <c r="L59" s="13"/>
      <c r="M59" s="13"/>
      <c r="N59" s="13"/>
      <c r="O59" s="13"/>
      <c r="P59" s="13"/>
      <c r="Q59" s="13"/>
      <c r="R59" s="13"/>
      <c r="S59" s="13"/>
      <c r="T59" s="13"/>
    </row>
    <row r="61" spans="1:20">
      <c r="A61" s="19" t="s">
        <v>23</v>
      </c>
      <c r="B61" s="20"/>
      <c r="C61" s="20"/>
      <c r="D61" s="20"/>
      <c r="E61" s="20"/>
      <c r="F61" s="20"/>
      <c r="G61" s="20"/>
      <c r="H61" s="20"/>
      <c r="I61" s="20"/>
      <c r="J61" s="20"/>
      <c r="K61" s="20"/>
      <c r="L61" s="20"/>
      <c r="M61" s="20"/>
      <c r="N61" s="20"/>
      <c r="O61" s="20"/>
      <c r="P61" s="20"/>
      <c r="Q61" s="20"/>
      <c r="R61" s="20"/>
      <c r="S61" s="20"/>
      <c r="T61" s="21"/>
    </row>
    <row r="62" spans="1:20">
      <c r="A62" s="22" t="s">
        <v>24</v>
      </c>
      <c r="B62" s="8"/>
      <c r="C62" s="8"/>
      <c r="D62" s="8"/>
      <c r="E62" s="8"/>
      <c r="F62" s="8"/>
      <c r="G62" s="8"/>
      <c r="H62" s="8"/>
      <c r="I62" s="8"/>
      <c r="J62" s="8"/>
      <c r="K62" s="8"/>
      <c r="L62" s="8"/>
      <c r="M62" s="8"/>
      <c r="N62" s="8"/>
      <c r="O62" s="8"/>
      <c r="P62" s="8"/>
      <c r="Q62" s="8"/>
      <c r="R62" s="8"/>
      <c r="S62" s="8"/>
      <c r="T62" s="23"/>
    </row>
    <row r="63" spans="1:20">
      <c r="A63" s="7" t="s">
        <v>25</v>
      </c>
      <c r="B63" s="8"/>
      <c r="C63" s="8"/>
      <c r="D63" s="8"/>
      <c r="E63" s="8"/>
      <c r="F63" s="8"/>
      <c r="G63" s="8"/>
      <c r="H63" s="8"/>
      <c r="I63" s="8"/>
      <c r="J63" s="8"/>
      <c r="K63" s="8"/>
      <c r="L63" s="8"/>
      <c r="M63" s="8"/>
      <c r="N63" s="8"/>
      <c r="O63" s="8"/>
      <c r="P63" s="8"/>
      <c r="Q63" s="8"/>
      <c r="R63" s="8"/>
      <c r="S63" s="8"/>
      <c r="T63" s="23"/>
    </row>
    <row r="64" spans="1:20">
      <c r="A64" s="24" t="s">
        <v>26</v>
      </c>
      <c r="B64" s="25">
        <v>2016</v>
      </c>
      <c r="C64" s="25">
        <v>2017</v>
      </c>
      <c r="D64" s="25">
        <v>2018</v>
      </c>
      <c r="E64" s="25">
        <v>2019</v>
      </c>
      <c r="F64" s="25">
        <v>2020</v>
      </c>
      <c r="G64" s="25">
        <v>2021</v>
      </c>
      <c r="H64" s="25">
        <v>2022</v>
      </c>
      <c r="I64" s="25">
        <v>2023</v>
      </c>
      <c r="J64" s="25">
        <v>2024</v>
      </c>
      <c r="K64" s="25">
        <v>2025</v>
      </c>
      <c r="L64" s="25">
        <v>2026</v>
      </c>
      <c r="M64" s="25">
        <v>2027</v>
      </c>
      <c r="N64" s="25">
        <v>2028</v>
      </c>
      <c r="O64" s="26">
        <v>2029</v>
      </c>
      <c r="P64" s="26">
        <v>2030</v>
      </c>
      <c r="Q64" s="26">
        <v>2031</v>
      </c>
      <c r="R64" s="26">
        <v>2032</v>
      </c>
      <c r="S64" s="26">
        <v>2033</v>
      </c>
      <c r="T64" s="27">
        <v>2034</v>
      </c>
    </row>
    <row r="65" spans="1:20">
      <c r="A65" s="28" t="s">
        <v>27</v>
      </c>
      <c r="B65" s="29">
        <v>29.479999542236328</v>
      </c>
      <c r="C65" s="29">
        <v>34.939998626708984</v>
      </c>
      <c r="D65" s="29">
        <v>38.720001220703125</v>
      </c>
      <c r="E65" s="29">
        <v>40.459999084472656</v>
      </c>
      <c r="F65" s="29">
        <v>41.580001831054688</v>
      </c>
      <c r="G65" s="29">
        <v>43.080001831054688</v>
      </c>
      <c r="H65" s="29">
        <v>44.939998626708984</v>
      </c>
      <c r="I65" s="29">
        <v>46.659999847412109</v>
      </c>
      <c r="J65" s="29">
        <v>60.200000762939453</v>
      </c>
      <c r="K65" s="29">
        <v>63.25</v>
      </c>
      <c r="L65" s="29">
        <v>64.379997253417969</v>
      </c>
      <c r="M65" s="29">
        <v>67.419998168945312</v>
      </c>
      <c r="N65" s="29">
        <v>69.489997863769531</v>
      </c>
      <c r="O65" s="30">
        <v>71.449996948242188</v>
      </c>
      <c r="P65" s="30">
        <v>73.660003662109375</v>
      </c>
      <c r="Q65" s="30">
        <v>76.69000244140625</v>
      </c>
      <c r="R65" s="30">
        <v>77.980003356933594</v>
      </c>
      <c r="S65" s="30">
        <v>80.449996948242188</v>
      </c>
      <c r="T65" s="31">
        <v>82.599998474121094</v>
      </c>
    </row>
    <row r="66" spans="1:20">
      <c r="A66" s="28" t="s">
        <v>28</v>
      </c>
      <c r="B66" s="29">
        <v>26.280000686645508</v>
      </c>
      <c r="C66" s="29">
        <v>34.130001068115234</v>
      </c>
      <c r="D66" s="29">
        <v>35.5</v>
      </c>
      <c r="E66" s="29">
        <v>37.310001373291016</v>
      </c>
      <c r="F66" s="29">
        <v>40.639999389648438</v>
      </c>
      <c r="G66" s="29">
        <v>42.459999084472656</v>
      </c>
      <c r="H66" s="29">
        <v>45.119998931884766</v>
      </c>
      <c r="I66" s="29">
        <v>47.060001373291016</v>
      </c>
      <c r="J66" s="29">
        <v>54.619998931884766</v>
      </c>
      <c r="K66" s="29">
        <v>56.959999084472656</v>
      </c>
      <c r="L66" s="29">
        <v>59.029998779296875</v>
      </c>
      <c r="M66" s="29">
        <v>61.159999847412109</v>
      </c>
      <c r="N66" s="29">
        <v>63.909999847412109</v>
      </c>
      <c r="O66" s="30">
        <v>65.889999389648438</v>
      </c>
      <c r="P66" s="30">
        <v>68.239997863769531</v>
      </c>
      <c r="Q66" s="30">
        <v>70.470001220703125</v>
      </c>
      <c r="R66" s="30">
        <v>72.610000610351562</v>
      </c>
      <c r="S66" s="30">
        <v>74.580001831054688</v>
      </c>
      <c r="T66" s="31">
        <v>76.830001831054688</v>
      </c>
    </row>
    <row r="67" spans="1:20">
      <c r="A67" s="28" t="s">
        <v>29</v>
      </c>
      <c r="B67" s="29">
        <v>27.200000762939453</v>
      </c>
      <c r="C67" s="29">
        <v>35.310001373291016</v>
      </c>
      <c r="D67" s="29">
        <v>36.619998931884766</v>
      </c>
      <c r="E67" s="29">
        <v>38.580001831054688</v>
      </c>
      <c r="F67" s="29">
        <v>42.150001525878906</v>
      </c>
      <c r="G67" s="29">
        <v>44.090000152587891</v>
      </c>
      <c r="H67" s="29">
        <v>46.900001525878906</v>
      </c>
      <c r="I67" s="29">
        <v>48.869998931884766</v>
      </c>
      <c r="J67" s="29">
        <v>55.889999389648438</v>
      </c>
      <c r="K67" s="29">
        <v>58.279998779296875</v>
      </c>
      <c r="L67" s="29">
        <v>60.470001220703125</v>
      </c>
      <c r="M67" s="29">
        <v>62.659999847412109</v>
      </c>
      <c r="N67" s="29">
        <v>65.419998168945312</v>
      </c>
      <c r="O67" s="30">
        <v>67.44000244140625</v>
      </c>
      <c r="P67" s="30">
        <v>69.910003662109375</v>
      </c>
      <c r="Q67" s="30">
        <v>72.220001220703125</v>
      </c>
      <c r="R67" s="30">
        <v>74.459999084472656</v>
      </c>
      <c r="S67" s="30">
        <v>76.400001525878906</v>
      </c>
      <c r="T67" s="31">
        <v>78.709999084472656</v>
      </c>
    </row>
    <row r="68" spans="1:20">
      <c r="A68" s="28" t="s">
        <v>30</v>
      </c>
      <c r="B68" s="29">
        <v>25.819999694824219</v>
      </c>
      <c r="C68" s="29">
        <v>33.270000457763672</v>
      </c>
      <c r="D68" s="29">
        <v>34.810001373291016</v>
      </c>
      <c r="E68" s="29">
        <v>36.659999847412109</v>
      </c>
      <c r="F68" s="29">
        <v>39.979999542236328</v>
      </c>
      <c r="G68" s="29">
        <v>41.700000762939453</v>
      </c>
      <c r="H68" s="29">
        <v>44.330001831054688</v>
      </c>
      <c r="I68" s="29">
        <v>46.180000305175781</v>
      </c>
      <c r="J68" s="29">
        <v>53.369998931884766</v>
      </c>
      <c r="K68" s="29">
        <v>55.720001220703125</v>
      </c>
      <c r="L68" s="29">
        <v>57.669998168945312</v>
      </c>
      <c r="M68" s="29">
        <v>59.860000610351562</v>
      </c>
      <c r="N68" s="29">
        <v>62.5</v>
      </c>
      <c r="O68" s="30">
        <v>64.330001831054688</v>
      </c>
      <c r="P68" s="30">
        <v>66.69000244140625</v>
      </c>
      <c r="Q68" s="30">
        <v>69.050003051757812</v>
      </c>
      <c r="R68" s="30">
        <v>71.069999694824219</v>
      </c>
      <c r="S68" s="30">
        <v>72.849998474121094</v>
      </c>
      <c r="T68" s="31">
        <v>75.05999755859375</v>
      </c>
    </row>
    <row r="69" spans="1:20">
      <c r="A69" s="28" t="s">
        <v>109</v>
      </c>
      <c r="B69" s="29">
        <v>27.799999237060547</v>
      </c>
      <c r="C69" s="29">
        <v>35.830001831054688</v>
      </c>
      <c r="D69" s="29">
        <v>37.430000305175781</v>
      </c>
      <c r="E69" s="29">
        <v>39.419998168945312</v>
      </c>
      <c r="F69" s="29">
        <v>42.939998626708984</v>
      </c>
      <c r="G69" s="29">
        <v>44.869998931884766</v>
      </c>
      <c r="H69" s="29">
        <v>47.689998626708984</v>
      </c>
      <c r="I69" s="29">
        <v>49.709999084472656</v>
      </c>
      <c r="J69" s="29">
        <v>56.979999542236328</v>
      </c>
      <c r="K69" s="29">
        <v>59.490001678466797</v>
      </c>
      <c r="L69" s="29">
        <v>61.610000610351562</v>
      </c>
      <c r="M69" s="29">
        <v>63.939998626708984</v>
      </c>
      <c r="N69" s="29">
        <v>66.680000305175781</v>
      </c>
      <c r="O69" s="30">
        <v>68.699996948242188</v>
      </c>
      <c r="P69" s="30">
        <v>71.19000244140625</v>
      </c>
      <c r="Q69" s="30">
        <v>73.629997253417969</v>
      </c>
      <c r="R69" s="30">
        <v>75.839996337890625</v>
      </c>
      <c r="S69" s="30">
        <v>77.790000915527344</v>
      </c>
      <c r="T69" s="31">
        <v>80.139999389648438</v>
      </c>
    </row>
    <row r="70" spans="1:20">
      <c r="A70" s="28" t="s">
        <v>31</v>
      </c>
      <c r="B70" s="29">
        <v>31.5</v>
      </c>
      <c r="C70" s="29">
        <v>39.720001220703125</v>
      </c>
      <c r="D70" s="29">
        <v>41.419998168945312</v>
      </c>
      <c r="E70" s="29">
        <v>43.729999542236328</v>
      </c>
      <c r="F70" s="29">
        <v>46.599998474121094</v>
      </c>
      <c r="G70" s="29">
        <v>49.159999847412109</v>
      </c>
      <c r="H70" s="29">
        <v>51.799999237060547</v>
      </c>
      <c r="I70" s="29">
        <v>54.25</v>
      </c>
      <c r="J70" s="29">
        <v>59.680000305175781</v>
      </c>
      <c r="K70" s="29">
        <v>62.220001220703125</v>
      </c>
      <c r="L70" s="29">
        <v>64.410003662109375</v>
      </c>
      <c r="M70" s="29">
        <v>67.129997253417969</v>
      </c>
      <c r="N70" s="29">
        <v>69.279998779296875</v>
      </c>
      <c r="O70" s="30">
        <v>71.839996337890625</v>
      </c>
      <c r="P70" s="30">
        <v>74.230003356933594</v>
      </c>
      <c r="Q70" s="30">
        <v>76.540000915527344</v>
      </c>
      <c r="R70" s="30">
        <v>78.589996337890625</v>
      </c>
      <c r="S70" s="30">
        <v>80.910003662109375</v>
      </c>
      <c r="T70" s="31">
        <v>83.199996948242188</v>
      </c>
    </row>
    <row r="71" spans="1:20">
      <c r="A71" s="32" t="s">
        <v>32</v>
      </c>
      <c r="B71" s="33">
        <f t="shared" ref="B71:T71" si="0">AVERAGE(B65:B70)</f>
        <v>28.013333320617676</v>
      </c>
      <c r="C71" s="33">
        <f t="shared" si="0"/>
        <v>35.533334096272789</v>
      </c>
      <c r="D71" s="33">
        <f t="shared" si="0"/>
        <v>37.416666666666664</v>
      </c>
      <c r="E71" s="33">
        <f t="shared" si="0"/>
        <v>39.359999974568687</v>
      </c>
      <c r="F71" s="33">
        <f t="shared" si="0"/>
        <v>42.314999898274742</v>
      </c>
      <c r="G71" s="33">
        <f t="shared" si="0"/>
        <v>44.226666768391929</v>
      </c>
      <c r="H71" s="33">
        <f t="shared" si="0"/>
        <v>46.796666463216148</v>
      </c>
      <c r="I71" s="33">
        <f t="shared" si="0"/>
        <v>48.78833325703939</v>
      </c>
      <c r="J71" s="33">
        <f t="shared" si="0"/>
        <v>56.789999643961586</v>
      </c>
      <c r="K71" s="33">
        <f t="shared" si="0"/>
        <v>59.320000330607094</v>
      </c>
      <c r="L71" s="33">
        <f t="shared" si="0"/>
        <v>61.261666615804039</v>
      </c>
      <c r="M71" s="33">
        <f t="shared" si="0"/>
        <v>63.694999059041344</v>
      </c>
      <c r="N71" s="33">
        <f t="shared" si="0"/>
        <v>66.21333249409993</v>
      </c>
      <c r="O71" s="33">
        <f t="shared" si="0"/>
        <v>68.274998982747391</v>
      </c>
      <c r="P71" s="33">
        <f t="shared" si="0"/>
        <v>70.653335571289062</v>
      </c>
      <c r="Q71" s="33">
        <f t="shared" si="0"/>
        <v>73.100001017252609</v>
      </c>
      <c r="R71" s="33">
        <f t="shared" si="0"/>
        <v>75.091665903727218</v>
      </c>
      <c r="S71" s="33">
        <f t="shared" si="0"/>
        <v>77.163333892822266</v>
      </c>
      <c r="T71" s="34">
        <f t="shared" si="0"/>
        <v>79.423332214355469</v>
      </c>
    </row>
    <row r="73" spans="1:20">
      <c r="A73" s="19" t="s">
        <v>95</v>
      </c>
      <c r="B73" s="20"/>
      <c r="C73" s="20"/>
      <c r="D73" s="20"/>
      <c r="E73" s="20"/>
      <c r="F73" s="20"/>
      <c r="G73" s="20"/>
      <c r="H73" s="20"/>
      <c r="I73" s="20"/>
      <c r="J73" s="20"/>
      <c r="K73" s="20"/>
      <c r="L73" s="20"/>
      <c r="M73" s="20"/>
      <c r="N73" s="20"/>
      <c r="O73" s="20"/>
      <c r="P73" s="20"/>
      <c r="Q73" s="20"/>
      <c r="R73" s="20"/>
      <c r="S73" s="20"/>
      <c r="T73" s="21"/>
    </row>
    <row r="74" spans="1:20">
      <c r="A74" s="7" t="s">
        <v>96</v>
      </c>
      <c r="B74" s="8"/>
      <c r="C74" s="8"/>
      <c r="D74" s="8"/>
      <c r="E74" s="8"/>
      <c r="F74" s="8"/>
      <c r="G74" s="8"/>
      <c r="H74" s="8"/>
      <c r="I74" s="8"/>
      <c r="J74" s="8"/>
      <c r="K74" s="8"/>
      <c r="L74" s="8"/>
      <c r="M74" s="8"/>
      <c r="N74" s="8"/>
      <c r="O74" s="8"/>
      <c r="P74" s="8"/>
      <c r="Q74" s="8"/>
      <c r="R74" s="8"/>
      <c r="S74" s="8"/>
      <c r="T74" s="23"/>
    </row>
    <row r="75" spans="1:20">
      <c r="A75" s="24"/>
      <c r="B75" s="25">
        <v>2016</v>
      </c>
      <c r="C75" s="25">
        <v>2017</v>
      </c>
      <c r="D75" s="25">
        <v>2018</v>
      </c>
      <c r="E75" s="25">
        <v>2019</v>
      </c>
      <c r="F75" s="25">
        <v>2020</v>
      </c>
      <c r="G75" s="25">
        <v>2021</v>
      </c>
      <c r="H75" s="25">
        <v>2022</v>
      </c>
      <c r="I75" s="25">
        <v>2023</v>
      </c>
      <c r="J75" s="25">
        <v>2024</v>
      </c>
      <c r="K75" s="25">
        <v>2025</v>
      </c>
      <c r="L75" s="25">
        <v>2026</v>
      </c>
      <c r="M75" s="25">
        <v>2027</v>
      </c>
      <c r="N75" s="25">
        <v>2028</v>
      </c>
      <c r="O75" s="26">
        <v>2029</v>
      </c>
      <c r="P75" s="26">
        <v>2030</v>
      </c>
      <c r="Q75" s="26">
        <v>2031</v>
      </c>
      <c r="R75" s="26">
        <v>2032</v>
      </c>
      <c r="S75" s="26">
        <v>2033</v>
      </c>
      <c r="T75" s="27">
        <v>2034</v>
      </c>
    </row>
    <row r="76" spans="1:20">
      <c r="A76" s="28" t="s">
        <v>97</v>
      </c>
      <c r="B76" s="29">
        <v>22.55</v>
      </c>
      <c r="C76" s="29">
        <v>23</v>
      </c>
      <c r="D76" s="29">
        <v>23.46</v>
      </c>
      <c r="E76" s="29">
        <v>23.93</v>
      </c>
      <c r="F76" s="29">
        <v>24.41</v>
      </c>
      <c r="G76" s="29">
        <v>24.9</v>
      </c>
      <c r="H76" s="29">
        <v>25.39</v>
      </c>
      <c r="I76" s="29">
        <v>25.9</v>
      </c>
      <c r="J76" s="29">
        <v>26.42</v>
      </c>
      <c r="K76" s="29">
        <v>26.95</v>
      </c>
      <c r="L76" s="29">
        <v>27.49</v>
      </c>
      <c r="M76" s="29">
        <v>28.04</v>
      </c>
      <c r="N76" s="29">
        <v>28.6</v>
      </c>
      <c r="O76" s="30">
        <v>29.17</v>
      </c>
      <c r="P76" s="30">
        <v>29.75</v>
      </c>
      <c r="Q76" s="30">
        <v>30.35</v>
      </c>
      <c r="R76" s="30">
        <v>30.96</v>
      </c>
      <c r="S76" s="30">
        <v>31.58</v>
      </c>
      <c r="T76" s="31">
        <v>32.21</v>
      </c>
    </row>
    <row r="77" spans="1:20">
      <c r="A77" s="28" t="s">
        <v>92</v>
      </c>
      <c r="B77" s="29">
        <v>33.6</v>
      </c>
      <c r="C77" s="29">
        <v>34.270000000000003</v>
      </c>
      <c r="D77" s="29">
        <v>34.96</v>
      </c>
      <c r="E77" s="29">
        <v>35.659999999999997</v>
      </c>
      <c r="F77" s="29">
        <v>36.369999999999997</v>
      </c>
      <c r="G77" s="29">
        <v>37.1</v>
      </c>
      <c r="H77" s="29">
        <v>37.840000000000003</v>
      </c>
      <c r="I77" s="29">
        <v>38.6</v>
      </c>
      <c r="J77" s="29">
        <v>39.369999999999997</v>
      </c>
      <c r="K77" s="29">
        <v>40.159999999999997</v>
      </c>
      <c r="L77" s="29">
        <v>40.94</v>
      </c>
      <c r="M77" s="29">
        <v>41.78</v>
      </c>
      <c r="N77" s="29">
        <v>42.61</v>
      </c>
      <c r="O77" s="30">
        <v>43.47</v>
      </c>
      <c r="P77" s="30">
        <v>44.33</v>
      </c>
      <c r="Q77" s="30">
        <v>45.22</v>
      </c>
      <c r="R77" s="30">
        <v>46.13</v>
      </c>
      <c r="S77" s="30">
        <v>47.05</v>
      </c>
      <c r="T77" s="31">
        <v>47.99</v>
      </c>
    </row>
    <row r="78" spans="1:20">
      <c r="A78" s="28" t="s">
        <v>93</v>
      </c>
      <c r="B78" s="29">
        <v>93.22</v>
      </c>
      <c r="C78" s="29">
        <v>95.08</v>
      </c>
      <c r="D78" s="29">
        <v>96.99</v>
      </c>
      <c r="E78" s="29">
        <v>98.92</v>
      </c>
      <c r="F78" s="29">
        <v>100.9</v>
      </c>
      <c r="G78" s="29">
        <v>102.92</v>
      </c>
      <c r="H78" s="29">
        <v>104.98</v>
      </c>
      <c r="I78" s="29">
        <v>107.08</v>
      </c>
      <c r="J78" s="29">
        <v>109.22</v>
      </c>
      <c r="K78" s="29">
        <v>111.41</v>
      </c>
      <c r="L78" s="29">
        <v>113.63</v>
      </c>
      <c r="M78" s="29">
        <v>115.91</v>
      </c>
      <c r="N78" s="29">
        <v>118.22</v>
      </c>
      <c r="O78" s="30">
        <v>120.59</v>
      </c>
      <c r="P78" s="30">
        <v>123</v>
      </c>
      <c r="Q78" s="30">
        <v>125.46</v>
      </c>
      <c r="R78" s="30">
        <v>127.97</v>
      </c>
      <c r="S78" s="30">
        <v>130.53</v>
      </c>
      <c r="T78" s="31">
        <v>133.13999999999999</v>
      </c>
    </row>
    <row r="80" spans="1:20">
      <c r="T80" s="29"/>
    </row>
  </sheetData>
  <mergeCells count="4">
    <mergeCell ref="B30:C30"/>
    <mergeCell ref="D30:E30"/>
    <mergeCell ref="F30:G30"/>
    <mergeCell ref="H30:I30"/>
  </mergeCells>
  <conditionalFormatting sqref="H4:H12">
    <cfRule type="cellIs" dxfId="0" priority="2" stopIfTrue="1" operator="equal">
      <formula>0</formula>
    </cfRule>
  </conditionalFormatting>
  <hyperlinks>
    <hyperlink ref="A62" r:id="rId1" xr:uid="{00000000-0004-0000-0200-000000000000}"/>
    <hyperlink ref="K32" r:id="rId2" xr:uid="{00000000-0004-0000-0200-000001000000}"/>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H28"/>
  <sheetViews>
    <sheetView zoomScale="70" zoomScaleNormal="70" workbookViewId="0">
      <selection sqref="A1:F1"/>
    </sheetView>
  </sheetViews>
  <sheetFormatPr baseColWidth="10" defaultColWidth="8.6640625" defaultRowHeight="15"/>
  <cols>
    <col min="1" max="1" width="8.6640625" style="60"/>
    <col min="2" max="2" width="39.1640625" style="60" bestFit="1" customWidth="1"/>
    <col min="3" max="3" width="0" style="60" hidden="1" customWidth="1"/>
    <col min="4" max="4" width="12" style="60" hidden="1" customWidth="1"/>
    <col min="5" max="5" width="50.5" style="58" customWidth="1"/>
    <col min="6" max="6" width="50.5" style="60" customWidth="1"/>
    <col min="7" max="7" width="50.5" style="60" hidden="1" customWidth="1"/>
    <col min="8" max="8" width="90.5" style="60" bestFit="1" customWidth="1"/>
    <col min="9" max="16384" width="8.6640625" style="60"/>
  </cols>
  <sheetData>
    <row r="1" spans="1:8">
      <c r="A1" s="240" t="s">
        <v>117</v>
      </c>
      <c r="B1" s="240"/>
      <c r="C1" s="240"/>
      <c r="D1" s="240"/>
      <c r="E1" s="240"/>
      <c r="F1" s="240"/>
    </row>
    <row r="2" spans="1:8">
      <c r="A2" s="61" t="s">
        <v>129</v>
      </c>
      <c r="B2" s="61"/>
      <c r="C2" s="61"/>
      <c r="D2" s="61"/>
      <c r="E2" s="75" t="s">
        <v>280</v>
      </c>
      <c r="F2" s="78" t="s">
        <v>158</v>
      </c>
    </row>
    <row r="3" spans="1:8" ht="48">
      <c r="A3" s="61" t="s">
        <v>51</v>
      </c>
      <c r="B3" s="61" t="s">
        <v>33</v>
      </c>
      <c r="C3" s="64" t="s">
        <v>157</v>
      </c>
      <c r="D3" s="64" t="s">
        <v>157</v>
      </c>
      <c r="E3" s="91" t="s">
        <v>290</v>
      </c>
      <c r="F3" s="61"/>
    </row>
    <row r="4" spans="1:8" ht="48">
      <c r="A4" s="61" t="s">
        <v>81</v>
      </c>
      <c r="B4" s="61" t="s">
        <v>86</v>
      </c>
      <c r="C4" s="64" t="s">
        <v>157</v>
      </c>
      <c r="D4" s="64" t="s">
        <v>157</v>
      </c>
      <c r="E4" s="91" t="s">
        <v>291</v>
      </c>
      <c r="F4" s="74"/>
      <c r="G4" s="79" t="s">
        <v>255</v>
      </c>
    </row>
    <row r="5" spans="1:8" ht="32">
      <c r="A5" s="61" t="s">
        <v>85</v>
      </c>
      <c r="B5" s="61" t="s">
        <v>130</v>
      </c>
      <c r="C5" s="61"/>
      <c r="D5" s="64" t="s">
        <v>157</v>
      </c>
      <c r="E5" s="91" t="s">
        <v>292</v>
      </c>
      <c r="F5" s="73" t="s">
        <v>254</v>
      </c>
      <c r="G5" s="80"/>
    </row>
    <row r="6" spans="1:8" ht="90" customHeight="1">
      <c r="A6" s="61" t="s">
        <v>103</v>
      </c>
      <c r="B6" s="61" t="s">
        <v>104</v>
      </c>
      <c r="C6" s="61"/>
      <c r="D6" s="62">
        <v>0</v>
      </c>
      <c r="E6" s="91" t="s">
        <v>331</v>
      </c>
      <c r="F6" s="66" t="s">
        <v>162</v>
      </c>
    </row>
    <row r="7" spans="1:8" ht="48">
      <c r="A7" s="61" t="s">
        <v>118</v>
      </c>
      <c r="B7" s="61" t="s">
        <v>131</v>
      </c>
      <c r="C7" s="67" t="s">
        <v>157</v>
      </c>
      <c r="D7" s="64" t="s">
        <v>157</v>
      </c>
      <c r="E7" s="91" t="s">
        <v>332</v>
      </c>
      <c r="F7" s="74" t="s">
        <v>333</v>
      </c>
      <c r="G7" s="65"/>
    </row>
    <row r="8" spans="1:8" ht="32">
      <c r="A8" s="61" t="s">
        <v>119</v>
      </c>
      <c r="B8" s="61" t="s">
        <v>132</v>
      </c>
      <c r="C8" s="67" t="s">
        <v>157</v>
      </c>
      <c r="D8" s="76" t="s">
        <v>160</v>
      </c>
      <c r="E8" s="101" t="s">
        <v>334</v>
      </c>
      <c r="F8" s="66" t="s">
        <v>238</v>
      </c>
      <c r="G8" s="65"/>
    </row>
    <row r="9" spans="1:8" ht="96">
      <c r="A9" s="61" t="s">
        <v>107</v>
      </c>
      <c r="B9" s="61" t="s">
        <v>108</v>
      </c>
      <c r="C9" s="64" t="s">
        <v>157</v>
      </c>
      <c r="D9" s="64" t="s">
        <v>157</v>
      </c>
      <c r="E9" s="91" t="s">
        <v>335</v>
      </c>
      <c r="F9" s="82" t="s">
        <v>357</v>
      </c>
      <c r="G9" s="65" t="s">
        <v>159</v>
      </c>
    </row>
    <row r="10" spans="1:8" ht="32">
      <c r="A10" s="61" t="s">
        <v>120</v>
      </c>
      <c r="B10" s="61" t="s">
        <v>133</v>
      </c>
      <c r="C10" s="61"/>
      <c r="D10" s="62">
        <v>0</v>
      </c>
      <c r="E10" s="91" t="s">
        <v>336</v>
      </c>
      <c r="F10" s="74" t="s">
        <v>197</v>
      </c>
    </row>
    <row r="11" spans="1:8" ht="112">
      <c r="A11" s="61" t="s">
        <v>121</v>
      </c>
      <c r="B11" s="61" t="s">
        <v>134</v>
      </c>
      <c r="C11" s="61"/>
      <c r="D11" s="62">
        <v>0</v>
      </c>
      <c r="E11" s="91" t="s">
        <v>337</v>
      </c>
      <c r="F11" s="74" t="s">
        <v>260</v>
      </c>
    </row>
    <row r="12" spans="1:8" ht="208">
      <c r="A12" s="61" t="s">
        <v>122</v>
      </c>
      <c r="B12" s="61" t="s">
        <v>135</v>
      </c>
      <c r="C12" s="61"/>
      <c r="D12" s="76" t="s">
        <v>160</v>
      </c>
      <c r="E12" s="102" t="s">
        <v>338</v>
      </c>
      <c r="F12" s="81" t="s">
        <v>348</v>
      </c>
      <c r="G12" s="80" t="s">
        <v>261</v>
      </c>
      <c r="H12" s="241"/>
    </row>
    <row r="13" spans="1:8" ht="112">
      <c r="A13" s="61" t="s">
        <v>123</v>
      </c>
      <c r="B13" s="61" t="s">
        <v>136</v>
      </c>
      <c r="C13" s="61"/>
      <c r="D13" s="76" t="s">
        <v>160</v>
      </c>
      <c r="E13" s="101" t="s">
        <v>339</v>
      </c>
      <c r="F13" s="103" t="s">
        <v>349</v>
      </c>
      <c r="H13" s="242"/>
    </row>
    <row r="14" spans="1:8" ht="48">
      <c r="A14" s="61" t="s">
        <v>124</v>
      </c>
      <c r="B14" s="61" t="s">
        <v>137</v>
      </c>
      <c r="C14" s="64" t="s">
        <v>157</v>
      </c>
      <c r="D14" s="137" t="s">
        <v>157</v>
      </c>
      <c r="E14" s="104" t="s">
        <v>340</v>
      </c>
      <c r="F14" s="68" t="s">
        <v>239</v>
      </c>
    </row>
    <row r="15" spans="1:8" ht="48">
      <c r="A15" s="61" t="s">
        <v>125</v>
      </c>
      <c r="B15" s="61" t="s">
        <v>138</v>
      </c>
      <c r="C15" s="61"/>
      <c r="D15" s="64" t="s">
        <v>157</v>
      </c>
      <c r="E15" s="104" t="s">
        <v>341</v>
      </c>
      <c r="F15" s="61"/>
      <c r="G15" s="69" t="s">
        <v>240</v>
      </c>
    </row>
    <row r="16" spans="1:8">
      <c r="A16" s="61" t="s">
        <v>126</v>
      </c>
      <c r="B16" s="61" t="s">
        <v>139</v>
      </c>
      <c r="C16" s="61"/>
      <c r="D16" s="63">
        <v>0</v>
      </c>
      <c r="E16" s="92"/>
      <c r="F16" s="61" t="s">
        <v>161</v>
      </c>
    </row>
    <row r="17" spans="1:7">
      <c r="A17" s="61" t="s">
        <v>127</v>
      </c>
      <c r="B17" s="61" t="s">
        <v>140</v>
      </c>
      <c r="C17" s="61"/>
      <c r="D17" s="63">
        <v>0</v>
      </c>
      <c r="E17" s="92"/>
      <c r="F17" s="61" t="s">
        <v>161</v>
      </c>
    </row>
    <row r="18" spans="1:7">
      <c r="A18" s="61" t="s">
        <v>128</v>
      </c>
      <c r="B18" s="61" t="s">
        <v>141</v>
      </c>
      <c r="C18" s="61"/>
      <c r="D18" s="63">
        <v>0</v>
      </c>
      <c r="E18" s="92"/>
      <c r="F18" s="61" t="s">
        <v>161</v>
      </c>
    </row>
    <row r="19" spans="1:7">
      <c r="A19" s="61" t="s">
        <v>142</v>
      </c>
      <c r="B19" s="61"/>
      <c r="C19" s="61"/>
      <c r="D19" s="61"/>
      <c r="E19" s="92"/>
      <c r="F19" s="61"/>
    </row>
    <row r="20" spans="1:7" ht="48">
      <c r="A20" s="61" t="s">
        <v>143</v>
      </c>
      <c r="B20" s="61" t="s">
        <v>150</v>
      </c>
      <c r="C20" s="64" t="s">
        <v>157</v>
      </c>
      <c r="D20" s="64" t="s">
        <v>157</v>
      </c>
      <c r="E20" s="106" t="s">
        <v>342</v>
      </c>
      <c r="F20" s="82" t="s">
        <v>258</v>
      </c>
      <c r="G20" s="69"/>
    </row>
    <row r="21" spans="1:7" ht="32">
      <c r="A21" s="61" t="s">
        <v>144</v>
      </c>
      <c r="B21" s="61" t="s">
        <v>151</v>
      </c>
      <c r="C21" s="61"/>
      <c r="D21" s="63">
        <v>0</v>
      </c>
      <c r="E21" s="105" t="s">
        <v>344</v>
      </c>
      <c r="F21" s="74" t="s">
        <v>415</v>
      </c>
      <c r="G21" s="69"/>
    </row>
    <row r="22" spans="1:7" ht="48">
      <c r="A22" s="61" t="s">
        <v>145</v>
      </c>
      <c r="B22" s="61" t="s">
        <v>152</v>
      </c>
      <c r="C22" s="64" t="s">
        <v>157</v>
      </c>
      <c r="D22" s="64" t="s">
        <v>157</v>
      </c>
      <c r="E22" s="105" t="s">
        <v>343</v>
      </c>
      <c r="F22" s="74" t="s">
        <v>259</v>
      </c>
      <c r="G22" s="69"/>
    </row>
    <row r="23" spans="1:7" ht="48">
      <c r="A23" s="61" t="s">
        <v>146</v>
      </c>
      <c r="B23" s="61" t="s">
        <v>153</v>
      </c>
      <c r="C23" s="61"/>
      <c r="D23" s="63">
        <v>0</v>
      </c>
      <c r="E23" s="91" t="s">
        <v>345</v>
      </c>
      <c r="F23" s="74" t="s">
        <v>346</v>
      </c>
      <c r="G23" s="69"/>
    </row>
    <row r="24" spans="1:7" ht="32">
      <c r="A24" s="61" t="s">
        <v>147</v>
      </c>
      <c r="B24" s="61" t="s">
        <v>154</v>
      </c>
      <c r="C24" s="61"/>
      <c r="D24" s="63">
        <v>0</v>
      </c>
      <c r="E24" s="92"/>
      <c r="F24" s="74" t="s">
        <v>418</v>
      </c>
      <c r="G24" s="69"/>
    </row>
    <row r="25" spans="1:7" ht="16">
      <c r="A25" s="61" t="s">
        <v>148</v>
      </c>
      <c r="B25" s="61" t="s">
        <v>155</v>
      </c>
      <c r="C25" s="61"/>
      <c r="D25" s="63">
        <v>0</v>
      </c>
      <c r="E25" s="92"/>
      <c r="F25" s="74" t="s">
        <v>419</v>
      </c>
      <c r="G25" s="69"/>
    </row>
    <row r="26" spans="1:7" ht="16">
      <c r="A26" s="61" t="s">
        <v>149</v>
      </c>
      <c r="B26" s="61" t="s">
        <v>156</v>
      </c>
      <c r="C26" s="61"/>
      <c r="D26" s="63">
        <v>0</v>
      </c>
      <c r="E26" s="92"/>
      <c r="F26" s="74" t="s">
        <v>411</v>
      </c>
    </row>
    <row r="28" spans="1:7">
      <c r="A28" s="72"/>
    </row>
  </sheetData>
  <mergeCells count="2">
    <mergeCell ref="A1:F1"/>
    <mergeCell ref="H12:H13"/>
  </mergeCells>
  <printOptions horizontalCentered="1"/>
  <pageMargins left="0.7" right="0.7" top="0.75" bottom="0.75" header="0.3" footer="0.3"/>
  <pageSetup scale="60"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AK60"/>
  <sheetViews>
    <sheetView workbookViewId="0">
      <pane xSplit="4" ySplit="2" topLeftCell="E3" activePane="bottomRight" state="frozen"/>
      <selection pane="topRight" activeCell="E1" sqref="E1"/>
      <selection pane="bottomLeft" activeCell="A3" sqref="A3"/>
      <selection pane="bottomRight" activeCell="M8" sqref="M8"/>
    </sheetView>
  </sheetViews>
  <sheetFormatPr baseColWidth="10" defaultColWidth="8.6640625" defaultRowHeight="15" outlineLevelRow="1"/>
  <cols>
    <col min="1" max="2" width="8.6640625" style="41"/>
    <col min="3" max="3" width="49.6640625" style="41" bestFit="1" customWidth="1"/>
    <col min="4" max="4" width="12.83203125" style="41" bestFit="1" customWidth="1"/>
    <col min="5" max="5" width="12.6640625" style="41" bestFit="1" customWidth="1"/>
    <col min="6" max="6" width="3.83203125" style="41" bestFit="1" customWidth="1"/>
    <col min="7" max="8" width="4.1640625" style="41" bestFit="1" customWidth="1"/>
    <col min="9" max="9" width="28.83203125" style="41" bestFit="1" customWidth="1"/>
    <col min="10" max="10" width="8.6640625" style="41"/>
    <col min="11" max="34" width="10.83203125" style="41" bestFit="1" customWidth="1"/>
    <col min="35" max="35" width="10.83203125" style="41" customWidth="1"/>
    <col min="36" max="36" width="14.1640625" style="41" bestFit="1" customWidth="1"/>
    <col min="37" max="37" width="17.1640625" style="41" bestFit="1" customWidth="1"/>
    <col min="38" max="16384" width="8.6640625" style="41"/>
  </cols>
  <sheetData>
    <row r="1" spans="2:37">
      <c r="K1" s="86">
        <v>2018</v>
      </c>
      <c r="L1" s="86">
        <v>2018</v>
      </c>
      <c r="M1" s="86">
        <v>2018</v>
      </c>
      <c r="N1" s="86">
        <v>2018</v>
      </c>
      <c r="O1" s="86">
        <v>2019</v>
      </c>
      <c r="P1" s="86">
        <v>2019</v>
      </c>
      <c r="Q1" s="86">
        <v>2019</v>
      </c>
      <c r="R1" s="86">
        <v>2019</v>
      </c>
      <c r="S1" s="86">
        <v>2020</v>
      </c>
      <c r="T1" s="86">
        <v>2020</v>
      </c>
      <c r="U1" s="86">
        <v>2020</v>
      </c>
      <c r="V1" s="86">
        <v>2020</v>
      </c>
      <c r="W1" s="86">
        <v>2021</v>
      </c>
      <c r="X1" s="86">
        <v>2021</v>
      </c>
      <c r="Y1" s="86">
        <v>2021</v>
      </c>
      <c r="Z1" s="86">
        <v>2021</v>
      </c>
      <c r="AA1" s="86">
        <v>2022</v>
      </c>
      <c r="AB1" s="86">
        <v>2023</v>
      </c>
      <c r="AC1" s="86">
        <v>2024</v>
      </c>
      <c r="AD1" s="86">
        <v>2025</v>
      </c>
      <c r="AE1" s="86">
        <v>2026</v>
      </c>
      <c r="AF1" s="86">
        <v>2027</v>
      </c>
      <c r="AG1" s="86">
        <v>2028</v>
      </c>
      <c r="AH1" s="86">
        <v>2029</v>
      </c>
      <c r="AI1" s="86">
        <v>2030</v>
      </c>
      <c r="AJ1" s="42" t="s">
        <v>52</v>
      </c>
      <c r="AK1" s="42" t="s">
        <v>53</v>
      </c>
    </row>
    <row r="2" spans="2:37">
      <c r="C2" s="41" t="s">
        <v>54</v>
      </c>
      <c r="D2" s="41" t="s">
        <v>55</v>
      </c>
      <c r="E2" s="41" t="s">
        <v>56</v>
      </c>
      <c r="F2" s="41" t="s">
        <v>57</v>
      </c>
      <c r="G2" s="41" t="s">
        <v>58</v>
      </c>
      <c r="H2" s="41" t="s">
        <v>59</v>
      </c>
      <c r="I2" s="41" t="s">
        <v>3</v>
      </c>
      <c r="K2" s="42" t="s">
        <v>18</v>
      </c>
      <c r="L2" s="42" t="s">
        <v>60</v>
      </c>
      <c r="M2" s="42" t="s">
        <v>61</v>
      </c>
      <c r="N2" s="42" t="s">
        <v>62</v>
      </c>
      <c r="O2" s="42" t="s">
        <v>18</v>
      </c>
      <c r="P2" s="42" t="s">
        <v>60</v>
      </c>
      <c r="Q2" s="42" t="s">
        <v>61</v>
      </c>
      <c r="R2" s="42" t="s">
        <v>62</v>
      </c>
      <c r="S2" s="42" t="s">
        <v>18</v>
      </c>
      <c r="T2" s="42" t="s">
        <v>60</v>
      </c>
      <c r="U2" s="42" t="s">
        <v>61</v>
      </c>
      <c r="V2" s="42" t="s">
        <v>62</v>
      </c>
      <c r="W2" s="42" t="s">
        <v>18</v>
      </c>
      <c r="X2" s="42" t="s">
        <v>60</v>
      </c>
      <c r="Y2" s="42" t="s">
        <v>61</v>
      </c>
      <c r="Z2" s="42" t="s">
        <v>62</v>
      </c>
      <c r="AA2" s="42" t="s">
        <v>63</v>
      </c>
      <c r="AB2" s="42" t="s">
        <v>64</v>
      </c>
      <c r="AC2" s="42" t="s">
        <v>65</v>
      </c>
      <c r="AD2" s="42" t="s">
        <v>66</v>
      </c>
      <c r="AE2" s="42" t="s">
        <v>67</v>
      </c>
      <c r="AF2" s="42" t="s">
        <v>68</v>
      </c>
      <c r="AG2" s="42" t="s">
        <v>69</v>
      </c>
      <c r="AH2" s="42" t="s">
        <v>70</v>
      </c>
      <c r="AI2" s="42" t="s">
        <v>355</v>
      </c>
      <c r="AJ2" s="42" t="s">
        <v>71</v>
      </c>
      <c r="AK2" s="138" t="s">
        <v>129</v>
      </c>
    </row>
    <row r="4" spans="2:37">
      <c r="B4" s="43" t="s">
        <v>51</v>
      </c>
      <c r="C4" s="43" t="s">
        <v>33</v>
      </c>
      <c r="D4" s="43"/>
      <c r="F4" s="42" t="s">
        <v>39</v>
      </c>
      <c r="G4" s="42" t="s">
        <v>39</v>
      </c>
      <c r="H4" s="42" t="s">
        <v>39</v>
      </c>
      <c r="L4" s="51"/>
    </row>
    <row r="5" spans="2:37" outlineLevel="1"/>
    <row r="6" spans="2:37" outlineLevel="1">
      <c r="C6" s="41" t="s">
        <v>34</v>
      </c>
      <c r="D6" s="41" t="s">
        <v>35</v>
      </c>
      <c r="I6" s="41" t="s">
        <v>79</v>
      </c>
      <c r="K6" s="44">
        <f>'Inputs - Project Specific'!G31</f>
        <v>4.9000000000000004</v>
      </c>
      <c r="L6" s="44">
        <f>K6</f>
        <v>4.9000000000000004</v>
      </c>
      <c r="M6" s="44">
        <f t="shared" ref="M6:AG6" si="0">L6</f>
        <v>4.9000000000000004</v>
      </c>
      <c r="N6" s="44">
        <f t="shared" si="0"/>
        <v>4.9000000000000004</v>
      </c>
      <c r="O6" s="44">
        <f t="shared" si="0"/>
        <v>4.9000000000000004</v>
      </c>
      <c r="P6" s="44">
        <f t="shared" si="0"/>
        <v>4.9000000000000004</v>
      </c>
      <c r="Q6" s="44">
        <f t="shared" si="0"/>
        <v>4.9000000000000004</v>
      </c>
      <c r="R6" s="44">
        <f t="shared" si="0"/>
        <v>4.9000000000000004</v>
      </c>
      <c r="S6" s="44">
        <f t="shared" si="0"/>
        <v>4.9000000000000004</v>
      </c>
      <c r="T6" s="44">
        <f t="shared" si="0"/>
        <v>4.9000000000000004</v>
      </c>
      <c r="U6" s="44">
        <f t="shared" si="0"/>
        <v>4.9000000000000004</v>
      </c>
      <c r="V6" s="44">
        <f t="shared" si="0"/>
        <v>4.9000000000000004</v>
      </c>
      <c r="W6" s="44">
        <f t="shared" si="0"/>
        <v>4.9000000000000004</v>
      </c>
      <c r="X6" s="44">
        <f t="shared" si="0"/>
        <v>4.9000000000000004</v>
      </c>
      <c r="Y6" s="44">
        <f t="shared" si="0"/>
        <v>4.9000000000000004</v>
      </c>
      <c r="Z6" s="44">
        <f t="shared" si="0"/>
        <v>4.9000000000000004</v>
      </c>
      <c r="AA6" s="44">
        <f t="shared" si="0"/>
        <v>4.9000000000000004</v>
      </c>
      <c r="AB6" s="44">
        <f t="shared" si="0"/>
        <v>4.9000000000000004</v>
      </c>
      <c r="AC6" s="44">
        <f t="shared" si="0"/>
        <v>4.9000000000000004</v>
      </c>
      <c r="AD6" s="44">
        <f t="shared" si="0"/>
        <v>4.9000000000000004</v>
      </c>
      <c r="AE6" s="44">
        <f t="shared" si="0"/>
        <v>4.9000000000000004</v>
      </c>
      <c r="AF6" s="44">
        <f t="shared" si="0"/>
        <v>4.9000000000000004</v>
      </c>
      <c r="AG6" s="44">
        <f t="shared" si="0"/>
        <v>4.9000000000000004</v>
      </c>
      <c r="AH6" s="44">
        <f>AG6</f>
        <v>4.9000000000000004</v>
      </c>
      <c r="AI6" s="44">
        <f>AH6</f>
        <v>4.9000000000000004</v>
      </c>
    </row>
    <row r="7" spans="2:37" outlineLevel="1">
      <c r="B7" s="41" t="s">
        <v>36</v>
      </c>
      <c r="C7" s="41" t="s">
        <v>37</v>
      </c>
      <c r="D7" s="41" t="s">
        <v>5</v>
      </c>
      <c r="I7" s="41" t="s">
        <v>38</v>
      </c>
      <c r="K7" s="45">
        <f>1-'Inputs - Fixed'!F11</f>
        <v>0.94369999999999998</v>
      </c>
      <c r="L7" s="45">
        <f>K7</f>
        <v>0.94369999999999998</v>
      </c>
      <c r="M7" s="45">
        <f t="shared" ref="M7:AG7" si="1">L7</f>
        <v>0.94369999999999998</v>
      </c>
      <c r="N7" s="45">
        <f t="shared" si="1"/>
        <v>0.94369999999999998</v>
      </c>
      <c r="O7" s="45">
        <f t="shared" si="1"/>
        <v>0.94369999999999998</v>
      </c>
      <c r="P7" s="45">
        <f t="shared" si="1"/>
        <v>0.94369999999999998</v>
      </c>
      <c r="Q7" s="45">
        <f t="shared" si="1"/>
        <v>0.94369999999999998</v>
      </c>
      <c r="R7" s="45">
        <f t="shared" si="1"/>
        <v>0.94369999999999998</v>
      </c>
      <c r="S7" s="45">
        <f t="shared" si="1"/>
        <v>0.94369999999999998</v>
      </c>
      <c r="T7" s="45">
        <f t="shared" si="1"/>
        <v>0.94369999999999998</v>
      </c>
      <c r="U7" s="45">
        <f t="shared" si="1"/>
        <v>0.94369999999999998</v>
      </c>
      <c r="V7" s="45">
        <f t="shared" si="1"/>
        <v>0.94369999999999998</v>
      </c>
      <c r="W7" s="45">
        <f t="shared" si="1"/>
        <v>0.94369999999999998</v>
      </c>
      <c r="X7" s="45">
        <f t="shared" si="1"/>
        <v>0.94369999999999998</v>
      </c>
      <c r="Y7" s="45">
        <f t="shared" si="1"/>
        <v>0.94369999999999998</v>
      </c>
      <c r="Z7" s="45">
        <f t="shared" si="1"/>
        <v>0.94369999999999998</v>
      </c>
      <c r="AA7" s="45">
        <f t="shared" si="1"/>
        <v>0.94369999999999998</v>
      </c>
      <c r="AB7" s="45">
        <f t="shared" si="1"/>
        <v>0.94369999999999998</v>
      </c>
      <c r="AC7" s="45">
        <f t="shared" si="1"/>
        <v>0.94369999999999998</v>
      </c>
      <c r="AD7" s="45">
        <f t="shared" si="1"/>
        <v>0.94369999999999998</v>
      </c>
      <c r="AE7" s="45">
        <f t="shared" si="1"/>
        <v>0.94369999999999998</v>
      </c>
      <c r="AF7" s="45">
        <f t="shared" si="1"/>
        <v>0.94369999999999998</v>
      </c>
      <c r="AG7" s="45">
        <f t="shared" si="1"/>
        <v>0.94369999999999998</v>
      </c>
      <c r="AH7" s="45">
        <f>AG7</f>
        <v>0.94369999999999998</v>
      </c>
      <c r="AI7" s="45">
        <f>AH7</f>
        <v>0.94369999999999998</v>
      </c>
    </row>
    <row r="8" spans="2:37" outlineLevel="1">
      <c r="B8" s="41" t="s">
        <v>39</v>
      </c>
      <c r="C8" s="41" t="s">
        <v>40</v>
      </c>
      <c r="D8" s="41" t="s">
        <v>41</v>
      </c>
      <c r="I8" s="41" t="s">
        <v>80</v>
      </c>
      <c r="K8" s="44">
        <f>'Inputs - Project Specific'!$G$3</f>
        <v>0.95</v>
      </c>
      <c r="L8" s="44">
        <f>'Inputs - Project Specific'!$G$3</f>
        <v>0.95</v>
      </c>
      <c r="M8" s="44">
        <f>'Inputs - Project Specific'!$G$3</f>
        <v>0.95</v>
      </c>
      <c r="N8" s="44">
        <f>'Inputs - Project Specific'!$G$3</f>
        <v>0.95</v>
      </c>
      <c r="O8" s="44">
        <f>'Inputs - Project Specific'!$G$3</f>
        <v>0.95</v>
      </c>
      <c r="P8" s="44">
        <f>'Inputs - Project Specific'!$G$3</f>
        <v>0.95</v>
      </c>
      <c r="Q8" s="44">
        <f>'Inputs - Project Specific'!$G$3</f>
        <v>0.95</v>
      </c>
      <c r="R8" s="44">
        <f>'Inputs - Project Specific'!$G$3</f>
        <v>0.95</v>
      </c>
      <c r="S8" s="44">
        <f>'Inputs - Project Specific'!$G$3</f>
        <v>0.95</v>
      </c>
      <c r="T8" s="44">
        <f>'Inputs - Project Specific'!$G$3</f>
        <v>0.95</v>
      </c>
      <c r="U8" s="44">
        <f>'Inputs - Project Specific'!$G$3</f>
        <v>0.95</v>
      </c>
      <c r="V8" s="44">
        <f>'Inputs - Project Specific'!$G$3</f>
        <v>0.95</v>
      </c>
      <c r="W8" s="44">
        <f>'Inputs - Project Specific'!$G$3</f>
        <v>0.95</v>
      </c>
      <c r="X8" s="44">
        <f>'Inputs - Project Specific'!$G$3</f>
        <v>0.95</v>
      </c>
      <c r="Y8" s="44">
        <f>'Inputs - Project Specific'!$G$3</f>
        <v>0.95</v>
      </c>
      <c r="Z8" s="44">
        <f>'Inputs - Project Specific'!$G$3</f>
        <v>0.95</v>
      </c>
      <c r="AA8" s="44">
        <f>'Inputs - Project Specific'!$G$3</f>
        <v>0.95</v>
      </c>
      <c r="AB8" s="44">
        <f>'Inputs - Project Specific'!$G$3</f>
        <v>0.95</v>
      </c>
      <c r="AC8" s="44">
        <f>'Inputs - Project Specific'!$G$3</f>
        <v>0.95</v>
      </c>
      <c r="AD8" s="44">
        <f>'Inputs - Project Specific'!$G$3</f>
        <v>0.95</v>
      </c>
      <c r="AE8" s="44">
        <f>'Inputs - Project Specific'!$G$3</f>
        <v>0.95</v>
      </c>
      <c r="AF8" s="44">
        <f>'Inputs - Project Specific'!$G$3</f>
        <v>0.95</v>
      </c>
      <c r="AG8" s="44">
        <f>'Inputs - Project Specific'!$G$3</f>
        <v>0.95</v>
      </c>
      <c r="AH8" s="44">
        <f>'Inputs - Project Specific'!$G$3</f>
        <v>0.95</v>
      </c>
      <c r="AI8" s="44">
        <f>'Inputs - Project Specific'!$G$3</f>
        <v>0.95</v>
      </c>
    </row>
    <row r="9" spans="2:37" outlineLevel="1">
      <c r="B9" s="41" t="s">
        <v>39</v>
      </c>
      <c r="C9" s="41" t="s">
        <v>42</v>
      </c>
      <c r="D9" s="41" t="s">
        <v>41</v>
      </c>
      <c r="I9" s="41" t="s">
        <v>80</v>
      </c>
      <c r="K9" s="44">
        <f>'Inputs - Project Specific'!$G$6</f>
        <v>0.95</v>
      </c>
      <c r="L9" s="44">
        <f>'Inputs - Project Specific'!$G$6</f>
        <v>0.95</v>
      </c>
      <c r="M9" s="44">
        <f>'Inputs - Project Specific'!$G$6</f>
        <v>0.95</v>
      </c>
      <c r="N9" s="44">
        <f>'Inputs - Project Specific'!$G$6</f>
        <v>0.95</v>
      </c>
      <c r="O9" s="44">
        <f>'Inputs - Project Specific'!$G$6</f>
        <v>0.95</v>
      </c>
      <c r="P9" s="44">
        <f>'Inputs - Project Specific'!$G$6</f>
        <v>0.95</v>
      </c>
      <c r="Q9" s="44">
        <f>'Inputs - Project Specific'!$G$6</f>
        <v>0.95</v>
      </c>
      <c r="R9" s="44">
        <f>'Inputs - Project Specific'!$G$6</f>
        <v>0.95</v>
      </c>
      <c r="S9" s="44">
        <f>'Inputs - Project Specific'!$G$6</f>
        <v>0.95</v>
      </c>
      <c r="T9" s="44">
        <f>'Inputs - Project Specific'!$G$6</f>
        <v>0.95</v>
      </c>
      <c r="U9" s="44">
        <f>'Inputs - Project Specific'!$G$6</f>
        <v>0.95</v>
      </c>
      <c r="V9" s="44">
        <f>'Inputs - Project Specific'!$G$6</f>
        <v>0.95</v>
      </c>
      <c r="W9" s="44">
        <f>'Inputs - Project Specific'!$G$6</f>
        <v>0.95</v>
      </c>
      <c r="X9" s="44">
        <f>'Inputs - Project Specific'!$G$6</f>
        <v>0.95</v>
      </c>
      <c r="Y9" s="44">
        <f>'Inputs - Project Specific'!$G$6</f>
        <v>0.95</v>
      </c>
      <c r="Z9" s="44">
        <f>'Inputs - Project Specific'!$G$6</f>
        <v>0.95</v>
      </c>
      <c r="AA9" s="44">
        <f>'Inputs - Project Specific'!$G$6</f>
        <v>0.95</v>
      </c>
      <c r="AB9" s="44">
        <f>'Inputs - Project Specific'!$G$6</f>
        <v>0.95</v>
      </c>
      <c r="AC9" s="44">
        <f>'Inputs - Project Specific'!$G$6</f>
        <v>0.95</v>
      </c>
      <c r="AD9" s="44">
        <f>'Inputs - Project Specific'!$G$6</f>
        <v>0.95</v>
      </c>
      <c r="AE9" s="44">
        <f>'Inputs - Project Specific'!$G$6</f>
        <v>0.95</v>
      </c>
      <c r="AF9" s="44">
        <f>'Inputs - Project Specific'!$G$6</f>
        <v>0.95</v>
      </c>
      <c r="AG9" s="44">
        <f>'Inputs - Project Specific'!$G$6</f>
        <v>0.95</v>
      </c>
      <c r="AH9" s="44">
        <f>'Inputs - Project Specific'!$G$6</f>
        <v>0.95</v>
      </c>
      <c r="AI9" s="44">
        <f>'Inputs - Project Specific'!$G$6</f>
        <v>0.95</v>
      </c>
    </row>
    <row r="10" spans="2:37" outlineLevel="1">
      <c r="B10" s="41" t="s">
        <v>39</v>
      </c>
      <c r="C10" s="41" t="s">
        <v>43</v>
      </c>
      <c r="D10" s="41" t="s">
        <v>44</v>
      </c>
      <c r="I10" s="41" t="s">
        <v>80</v>
      </c>
      <c r="K10" s="44">
        <f>'Inputs - Fixed'!F42</f>
        <v>21.061837432708437</v>
      </c>
      <c r="L10" s="44">
        <f>K10</f>
        <v>21.061837432708437</v>
      </c>
      <c r="M10" s="44">
        <f t="shared" ref="M10:N10" si="2">L10</f>
        <v>21.061837432708437</v>
      </c>
      <c r="N10" s="44">
        <f t="shared" si="2"/>
        <v>21.061837432708437</v>
      </c>
      <c r="O10" s="44">
        <f>'Inputs - Fixed'!F43</f>
        <v>20.139283806517568</v>
      </c>
      <c r="P10" s="44">
        <f>O10</f>
        <v>20.139283806517568</v>
      </c>
      <c r="Q10" s="44">
        <f t="shared" ref="Q10:R10" si="3">P10</f>
        <v>20.139283806517568</v>
      </c>
      <c r="R10" s="44">
        <f t="shared" si="3"/>
        <v>20.139283806517568</v>
      </c>
      <c r="S10" s="44">
        <f>'Inputs - Fixed'!F44</f>
        <v>33.826186037287087</v>
      </c>
      <c r="T10" s="44">
        <f>S10</f>
        <v>33.826186037287087</v>
      </c>
      <c r="U10" s="44">
        <f t="shared" ref="U10:V10" si="4">T10</f>
        <v>33.826186037287087</v>
      </c>
      <c r="V10" s="44">
        <f t="shared" si="4"/>
        <v>33.826186037287087</v>
      </c>
      <c r="W10" s="44">
        <f>'Inputs - Fixed'!F45</f>
        <v>39.457677236090248</v>
      </c>
      <c r="X10" s="44">
        <f>W10</f>
        <v>39.457677236090248</v>
      </c>
      <c r="Y10" s="44">
        <f t="shared" ref="Y10:Z10" si="5">X10</f>
        <v>39.457677236090248</v>
      </c>
      <c r="Z10" s="44">
        <f t="shared" si="5"/>
        <v>39.457677236090248</v>
      </c>
      <c r="AA10" s="44">
        <f>'Inputs - Fixed'!$F46</f>
        <v>40.13718857651935</v>
      </c>
      <c r="AB10" s="44">
        <f>'Inputs - Fixed'!$F47</f>
        <v>41.605532308366065</v>
      </c>
      <c r="AC10" s="44">
        <f>'Inputs - Fixed'!$F48</f>
        <v>42.709559000557469</v>
      </c>
      <c r="AD10" s="44">
        <f>'Inputs - Fixed'!$F49</f>
        <v>44.087732717597319</v>
      </c>
      <c r="AE10" s="44">
        <f>'Inputs - Fixed'!$F50</f>
        <v>45.433509374564132</v>
      </c>
      <c r="AF10" s="44">
        <f>'Inputs - Fixed'!$F51</f>
        <v>47.110611062501981</v>
      </c>
      <c r="AG10" s="44">
        <f>'Inputs - Fixed'!$F52</f>
        <v>48.496091957592412</v>
      </c>
      <c r="AH10" s="44">
        <f>'Inputs - Fixed'!$F53</f>
        <v>49.878470087427402</v>
      </c>
      <c r="AI10" s="44">
        <f>'Inputs - Fixed'!$F53</f>
        <v>49.878470087427402</v>
      </c>
    </row>
    <row r="11" spans="2:37" outlineLevel="1">
      <c r="B11" s="41" t="s">
        <v>39</v>
      </c>
      <c r="C11" s="41" t="s">
        <v>45</v>
      </c>
      <c r="D11" s="41" t="s">
        <v>46</v>
      </c>
      <c r="I11" s="41" t="s">
        <v>47</v>
      </c>
      <c r="K11" s="41">
        <v>1000</v>
      </c>
      <c r="L11" s="41">
        <v>1000</v>
      </c>
      <c r="M11" s="41">
        <v>1000</v>
      </c>
      <c r="N11" s="41">
        <v>1000</v>
      </c>
      <c r="O11" s="41">
        <v>1000</v>
      </c>
      <c r="P11" s="41">
        <v>1000</v>
      </c>
      <c r="Q11" s="41">
        <v>1000</v>
      </c>
      <c r="R11" s="41">
        <v>1000</v>
      </c>
      <c r="S11" s="41">
        <v>1000</v>
      </c>
      <c r="T11" s="41">
        <v>1000</v>
      </c>
      <c r="U11" s="41">
        <v>1000</v>
      </c>
      <c r="V11" s="41">
        <v>1000</v>
      </c>
      <c r="W11" s="41">
        <v>1000</v>
      </c>
      <c r="X11" s="41">
        <v>1000</v>
      </c>
      <c r="Y11" s="41">
        <v>1000</v>
      </c>
      <c r="Z11" s="41">
        <v>1000</v>
      </c>
      <c r="AA11" s="41">
        <v>1000</v>
      </c>
      <c r="AB11" s="41">
        <v>1000</v>
      </c>
      <c r="AC11" s="41">
        <v>1000</v>
      </c>
      <c r="AD11" s="41">
        <v>1000</v>
      </c>
      <c r="AE11" s="41">
        <v>1000</v>
      </c>
      <c r="AF11" s="41">
        <v>1000</v>
      </c>
      <c r="AG11" s="41">
        <v>1000</v>
      </c>
      <c r="AH11" s="41">
        <v>1000</v>
      </c>
      <c r="AI11" s="41">
        <v>1000</v>
      </c>
    </row>
    <row r="12" spans="2:37" outlineLevel="1">
      <c r="B12" s="41" t="s">
        <v>39</v>
      </c>
      <c r="C12" s="41" t="s">
        <v>48</v>
      </c>
      <c r="I12" s="41" t="s">
        <v>47</v>
      </c>
      <c r="K12" s="41">
        <f>IF(J12&lt;&gt;0,0.25,IF(SUM(K1,-1)='Inputs - Project Specific'!$F$43,IF('Inputs - Project Specific'!$G$43='4.1_Benefits'!K2,0.25,0),0))</f>
        <v>0</v>
      </c>
      <c r="L12" s="41">
        <f>IF(K12&lt;&gt;0,0.25,IF(SUM(L1,-1)='Inputs - Project Specific'!$F$43,IF('Inputs - Project Specific'!$G$43='4.1_Benefits'!L2,0.25,0),0))</f>
        <v>0</v>
      </c>
      <c r="M12" s="41">
        <f>IF(L12&lt;&gt;0,0.25,IF(SUM(M1,-1)='Inputs - Project Specific'!$F$43,IF('Inputs - Project Specific'!$G$43='4.1_Benefits'!M2,0.25,0),0))</f>
        <v>0</v>
      </c>
      <c r="N12" s="41">
        <f>IF(M12&lt;&gt;0,0.25,IF(SUM(N1,-1)='Inputs - Project Specific'!$F$43,IF('Inputs - Project Specific'!$G$43='4.1_Benefits'!N2,0.25,0),0))</f>
        <v>0</v>
      </c>
      <c r="O12" s="41">
        <f>IF(N12&lt;&gt;0,0.25,IF(SUM(-1,O1)='Inputs - Project Specific'!$F$43,IF('Inputs - Project Specific'!$G$43='4.1_Benefits'!O2,0.25,0),0))</f>
        <v>0</v>
      </c>
      <c r="P12" s="41">
        <f>IF(O12&lt;&gt;0,0.25,IF(SUM(-1,P1)='Inputs - Project Specific'!$F$43,IF('Inputs - Project Specific'!$G$43='4.1_Benefits'!P2,0.25,0),0))</f>
        <v>0.25</v>
      </c>
      <c r="Q12" s="41">
        <f>IF(P12&lt;&gt;0,0.25,IF(SUM(-1,Q1)='Inputs - Project Specific'!$F$43,IF('Inputs - Project Specific'!$G$43='4.1_Benefits'!Q2,0.25,0),0))</f>
        <v>0.25</v>
      </c>
      <c r="R12" s="41">
        <f>IF(Q12&lt;&gt;0,0.25,IF(SUM(-1,R1)='Inputs - Project Specific'!$F$43,IF('Inputs - Project Specific'!$G$43='4.1_Benefits'!R2,0.25,0),0))</f>
        <v>0.25</v>
      </c>
      <c r="S12" s="41">
        <f>IF(R12&lt;&gt;0,0.25,IF(SUM(-1,S1)='Inputs - Project Specific'!$F$43,IF('Inputs - Project Specific'!$G$43='4.1_Benefits'!S2,0.25,0),0))</f>
        <v>0.25</v>
      </c>
      <c r="T12" s="41">
        <f>IF(S12&lt;&gt;0,0.25,IF(SUM(-1,T1)='Inputs - Project Specific'!$F$43,IF('Inputs - Project Specific'!$G$43='4.1_Benefits'!T2,0.25,0),0))</f>
        <v>0.25</v>
      </c>
      <c r="U12" s="41">
        <f>IF(T12&lt;&gt;0,0.25,IF(SUM(-1,U1)='Inputs - Project Specific'!$F$43,IF('Inputs - Project Specific'!$G$43='4.1_Benefits'!U2,0.25,0),0))</f>
        <v>0.25</v>
      </c>
      <c r="V12" s="41">
        <f>IF(U12&lt;&gt;0,0.25,IF(SUM(-1,V1)='Inputs - Project Specific'!$F$43,IF('Inputs - Project Specific'!$G$43='4.1_Benefits'!V2,0.25,0),0))</f>
        <v>0.25</v>
      </c>
      <c r="W12" s="41">
        <f>IF(V12&lt;&gt;0,0.25,IF(SUM(-1,W1)='Inputs - Project Specific'!$F$43,IF('Inputs - Project Specific'!$G$43='4.1_Benefits'!W2,0.25,0),0))</f>
        <v>0.25</v>
      </c>
      <c r="X12" s="41">
        <f>IF(W12&lt;&gt;0,0.25,IF(SUM(-1,X1)='Inputs - Project Specific'!$F$43,IF('Inputs - Project Specific'!$G$43='4.1_Benefits'!X2,0.25,0),0))</f>
        <v>0.25</v>
      </c>
      <c r="Y12" s="41">
        <f>IF(X12&lt;&gt;0,0.25,IF(SUM(-1,Y1)='Inputs - Project Specific'!$F$43,IF('Inputs - Project Specific'!$G$43='4.1_Benefits'!Y2,0.25,0),0))</f>
        <v>0.25</v>
      </c>
      <c r="Z12" s="41">
        <f>IF(Y12&lt;&gt;0,0.25,IF(SUM(-1,Z1)='Inputs - Project Specific'!$F$43,IF('Inputs - Project Specific'!$G$43='4.1_Benefits'!Z2,0.25,0),0))</f>
        <v>0.25</v>
      </c>
      <c r="AA12" s="41">
        <f>IF(Z12&lt;&gt;0,1,IF(AA1='Inputs - Project Specific'!F43,1,0))</f>
        <v>1</v>
      </c>
      <c r="AB12" s="41">
        <f>IF(AA12&lt;&gt;0,1,IF(AB1='Inputs - Project Specific'!G43,1,0))</f>
        <v>1</v>
      </c>
      <c r="AC12" s="41">
        <f>IF(AB12&lt;&gt;0,1,IF(AC1='Inputs - Project Specific'!H43,1,0))</f>
        <v>1</v>
      </c>
      <c r="AD12" s="41">
        <f>IF(AC12&lt;&gt;0,1,IF(AD1='Inputs - Project Specific'!I43,1,0))</f>
        <v>1</v>
      </c>
      <c r="AE12" s="41">
        <f>IF(AD12&lt;&gt;0,1,IF(AE1='Inputs - Project Specific'!J43,1,0))</f>
        <v>1</v>
      </c>
      <c r="AF12" s="41">
        <f>IF(AE12&lt;&gt;0,1,IF(AF1='Inputs - Project Specific'!K43,1,0))</f>
        <v>1</v>
      </c>
      <c r="AG12">
        <v>0</v>
      </c>
      <c r="AH12" s="41">
        <f>IF(AG12&lt;&gt;0,1,IF(AH1='Inputs - Project Specific'!M43,1,0))</f>
        <v>0</v>
      </c>
      <c r="AI12" s="41">
        <f>IF(AH12&lt;&gt;0,1,IF(AI1='Inputs - Project Specific'!N43,1,0))</f>
        <v>0</v>
      </c>
      <c r="AK12" s="120"/>
    </row>
    <row r="13" spans="2:37">
      <c r="C13" s="41" t="s">
        <v>49</v>
      </c>
      <c r="D13" s="41" t="s">
        <v>13</v>
      </c>
      <c r="E13" s="41" t="s">
        <v>50</v>
      </c>
      <c r="F13" s="42"/>
      <c r="G13" s="42"/>
      <c r="H13" s="42"/>
      <c r="K13" s="46">
        <f>K6/K7*K8*K9*K10*K11*K12</f>
        <v>0</v>
      </c>
      <c r="L13" s="46">
        <f t="shared" ref="L13:AI13" si="6">L6/L7*L8*L9*L10*L11*L12</f>
        <v>0</v>
      </c>
      <c r="M13" s="46">
        <f t="shared" si="6"/>
        <v>0</v>
      </c>
      <c r="N13" s="46">
        <f t="shared" si="6"/>
        <v>0</v>
      </c>
      <c r="O13" s="46">
        <f t="shared" si="6"/>
        <v>0</v>
      </c>
      <c r="P13" s="46">
        <f t="shared" si="6"/>
        <v>23593.554046140805</v>
      </c>
      <c r="Q13" s="46">
        <f t="shared" si="6"/>
        <v>23593.554046140805</v>
      </c>
      <c r="R13" s="46">
        <f t="shared" si="6"/>
        <v>23593.554046140805</v>
      </c>
      <c r="S13" s="46">
        <f t="shared" si="6"/>
        <v>39628.020346347577</v>
      </c>
      <c r="T13" s="46">
        <f t="shared" si="6"/>
        <v>39628.020346347577</v>
      </c>
      <c r="U13" s="46">
        <f t="shared" si="6"/>
        <v>39628.020346347577</v>
      </c>
      <c r="V13" s="46">
        <f t="shared" si="6"/>
        <v>39628.020346347577</v>
      </c>
      <c r="W13" s="46">
        <f t="shared" si="6"/>
        <v>46225.419401637198</v>
      </c>
      <c r="X13" s="46">
        <f t="shared" si="6"/>
        <v>46225.419401637198</v>
      </c>
      <c r="Y13" s="46">
        <f t="shared" si="6"/>
        <v>46225.419401637198</v>
      </c>
      <c r="Z13" s="46">
        <f t="shared" si="6"/>
        <v>46225.419401637198</v>
      </c>
      <c r="AA13" s="46">
        <f t="shared" si="6"/>
        <v>188085.91944740139</v>
      </c>
      <c r="AB13" s="46">
        <f t="shared" si="6"/>
        <v>194966.68989156705</v>
      </c>
      <c r="AC13" s="46">
        <f t="shared" si="6"/>
        <v>200140.24296939204</v>
      </c>
      <c r="AD13" s="46">
        <f t="shared" si="6"/>
        <v>206598.4698637223</v>
      </c>
      <c r="AE13" s="46">
        <f t="shared" si="6"/>
        <v>212904.8816696686</v>
      </c>
      <c r="AF13" s="46">
        <f t="shared" si="6"/>
        <v>220763.90777911348</v>
      </c>
      <c r="AG13" s="46">
        <f t="shared" si="6"/>
        <v>0</v>
      </c>
      <c r="AH13" s="46">
        <f t="shared" si="6"/>
        <v>0</v>
      </c>
      <c r="AI13" s="46">
        <f t="shared" si="6"/>
        <v>0</v>
      </c>
      <c r="AJ13" s="46">
        <f>SUM(K13:AI13)</f>
        <v>1637654.5327512263</v>
      </c>
      <c r="AK13" s="46">
        <f>NPV('Inputs - Fixed'!$F$3,SUM(K13:N13),SUM(O13:R13),SUM(S13:V13),SUM(W13:Z13),AA13,AB13,AC13,AD13,AE13,AF13,AG13,AH13,AI13)</f>
        <v>1078403.3583834248</v>
      </c>
    </row>
    <row r="15" spans="2:37">
      <c r="B15" s="43" t="s">
        <v>81</v>
      </c>
      <c r="C15" s="43" t="s">
        <v>86</v>
      </c>
      <c r="D15" s="43"/>
      <c r="F15" s="42" t="s">
        <v>39</v>
      </c>
      <c r="G15" s="42" t="s">
        <v>39</v>
      </c>
      <c r="H15" s="42" t="s">
        <v>39</v>
      </c>
    </row>
    <row r="16" spans="2:37" outlineLevel="1"/>
    <row r="17" spans="2:37" outlineLevel="1">
      <c r="C17" s="58" t="s">
        <v>253</v>
      </c>
      <c r="D17" s="41" t="s">
        <v>15</v>
      </c>
      <c r="I17" s="41" t="s">
        <v>79</v>
      </c>
      <c r="K17" s="100">
        <f>'Inputs - Project Specific'!G35</f>
        <v>0</v>
      </c>
      <c r="L17" s="100">
        <f>K17</f>
        <v>0</v>
      </c>
      <c r="M17" s="100">
        <f t="shared" ref="M17:AG17" si="7">L17</f>
        <v>0</v>
      </c>
      <c r="N17" s="100">
        <f t="shared" si="7"/>
        <v>0</v>
      </c>
      <c r="O17" s="100">
        <f t="shared" si="7"/>
        <v>0</v>
      </c>
      <c r="P17" s="100">
        <f t="shared" si="7"/>
        <v>0</v>
      </c>
      <c r="Q17" s="100">
        <f t="shared" si="7"/>
        <v>0</v>
      </c>
      <c r="R17" s="100">
        <f t="shared" si="7"/>
        <v>0</v>
      </c>
      <c r="S17" s="100">
        <f t="shared" si="7"/>
        <v>0</v>
      </c>
      <c r="T17" s="100">
        <f t="shared" si="7"/>
        <v>0</v>
      </c>
      <c r="U17" s="100">
        <f t="shared" si="7"/>
        <v>0</v>
      </c>
      <c r="V17" s="100">
        <f t="shared" si="7"/>
        <v>0</v>
      </c>
      <c r="W17" s="100">
        <f t="shared" si="7"/>
        <v>0</v>
      </c>
      <c r="X17" s="100">
        <f t="shared" si="7"/>
        <v>0</v>
      </c>
      <c r="Y17" s="100">
        <f t="shared" si="7"/>
        <v>0</v>
      </c>
      <c r="Z17" s="100">
        <f t="shared" si="7"/>
        <v>0</v>
      </c>
      <c r="AA17" s="100">
        <f t="shared" si="7"/>
        <v>0</v>
      </c>
      <c r="AB17" s="100">
        <f t="shared" si="7"/>
        <v>0</v>
      </c>
      <c r="AC17" s="100">
        <f t="shared" si="7"/>
        <v>0</v>
      </c>
      <c r="AD17" s="100">
        <f t="shared" si="7"/>
        <v>0</v>
      </c>
      <c r="AE17" s="100">
        <f t="shared" si="7"/>
        <v>0</v>
      </c>
      <c r="AF17" s="100">
        <f t="shared" si="7"/>
        <v>0</v>
      </c>
      <c r="AG17" s="100">
        <f t="shared" si="7"/>
        <v>0</v>
      </c>
      <c r="AH17" s="100">
        <f>AG17</f>
        <v>0</v>
      </c>
      <c r="AI17" s="100">
        <f>AH17</f>
        <v>0</v>
      </c>
    </row>
    <row r="18" spans="2:37" outlineLevel="1">
      <c r="B18" s="41" t="s">
        <v>36</v>
      </c>
      <c r="C18" s="41" t="s">
        <v>75</v>
      </c>
      <c r="D18" s="41" t="s">
        <v>5</v>
      </c>
      <c r="I18" s="41" t="s">
        <v>80</v>
      </c>
      <c r="K18" s="45">
        <f t="shared" ref="K18:AI18" si="8">K7</f>
        <v>0.94369999999999998</v>
      </c>
      <c r="L18" s="45">
        <f t="shared" si="8"/>
        <v>0.94369999999999998</v>
      </c>
      <c r="M18" s="45">
        <f t="shared" si="8"/>
        <v>0.94369999999999998</v>
      </c>
      <c r="N18" s="45">
        <f t="shared" si="8"/>
        <v>0.94369999999999998</v>
      </c>
      <c r="O18" s="45">
        <f t="shared" si="8"/>
        <v>0.94369999999999998</v>
      </c>
      <c r="P18" s="45">
        <f t="shared" si="8"/>
        <v>0.94369999999999998</v>
      </c>
      <c r="Q18" s="45">
        <f t="shared" si="8"/>
        <v>0.94369999999999998</v>
      </c>
      <c r="R18" s="45">
        <f t="shared" si="8"/>
        <v>0.94369999999999998</v>
      </c>
      <c r="S18" s="45">
        <f t="shared" si="8"/>
        <v>0.94369999999999998</v>
      </c>
      <c r="T18" s="45">
        <f t="shared" si="8"/>
        <v>0.94369999999999998</v>
      </c>
      <c r="U18" s="45">
        <f t="shared" si="8"/>
        <v>0.94369999999999998</v>
      </c>
      <c r="V18" s="45">
        <f t="shared" si="8"/>
        <v>0.94369999999999998</v>
      </c>
      <c r="W18" s="45">
        <f t="shared" si="8"/>
        <v>0.94369999999999998</v>
      </c>
      <c r="X18" s="45">
        <f t="shared" si="8"/>
        <v>0.94369999999999998</v>
      </c>
      <c r="Y18" s="45">
        <f t="shared" si="8"/>
        <v>0.94369999999999998</v>
      </c>
      <c r="Z18" s="45">
        <f t="shared" si="8"/>
        <v>0.94369999999999998</v>
      </c>
      <c r="AA18" s="45">
        <f t="shared" si="8"/>
        <v>0.94369999999999998</v>
      </c>
      <c r="AB18" s="45">
        <f t="shared" si="8"/>
        <v>0.94369999999999998</v>
      </c>
      <c r="AC18" s="45">
        <f t="shared" si="8"/>
        <v>0.94369999999999998</v>
      </c>
      <c r="AD18" s="45">
        <f t="shared" si="8"/>
        <v>0.94369999999999998</v>
      </c>
      <c r="AE18" s="45">
        <f t="shared" si="8"/>
        <v>0.94369999999999998</v>
      </c>
      <c r="AF18" s="45">
        <f t="shared" si="8"/>
        <v>0.94369999999999998</v>
      </c>
      <c r="AG18" s="45">
        <f t="shared" si="8"/>
        <v>0.94369999999999998</v>
      </c>
      <c r="AH18" s="45">
        <f t="shared" si="8"/>
        <v>0.94369999999999998</v>
      </c>
      <c r="AI18" s="45">
        <f t="shared" si="8"/>
        <v>0.94369999999999998</v>
      </c>
    </row>
    <row r="19" spans="2:37" outlineLevel="1">
      <c r="B19" s="47" t="s">
        <v>39</v>
      </c>
      <c r="C19" s="77" t="s">
        <v>252</v>
      </c>
      <c r="D19" s="47" t="s">
        <v>20</v>
      </c>
      <c r="E19" s="47"/>
      <c r="F19" s="47"/>
      <c r="G19" s="47"/>
      <c r="H19" s="47"/>
      <c r="I19" s="47" t="s">
        <v>82</v>
      </c>
      <c r="J19" s="47"/>
      <c r="K19" s="48">
        <f>VLOOKUP('Inputs - Project Specific'!$G$10,'Inputs - Fixed'!A65:T70,4,)</f>
        <v>36.619998931884766</v>
      </c>
      <c r="L19" s="48">
        <f>K19</f>
        <v>36.619998931884766</v>
      </c>
      <c r="M19" s="48">
        <f t="shared" ref="M19:N19" si="9">L19</f>
        <v>36.619998931884766</v>
      </c>
      <c r="N19" s="48">
        <f t="shared" si="9"/>
        <v>36.619998931884766</v>
      </c>
      <c r="O19" s="48">
        <f>VLOOKUP('Inputs - Project Specific'!$G$10,'Inputs - Fixed'!$A$65:$T$70,5,)</f>
        <v>38.580001831054688</v>
      </c>
      <c r="P19" s="48">
        <f>O19</f>
        <v>38.580001831054688</v>
      </c>
      <c r="Q19" s="48">
        <f t="shared" ref="Q19:R19" si="10">P19</f>
        <v>38.580001831054688</v>
      </c>
      <c r="R19" s="48">
        <f t="shared" si="10"/>
        <v>38.580001831054688</v>
      </c>
      <c r="S19" s="48">
        <f>VLOOKUP('Inputs - Project Specific'!$G$10,'Inputs - Fixed'!$A$65:$T$70,6,)</f>
        <v>42.150001525878906</v>
      </c>
      <c r="T19" s="48">
        <f>S19</f>
        <v>42.150001525878906</v>
      </c>
      <c r="U19" s="48">
        <f t="shared" ref="U19:V19" si="11">T19</f>
        <v>42.150001525878906</v>
      </c>
      <c r="V19" s="48">
        <f t="shared" si="11"/>
        <v>42.150001525878906</v>
      </c>
      <c r="W19" s="48">
        <f>VLOOKUP('Inputs - Project Specific'!$G$10,'Inputs - Fixed'!$A$65:$T$70,7,)</f>
        <v>44.090000152587891</v>
      </c>
      <c r="X19" s="48">
        <f>W19</f>
        <v>44.090000152587891</v>
      </c>
      <c r="Y19" s="48">
        <f t="shared" ref="Y19:Z19" si="12">X19</f>
        <v>44.090000152587891</v>
      </c>
      <c r="Z19" s="48">
        <f t="shared" si="12"/>
        <v>44.090000152587891</v>
      </c>
      <c r="AA19" s="48">
        <f>VLOOKUP('Inputs - Project Specific'!$G$10,'Inputs - Fixed'!$A$65:$T$70,8,)</f>
        <v>46.900001525878906</v>
      </c>
      <c r="AB19" s="48">
        <f>VLOOKUP('Inputs - Project Specific'!$G$10,'Inputs - Fixed'!$A$65:$T$70,9,)</f>
        <v>48.869998931884766</v>
      </c>
      <c r="AC19" s="48">
        <f>VLOOKUP('Inputs - Project Specific'!$G$10,'Inputs - Fixed'!$A$65:$T$70,10,)</f>
        <v>55.889999389648438</v>
      </c>
      <c r="AD19" s="48">
        <f>VLOOKUP('Inputs - Project Specific'!$G$10,'Inputs - Fixed'!$A$65:$T$70,11,)</f>
        <v>58.279998779296875</v>
      </c>
      <c r="AE19" s="48">
        <f>VLOOKUP('Inputs - Project Specific'!$G$10,'Inputs - Fixed'!$A$65:$T$70,12,)</f>
        <v>60.470001220703125</v>
      </c>
      <c r="AF19" s="48">
        <f>VLOOKUP('Inputs - Project Specific'!$G$10,'Inputs - Fixed'!$A$65:$T$70,13,)</f>
        <v>62.659999847412109</v>
      </c>
      <c r="AG19" s="48">
        <f>VLOOKUP('Inputs - Project Specific'!$G$10,'Inputs - Fixed'!$A$65:$T$70,14,)</f>
        <v>65.419998168945312</v>
      </c>
      <c r="AH19" s="48">
        <f>VLOOKUP('Inputs - Project Specific'!$G$10,'Inputs - Fixed'!$A$65:$T$70,15,)</f>
        <v>67.44000244140625</v>
      </c>
      <c r="AI19" s="48">
        <f>VLOOKUP('Inputs - Project Specific'!$G$10,'Inputs - Fixed'!$A$65:$T$70,15,)</f>
        <v>67.44000244140625</v>
      </c>
    </row>
    <row r="20" spans="2:37" outlineLevel="1">
      <c r="B20" s="41" t="s">
        <v>74</v>
      </c>
      <c r="C20" s="58" t="s">
        <v>351</v>
      </c>
      <c r="D20" s="41" t="s">
        <v>13</v>
      </c>
      <c r="I20" s="41" t="s">
        <v>19</v>
      </c>
      <c r="K20" s="41">
        <f>K17/K18*K19</f>
        <v>0</v>
      </c>
      <c r="L20" s="41">
        <f t="shared" ref="L20:AG20" si="13">L17/L18*L19</f>
        <v>0</v>
      </c>
      <c r="M20" s="41">
        <f t="shared" si="13"/>
        <v>0</v>
      </c>
      <c r="N20" s="41">
        <f t="shared" si="13"/>
        <v>0</v>
      </c>
      <c r="O20" s="41">
        <f t="shared" si="13"/>
        <v>0</v>
      </c>
      <c r="P20" s="41">
        <f t="shared" si="13"/>
        <v>0</v>
      </c>
      <c r="Q20" s="41">
        <f t="shared" si="13"/>
        <v>0</v>
      </c>
      <c r="R20" s="41">
        <f t="shared" si="13"/>
        <v>0</v>
      </c>
      <c r="S20" s="41">
        <f t="shared" si="13"/>
        <v>0</v>
      </c>
      <c r="T20" s="41">
        <f t="shared" si="13"/>
        <v>0</v>
      </c>
      <c r="U20" s="41">
        <f t="shared" si="13"/>
        <v>0</v>
      </c>
      <c r="V20" s="41">
        <f t="shared" si="13"/>
        <v>0</v>
      </c>
      <c r="W20" s="41">
        <f t="shared" si="13"/>
        <v>0</v>
      </c>
      <c r="X20" s="41">
        <f t="shared" si="13"/>
        <v>0</v>
      </c>
      <c r="Y20" s="41">
        <f t="shared" si="13"/>
        <v>0</v>
      </c>
      <c r="Z20" s="41">
        <f t="shared" si="13"/>
        <v>0</v>
      </c>
      <c r="AA20" s="41">
        <f t="shared" si="13"/>
        <v>0</v>
      </c>
      <c r="AB20" s="41">
        <f t="shared" si="13"/>
        <v>0</v>
      </c>
      <c r="AC20" s="41">
        <f t="shared" si="13"/>
        <v>0</v>
      </c>
      <c r="AD20" s="41">
        <f t="shared" si="13"/>
        <v>0</v>
      </c>
      <c r="AE20" s="41">
        <f t="shared" si="13"/>
        <v>0</v>
      </c>
      <c r="AF20" s="41">
        <f t="shared" si="13"/>
        <v>0</v>
      </c>
      <c r="AG20" s="41">
        <f t="shared" si="13"/>
        <v>0</v>
      </c>
      <c r="AH20" s="41">
        <f>AH17/AH18*AH19</f>
        <v>0</v>
      </c>
      <c r="AI20" s="41">
        <f>AI17/AI18*AI19</f>
        <v>0</v>
      </c>
    </row>
    <row r="21" spans="2:37" outlineLevel="1"/>
    <row r="22" spans="2:37" outlineLevel="1">
      <c r="B22" s="41" t="s">
        <v>39</v>
      </c>
      <c r="C22" s="41" t="s">
        <v>76</v>
      </c>
      <c r="D22" s="41" t="s">
        <v>47</v>
      </c>
      <c r="K22" s="41">
        <f>IF(K1='Inputs - Project Specific'!F43,IF('Inputs - Project Specific'!G43='4.1_Benefits'!K2,0.25,0),0)</f>
        <v>0</v>
      </c>
      <c r="L22" s="41">
        <f>IF(K22&lt;&gt;0,0.25,IF(L1='Inputs - Project Specific'!F43,IF('Inputs - Project Specific'!G43='4.1_Benefits'!L2,0.25,0),0))</f>
        <v>0.25</v>
      </c>
      <c r="M22" s="41">
        <f>IF(L22&lt;&gt;0,0.25,IF(M1='Inputs - Project Specific'!G43,IF('Inputs - Project Specific'!H43='4.1_Benefits'!M2,0.25,0),0))</f>
        <v>0.25</v>
      </c>
      <c r="N22" s="41">
        <f>IF(M22&lt;&gt;0,0.25,IF(N1='Inputs - Project Specific'!H43,IF('Inputs - Project Specific'!I43='4.1_Benefits'!N2,0.25,0),0))</f>
        <v>0.25</v>
      </c>
      <c r="O22" s="41">
        <f>IF(N22&lt;&gt;0,0.25,IF(O1='Inputs - Project Specific'!I43,IF('Inputs - Project Specific'!J43='4.1_Benefits'!O2,0.25,0),0))</f>
        <v>0.25</v>
      </c>
      <c r="P22" s="41">
        <f>IF(O12&lt;&gt;0,0.25,IF(P1='Inputs - Project Specific'!J43,IF('Inputs - Project Specific'!K43='4.1_Benefits'!P2,0.25,0),0))</f>
        <v>0</v>
      </c>
      <c r="Q22" s="41">
        <f>IF(P12&lt;&gt;0,0.25,IF(Q1='Inputs - Project Specific'!K43,IF('Inputs - Project Specific'!L43='4.1_Benefits'!Q2,0.25,0),0))</f>
        <v>0.25</v>
      </c>
      <c r="R22" s="41">
        <f>IF(Q12&lt;&gt;0,0.25,IF(R1='Inputs - Project Specific'!L43,IF('Inputs - Project Specific'!M43='4.1_Benefits'!R2,0.25,0),0))</f>
        <v>0.25</v>
      </c>
      <c r="S22" s="41">
        <f>IF(R12&lt;&gt;0,0.25,IF(S1='Inputs - Project Specific'!M43,IF('Inputs - Project Specific'!N43='4.1_Benefits'!S2,0.25,0),0))</f>
        <v>0.25</v>
      </c>
      <c r="T22" s="41">
        <f>IF(S12&lt;&gt;0,0.25,IF(T1='Inputs - Project Specific'!N43,IF('Inputs - Project Specific'!O43='4.1_Benefits'!T2,0.25,0),0))</f>
        <v>0.25</v>
      </c>
      <c r="U22" s="41">
        <f>IF(T12&lt;&gt;0,0.25,IF(U1='Inputs - Project Specific'!O43,IF('Inputs - Project Specific'!P43='4.1_Benefits'!U2,0.25,0),0))</f>
        <v>0.25</v>
      </c>
      <c r="V22" s="41">
        <f>IF(U12&lt;&gt;0,0.25,IF(V1='Inputs - Project Specific'!P43,IF('Inputs - Project Specific'!Q43='4.1_Benefits'!V2,0.25,0),0))</f>
        <v>0.25</v>
      </c>
      <c r="W22" s="41">
        <f>IF(V12&lt;&gt;0,0.25,IF(W1='Inputs - Project Specific'!Q43,IF('Inputs - Project Specific'!R43='4.1_Benefits'!W2,0.25,0),0))</f>
        <v>0.25</v>
      </c>
      <c r="X22" s="41">
        <f>IF(W12&lt;&gt;0,0.25,IF(X1='Inputs - Project Specific'!R43,IF('Inputs - Project Specific'!S43='4.1_Benefits'!X2,0.25,0),0))</f>
        <v>0.25</v>
      </c>
      <c r="Y22" s="41">
        <f>IF(X12&lt;&gt;0,0.25,IF(Y1='Inputs - Project Specific'!S43,IF('Inputs - Project Specific'!T43='4.1_Benefits'!Y2,0.25,0),0))</f>
        <v>0.25</v>
      </c>
      <c r="Z22" s="41">
        <f>IF(Y12&lt;&gt;0,0.25,IF(Z1='Inputs - Project Specific'!T43,IF('Inputs - Project Specific'!U43='4.1_Benefits'!Z2,0.25,0),0))</f>
        <v>0.25</v>
      </c>
      <c r="AA22" s="41">
        <f>IF(Z12&lt;&gt;0,1,IF(AA1='Inputs - Project Specific'!F43,1,0))</f>
        <v>1</v>
      </c>
      <c r="AB22" s="41">
        <f>IF(AA12&lt;&gt;0,1,IF(AB1='Inputs - Project Specific'!G43,1,0))</f>
        <v>1</v>
      </c>
      <c r="AC22" s="41">
        <f>IF(AB12&lt;&gt;0,1,IF(AC1='Inputs - Project Specific'!H43,1,0))</f>
        <v>1</v>
      </c>
      <c r="AD22" s="41">
        <f>IF(AC12&lt;&gt;0,1,IF(AD1='Inputs - Project Specific'!I43,1,0))</f>
        <v>1</v>
      </c>
      <c r="AE22" s="41">
        <f>IF(AD12&lt;&gt;0,1,IF(AE1='Inputs - Project Specific'!J43,1,0))</f>
        <v>1</v>
      </c>
      <c r="AF22" s="41">
        <f>IF(AE12&lt;&gt;0,1,IF(AF1='Inputs - Project Specific'!K43,1,0))</f>
        <v>1</v>
      </c>
      <c r="AG22">
        <v>0</v>
      </c>
      <c r="AH22" s="41">
        <f>IF(AG12&lt;&gt;0,1,IF(AH1='Inputs - Project Specific'!M43,1,0))</f>
        <v>0</v>
      </c>
      <c r="AI22" s="41">
        <f>IF(AH12&lt;&gt;0,1,IF(AI1='Inputs - Project Specific'!N43,1,0))</f>
        <v>0</v>
      </c>
    </row>
    <row r="23" spans="2:37">
      <c r="B23" s="41" t="s">
        <v>74</v>
      </c>
      <c r="C23" s="41" t="s">
        <v>77</v>
      </c>
      <c r="D23" s="41" t="s">
        <v>13</v>
      </c>
      <c r="E23" s="41" t="s">
        <v>78</v>
      </c>
      <c r="F23" s="49"/>
      <c r="G23" s="49"/>
      <c r="H23" s="49"/>
      <c r="I23" s="41" t="s">
        <v>19</v>
      </c>
      <c r="K23" s="46">
        <f>K22*K20</f>
        <v>0</v>
      </c>
      <c r="L23" s="46">
        <f t="shared" ref="L23:AH23" si="14">L22*L20</f>
        <v>0</v>
      </c>
      <c r="M23" s="46">
        <f t="shared" si="14"/>
        <v>0</v>
      </c>
      <c r="N23" s="46">
        <f t="shared" si="14"/>
        <v>0</v>
      </c>
      <c r="O23" s="46">
        <f t="shared" si="14"/>
        <v>0</v>
      </c>
      <c r="P23" s="46">
        <f t="shared" si="14"/>
        <v>0</v>
      </c>
      <c r="Q23" s="46">
        <f t="shared" si="14"/>
        <v>0</v>
      </c>
      <c r="R23" s="46">
        <f t="shared" si="14"/>
        <v>0</v>
      </c>
      <c r="S23" s="46">
        <f t="shared" si="14"/>
        <v>0</v>
      </c>
      <c r="T23" s="46">
        <f t="shared" si="14"/>
        <v>0</v>
      </c>
      <c r="U23" s="46">
        <f t="shared" si="14"/>
        <v>0</v>
      </c>
      <c r="V23" s="46">
        <f t="shared" si="14"/>
        <v>0</v>
      </c>
      <c r="W23" s="46">
        <f t="shared" si="14"/>
        <v>0</v>
      </c>
      <c r="X23" s="46">
        <f t="shared" si="14"/>
        <v>0</v>
      </c>
      <c r="Y23" s="46">
        <f t="shared" si="14"/>
        <v>0</v>
      </c>
      <c r="Z23" s="46">
        <f t="shared" si="14"/>
        <v>0</v>
      </c>
      <c r="AA23" s="46">
        <f t="shared" si="14"/>
        <v>0</v>
      </c>
      <c r="AB23" s="46">
        <f t="shared" si="14"/>
        <v>0</v>
      </c>
      <c r="AC23" s="46">
        <f t="shared" si="14"/>
        <v>0</v>
      </c>
      <c r="AD23" s="46">
        <f t="shared" si="14"/>
        <v>0</v>
      </c>
      <c r="AE23" s="46">
        <f t="shared" si="14"/>
        <v>0</v>
      </c>
      <c r="AF23" s="46">
        <f t="shared" si="14"/>
        <v>0</v>
      </c>
      <c r="AG23" s="46">
        <f t="shared" si="14"/>
        <v>0</v>
      </c>
      <c r="AH23" s="46">
        <f t="shared" si="14"/>
        <v>0</v>
      </c>
      <c r="AI23" s="46">
        <f t="shared" ref="AI23" si="15">AI22*AI20</f>
        <v>0</v>
      </c>
      <c r="AJ23" s="46">
        <f>SUM(K23:AI23)</f>
        <v>0</v>
      </c>
      <c r="AK23" s="46">
        <f>NPV('Inputs - Fixed'!$F$3,SUM(K23:N23),SUM(O23:R23),SUM(S23:V23),SUM(W23:Z23),AA23,AB23,AC23,AD23,AE23,AF23,AG23,AH23, AI23)</f>
        <v>0</v>
      </c>
    </row>
    <row r="25" spans="2:37">
      <c r="B25" s="43" t="s">
        <v>85</v>
      </c>
      <c r="C25" s="59" t="s">
        <v>87</v>
      </c>
      <c r="D25" s="43"/>
      <c r="F25" s="42" t="s">
        <v>39</v>
      </c>
      <c r="G25" s="42" t="s">
        <v>39</v>
      </c>
      <c r="H25" s="42" t="s">
        <v>39</v>
      </c>
    </row>
    <row r="26" spans="2:37" outlineLevel="1"/>
    <row r="27" spans="2:37" outlineLevel="1">
      <c r="C27" s="41" t="s">
        <v>98</v>
      </c>
      <c r="D27" s="41" t="s">
        <v>35</v>
      </c>
      <c r="I27" s="41" t="s">
        <v>79</v>
      </c>
      <c r="K27" s="44">
        <f>K6</f>
        <v>4.9000000000000004</v>
      </c>
      <c r="L27" s="44">
        <f>K27</f>
        <v>4.9000000000000004</v>
      </c>
      <c r="M27" s="44">
        <f t="shared" ref="M27:M28" si="16">L27</f>
        <v>4.9000000000000004</v>
      </c>
      <c r="N27" s="44">
        <f t="shared" ref="N27:N28" si="17">M27</f>
        <v>4.9000000000000004</v>
      </c>
      <c r="O27" s="44">
        <f t="shared" ref="O27:O28" si="18">N27</f>
        <v>4.9000000000000004</v>
      </c>
      <c r="P27" s="44">
        <f t="shared" ref="P27:P28" si="19">O27</f>
        <v>4.9000000000000004</v>
      </c>
      <c r="Q27" s="44">
        <f t="shared" ref="Q27:Q28" si="20">P27</f>
        <v>4.9000000000000004</v>
      </c>
      <c r="R27" s="44">
        <f t="shared" ref="R27:R28" si="21">Q27</f>
        <v>4.9000000000000004</v>
      </c>
      <c r="S27" s="44">
        <f t="shared" ref="S27:S28" si="22">R27</f>
        <v>4.9000000000000004</v>
      </c>
      <c r="T27" s="44">
        <f t="shared" ref="T27:T28" si="23">S27</f>
        <v>4.9000000000000004</v>
      </c>
      <c r="U27" s="44">
        <f t="shared" ref="U27:U28" si="24">T27</f>
        <v>4.9000000000000004</v>
      </c>
      <c r="V27" s="44">
        <f t="shared" ref="V27:V28" si="25">U27</f>
        <v>4.9000000000000004</v>
      </c>
      <c r="W27" s="44">
        <f t="shared" ref="W27:W28" si="26">V27</f>
        <v>4.9000000000000004</v>
      </c>
      <c r="X27" s="44">
        <f t="shared" ref="X27:X28" si="27">W27</f>
        <v>4.9000000000000004</v>
      </c>
      <c r="Y27" s="44">
        <f t="shared" ref="Y27:Y28" si="28">X27</f>
        <v>4.9000000000000004</v>
      </c>
      <c r="Z27" s="44">
        <f t="shared" ref="Z27:Z28" si="29">Y27</f>
        <v>4.9000000000000004</v>
      </c>
      <c r="AA27" s="44">
        <f t="shared" ref="AA27:AA28" si="30">Z27</f>
        <v>4.9000000000000004</v>
      </c>
      <c r="AB27" s="44">
        <f t="shared" ref="AB27:AB28" si="31">AA27</f>
        <v>4.9000000000000004</v>
      </c>
      <c r="AC27" s="44">
        <f t="shared" ref="AC27:AC28" si="32">AB27</f>
        <v>4.9000000000000004</v>
      </c>
      <c r="AD27" s="44">
        <f t="shared" ref="AD27:AD28" si="33">AC27</f>
        <v>4.9000000000000004</v>
      </c>
      <c r="AE27" s="44">
        <f t="shared" ref="AE27:AE28" si="34">AD27</f>
        <v>4.9000000000000004</v>
      </c>
      <c r="AF27" s="44">
        <f t="shared" ref="AF27:AF28" si="35">AE27</f>
        <v>4.9000000000000004</v>
      </c>
      <c r="AG27" s="44">
        <f t="shared" ref="AG27:AG28" si="36">AF27</f>
        <v>4.9000000000000004</v>
      </c>
      <c r="AH27" s="44">
        <f>AG27</f>
        <v>4.9000000000000004</v>
      </c>
      <c r="AI27" s="44">
        <f>AH27</f>
        <v>4.9000000000000004</v>
      </c>
    </row>
    <row r="28" spans="2:37" outlineLevel="1">
      <c r="B28" s="41" t="s">
        <v>36</v>
      </c>
      <c r="C28" s="41" t="s">
        <v>99</v>
      </c>
      <c r="D28" s="41" t="s">
        <v>5</v>
      </c>
      <c r="I28" s="41" t="s">
        <v>38</v>
      </c>
      <c r="K28" s="50">
        <f>1-SUM('Inputs - Fixed'!F7:F10)</f>
        <v>0.94369999999999998</v>
      </c>
      <c r="L28" s="45">
        <f>K28</f>
        <v>0.94369999999999998</v>
      </c>
      <c r="M28" s="45">
        <f t="shared" si="16"/>
        <v>0.94369999999999998</v>
      </c>
      <c r="N28" s="45">
        <f t="shared" si="17"/>
        <v>0.94369999999999998</v>
      </c>
      <c r="O28" s="45">
        <f t="shared" si="18"/>
        <v>0.94369999999999998</v>
      </c>
      <c r="P28" s="45">
        <f t="shared" si="19"/>
        <v>0.94369999999999998</v>
      </c>
      <c r="Q28" s="45">
        <f t="shared" si="20"/>
        <v>0.94369999999999998</v>
      </c>
      <c r="R28" s="45">
        <f t="shared" si="21"/>
        <v>0.94369999999999998</v>
      </c>
      <c r="S28" s="45">
        <f t="shared" si="22"/>
        <v>0.94369999999999998</v>
      </c>
      <c r="T28" s="45">
        <f t="shared" si="23"/>
        <v>0.94369999999999998</v>
      </c>
      <c r="U28" s="45">
        <f t="shared" si="24"/>
        <v>0.94369999999999998</v>
      </c>
      <c r="V28" s="45">
        <f t="shared" si="25"/>
        <v>0.94369999999999998</v>
      </c>
      <c r="W28" s="45">
        <f t="shared" si="26"/>
        <v>0.94369999999999998</v>
      </c>
      <c r="X28" s="45">
        <f t="shared" si="27"/>
        <v>0.94369999999999998</v>
      </c>
      <c r="Y28" s="45">
        <f t="shared" si="28"/>
        <v>0.94369999999999998</v>
      </c>
      <c r="Z28" s="45">
        <f t="shared" si="29"/>
        <v>0.94369999999999998</v>
      </c>
      <c r="AA28" s="45">
        <f t="shared" si="30"/>
        <v>0.94369999999999998</v>
      </c>
      <c r="AB28" s="45">
        <f t="shared" si="31"/>
        <v>0.94369999999999998</v>
      </c>
      <c r="AC28" s="45">
        <f t="shared" si="32"/>
        <v>0.94369999999999998</v>
      </c>
      <c r="AD28" s="45">
        <f t="shared" si="33"/>
        <v>0.94369999999999998</v>
      </c>
      <c r="AE28" s="45">
        <f t="shared" si="34"/>
        <v>0.94369999999999998</v>
      </c>
      <c r="AF28" s="45">
        <f t="shared" si="35"/>
        <v>0.94369999999999998</v>
      </c>
      <c r="AG28" s="45">
        <f t="shared" si="36"/>
        <v>0.94369999999999998</v>
      </c>
      <c r="AH28" s="45">
        <f>AG28</f>
        <v>0.94369999999999998</v>
      </c>
      <c r="AI28" s="45">
        <f>AH28</f>
        <v>0.94369999999999998</v>
      </c>
    </row>
    <row r="29" spans="2:37" outlineLevel="1">
      <c r="B29" s="41" t="s">
        <v>39</v>
      </c>
      <c r="C29" s="41" t="s">
        <v>100</v>
      </c>
      <c r="D29" s="41" t="s">
        <v>41</v>
      </c>
      <c r="I29" s="41" t="s">
        <v>80</v>
      </c>
      <c r="K29" s="44">
        <f>'Inputs - Project Specific'!$G$4</f>
        <v>0.95</v>
      </c>
      <c r="L29" s="44">
        <f>'Inputs - Project Specific'!$G$4</f>
        <v>0.95</v>
      </c>
      <c r="M29" s="44">
        <f>'Inputs - Project Specific'!$G$4</f>
        <v>0.95</v>
      </c>
      <c r="N29" s="44">
        <f>'Inputs - Project Specific'!$G$4</f>
        <v>0.95</v>
      </c>
      <c r="O29" s="44">
        <f>'Inputs - Project Specific'!$G$4</f>
        <v>0.95</v>
      </c>
      <c r="P29" s="44">
        <f>'Inputs - Project Specific'!$G$4</f>
        <v>0.95</v>
      </c>
      <c r="Q29" s="44">
        <f>'Inputs - Project Specific'!$G$4</f>
        <v>0.95</v>
      </c>
      <c r="R29" s="44">
        <f>'Inputs - Project Specific'!$G$4</f>
        <v>0.95</v>
      </c>
      <c r="S29" s="44">
        <f>'Inputs - Project Specific'!$G$4</f>
        <v>0.95</v>
      </c>
      <c r="T29" s="44">
        <f>'Inputs - Project Specific'!$G$4</f>
        <v>0.95</v>
      </c>
      <c r="U29" s="44">
        <f>'Inputs - Project Specific'!$G$4</f>
        <v>0.95</v>
      </c>
      <c r="V29" s="44">
        <f>'Inputs - Project Specific'!$G$4</f>
        <v>0.95</v>
      </c>
      <c r="W29" s="44">
        <f>'Inputs - Project Specific'!$G$4</f>
        <v>0.95</v>
      </c>
      <c r="X29" s="44">
        <f>'Inputs - Project Specific'!$G$4</f>
        <v>0.95</v>
      </c>
      <c r="Y29" s="44">
        <f>'Inputs - Project Specific'!$G$4</f>
        <v>0.95</v>
      </c>
      <c r="Z29" s="44">
        <f>'Inputs - Project Specific'!$G$4</f>
        <v>0.95</v>
      </c>
      <c r="AA29" s="44">
        <f>'Inputs - Project Specific'!$G$4</f>
        <v>0.95</v>
      </c>
      <c r="AB29" s="44">
        <f>'Inputs - Project Specific'!$G$4</f>
        <v>0.95</v>
      </c>
      <c r="AC29" s="44">
        <f>'Inputs - Project Specific'!$G$4</f>
        <v>0.95</v>
      </c>
      <c r="AD29" s="44">
        <f>'Inputs - Project Specific'!$G$4</f>
        <v>0.95</v>
      </c>
      <c r="AE29" s="44">
        <f>'Inputs - Project Specific'!$G$4</f>
        <v>0.95</v>
      </c>
      <c r="AF29" s="44">
        <f>'Inputs - Project Specific'!$G$4</f>
        <v>0.95</v>
      </c>
      <c r="AG29" s="44">
        <f>'Inputs - Project Specific'!$G$4</f>
        <v>0.95</v>
      </c>
      <c r="AH29" s="44">
        <f>'Inputs - Project Specific'!$G$4</f>
        <v>0.95</v>
      </c>
      <c r="AI29" s="44">
        <f>'Inputs - Project Specific'!$G$4</f>
        <v>0.95</v>
      </c>
    </row>
    <row r="30" spans="2:37" outlineLevel="1">
      <c r="B30" s="41" t="s">
        <v>39</v>
      </c>
      <c r="C30" s="41" t="s">
        <v>101</v>
      </c>
      <c r="D30" s="41" t="s">
        <v>41</v>
      </c>
      <c r="I30" s="41" t="s">
        <v>80</v>
      </c>
      <c r="K30" s="44">
        <f>'Inputs - Project Specific'!$G$6</f>
        <v>0.95</v>
      </c>
      <c r="L30" s="44">
        <f>'Inputs - Project Specific'!$G$6</f>
        <v>0.95</v>
      </c>
      <c r="M30" s="44">
        <f>'Inputs - Project Specific'!$G$6</f>
        <v>0.95</v>
      </c>
      <c r="N30" s="44">
        <f>'Inputs - Project Specific'!$G$6</f>
        <v>0.95</v>
      </c>
      <c r="O30" s="44">
        <f>'Inputs - Project Specific'!$G$6</f>
        <v>0.95</v>
      </c>
      <c r="P30" s="44">
        <f>'Inputs - Project Specific'!$G$6</f>
        <v>0.95</v>
      </c>
      <c r="Q30" s="44">
        <f>'Inputs - Project Specific'!$G$6</f>
        <v>0.95</v>
      </c>
      <c r="R30" s="44">
        <f>'Inputs - Project Specific'!$G$6</f>
        <v>0.95</v>
      </c>
      <c r="S30" s="44">
        <f>'Inputs - Project Specific'!$G$6</f>
        <v>0.95</v>
      </c>
      <c r="T30" s="44">
        <f>'Inputs - Project Specific'!$G$6</f>
        <v>0.95</v>
      </c>
      <c r="U30" s="44">
        <f>'Inputs - Project Specific'!$G$6</f>
        <v>0.95</v>
      </c>
      <c r="V30" s="44">
        <f>'Inputs - Project Specific'!$G$6</f>
        <v>0.95</v>
      </c>
      <c r="W30" s="44">
        <f>'Inputs - Project Specific'!$G$6</f>
        <v>0.95</v>
      </c>
      <c r="X30" s="44">
        <f>'Inputs - Project Specific'!$G$6</f>
        <v>0.95</v>
      </c>
      <c r="Y30" s="44">
        <f>'Inputs - Project Specific'!$G$6</f>
        <v>0.95</v>
      </c>
      <c r="Z30" s="44">
        <f>'Inputs - Project Specific'!$G$6</f>
        <v>0.95</v>
      </c>
      <c r="AA30" s="44">
        <f>'Inputs - Project Specific'!$G$6</f>
        <v>0.95</v>
      </c>
      <c r="AB30" s="44">
        <f>'Inputs - Project Specific'!$G$6</f>
        <v>0.95</v>
      </c>
      <c r="AC30" s="44">
        <f>'Inputs - Project Specific'!$G$6</f>
        <v>0.95</v>
      </c>
      <c r="AD30" s="44">
        <f>'Inputs - Project Specific'!$G$6</f>
        <v>0.95</v>
      </c>
      <c r="AE30" s="44">
        <f>'Inputs - Project Specific'!$G$6</f>
        <v>0.95</v>
      </c>
      <c r="AF30" s="44">
        <f>'Inputs - Project Specific'!$G$6</f>
        <v>0.95</v>
      </c>
      <c r="AG30" s="44">
        <f>'Inputs - Project Specific'!$G$6</f>
        <v>0.95</v>
      </c>
      <c r="AH30" s="44">
        <f>'Inputs - Project Specific'!$G$6</f>
        <v>0.95</v>
      </c>
      <c r="AI30" s="44">
        <f>'Inputs - Project Specific'!$G$6</f>
        <v>0.95</v>
      </c>
    </row>
    <row r="31" spans="2:37" outlineLevel="1">
      <c r="B31" s="41" t="s">
        <v>39</v>
      </c>
      <c r="C31" s="41" t="s">
        <v>102</v>
      </c>
      <c r="D31" s="41" t="s">
        <v>44</v>
      </c>
      <c r="I31" s="41" t="s">
        <v>80</v>
      </c>
      <c r="K31" s="44">
        <f>'Inputs - Fixed'!D76</f>
        <v>23.46</v>
      </c>
      <c r="L31" s="44">
        <f>K31</f>
        <v>23.46</v>
      </c>
      <c r="M31" s="44">
        <f t="shared" ref="M31" si="37">L31</f>
        <v>23.46</v>
      </c>
      <c r="N31" s="44">
        <f t="shared" ref="N31" si="38">M31</f>
        <v>23.46</v>
      </c>
      <c r="O31" s="44">
        <f>'Inputs - Fixed'!E76</f>
        <v>23.93</v>
      </c>
      <c r="P31" s="44">
        <f>O31</f>
        <v>23.93</v>
      </c>
      <c r="Q31" s="44">
        <f t="shared" ref="Q31" si="39">P31</f>
        <v>23.93</v>
      </c>
      <c r="R31" s="44">
        <f t="shared" ref="R31" si="40">Q31</f>
        <v>23.93</v>
      </c>
      <c r="S31" s="44">
        <f>'Inputs - Fixed'!F76</f>
        <v>24.41</v>
      </c>
      <c r="T31" s="44">
        <f>S31</f>
        <v>24.41</v>
      </c>
      <c r="U31" s="44">
        <f t="shared" ref="U31" si="41">T31</f>
        <v>24.41</v>
      </c>
      <c r="V31" s="44">
        <f t="shared" ref="V31" si="42">U31</f>
        <v>24.41</v>
      </c>
      <c r="W31" s="44">
        <f>'Inputs - Fixed'!G76</f>
        <v>24.9</v>
      </c>
      <c r="X31" s="44">
        <f>W31</f>
        <v>24.9</v>
      </c>
      <c r="Y31" s="44">
        <f t="shared" ref="Y31" si="43">X31</f>
        <v>24.9</v>
      </c>
      <c r="Z31" s="44">
        <f t="shared" ref="Z31" si="44">Y31</f>
        <v>24.9</v>
      </c>
      <c r="AA31" s="44">
        <f>'Inputs - Fixed'!H76</f>
        <v>25.39</v>
      </c>
      <c r="AB31" s="44">
        <f>'Inputs - Fixed'!I76</f>
        <v>25.9</v>
      </c>
      <c r="AC31" s="44">
        <f>'Inputs - Fixed'!J76</f>
        <v>26.42</v>
      </c>
      <c r="AD31" s="44">
        <f>'Inputs - Fixed'!K76</f>
        <v>26.95</v>
      </c>
      <c r="AE31" s="44">
        <f>'Inputs - Fixed'!L76</f>
        <v>27.49</v>
      </c>
      <c r="AF31" s="44">
        <f>'Inputs - Fixed'!M76</f>
        <v>28.04</v>
      </c>
      <c r="AG31" s="44">
        <f>'Inputs - Fixed'!N76</f>
        <v>28.6</v>
      </c>
      <c r="AH31" s="44">
        <f>'Inputs - Fixed'!O76</f>
        <v>29.17</v>
      </c>
      <c r="AI31" s="44">
        <f>'Inputs - Fixed'!P76</f>
        <v>29.75</v>
      </c>
    </row>
    <row r="32" spans="2:37" outlineLevel="1">
      <c r="B32" s="41" t="s">
        <v>39</v>
      </c>
      <c r="C32" s="41" t="s">
        <v>45</v>
      </c>
      <c r="D32" s="41" t="s">
        <v>46</v>
      </c>
      <c r="I32" s="41" t="s">
        <v>47</v>
      </c>
      <c r="K32" s="41">
        <v>1000</v>
      </c>
      <c r="L32" s="41">
        <v>1000</v>
      </c>
      <c r="M32" s="41">
        <v>1000</v>
      </c>
      <c r="N32" s="41">
        <v>1000</v>
      </c>
      <c r="O32" s="41">
        <v>1000</v>
      </c>
      <c r="P32" s="41">
        <v>1000</v>
      </c>
      <c r="Q32" s="41">
        <v>1000</v>
      </c>
      <c r="R32" s="41">
        <v>1000</v>
      </c>
      <c r="S32" s="41">
        <v>1000</v>
      </c>
      <c r="T32" s="41">
        <v>1000</v>
      </c>
      <c r="U32" s="41">
        <v>1000</v>
      </c>
      <c r="V32" s="41">
        <v>1000</v>
      </c>
      <c r="W32" s="41">
        <v>1000</v>
      </c>
      <c r="X32" s="41">
        <v>1000</v>
      </c>
      <c r="Y32" s="41">
        <v>1000</v>
      </c>
      <c r="Z32" s="41">
        <v>1000</v>
      </c>
      <c r="AA32" s="41">
        <v>1000</v>
      </c>
      <c r="AB32" s="41">
        <v>1000</v>
      </c>
      <c r="AC32" s="41">
        <v>1000</v>
      </c>
      <c r="AD32" s="41">
        <v>1000</v>
      </c>
      <c r="AE32" s="41">
        <v>1000</v>
      </c>
      <c r="AF32" s="41">
        <v>1000</v>
      </c>
      <c r="AG32" s="41">
        <v>1000</v>
      </c>
      <c r="AH32" s="41">
        <v>1000</v>
      </c>
      <c r="AI32" s="41">
        <v>1000</v>
      </c>
    </row>
    <row r="33" spans="2:37" outlineLevel="1">
      <c r="B33" s="41" t="s">
        <v>39</v>
      </c>
      <c r="C33" s="41" t="s">
        <v>48</v>
      </c>
      <c r="I33" s="41" t="s">
        <v>47</v>
      </c>
      <c r="K33" s="41">
        <f>K22</f>
        <v>0</v>
      </c>
      <c r="L33" s="41">
        <f t="shared" ref="L33:AI33" si="45">L22</f>
        <v>0.25</v>
      </c>
      <c r="M33" s="41">
        <f t="shared" si="45"/>
        <v>0.25</v>
      </c>
      <c r="N33" s="41">
        <f t="shared" si="45"/>
        <v>0.25</v>
      </c>
      <c r="O33" s="41">
        <f t="shared" si="45"/>
        <v>0.25</v>
      </c>
      <c r="P33" s="41">
        <f t="shared" si="45"/>
        <v>0</v>
      </c>
      <c r="Q33" s="41">
        <f t="shared" si="45"/>
        <v>0.25</v>
      </c>
      <c r="R33" s="41">
        <f t="shared" si="45"/>
        <v>0.25</v>
      </c>
      <c r="S33" s="41">
        <f t="shared" si="45"/>
        <v>0.25</v>
      </c>
      <c r="T33" s="41">
        <f t="shared" si="45"/>
        <v>0.25</v>
      </c>
      <c r="U33" s="41">
        <f t="shared" si="45"/>
        <v>0.25</v>
      </c>
      <c r="V33" s="41">
        <f t="shared" si="45"/>
        <v>0.25</v>
      </c>
      <c r="W33" s="41">
        <f t="shared" si="45"/>
        <v>0.25</v>
      </c>
      <c r="X33" s="41">
        <f t="shared" si="45"/>
        <v>0.25</v>
      </c>
      <c r="Y33" s="41">
        <f t="shared" si="45"/>
        <v>0.25</v>
      </c>
      <c r="Z33" s="41">
        <f t="shared" si="45"/>
        <v>0.25</v>
      </c>
      <c r="AA33" s="41">
        <f t="shared" si="45"/>
        <v>1</v>
      </c>
      <c r="AB33" s="41">
        <f t="shared" si="45"/>
        <v>1</v>
      </c>
      <c r="AC33" s="41">
        <f t="shared" si="45"/>
        <v>1</v>
      </c>
      <c r="AD33" s="41">
        <f t="shared" si="45"/>
        <v>1</v>
      </c>
      <c r="AE33" s="41">
        <f t="shared" si="45"/>
        <v>1</v>
      </c>
      <c r="AF33" s="41">
        <f t="shared" si="45"/>
        <v>1</v>
      </c>
      <c r="AG33" s="41">
        <f t="shared" si="45"/>
        <v>0</v>
      </c>
      <c r="AH33" s="41">
        <f t="shared" si="45"/>
        <v>0</v>
      </c>
      <c r="AI33" s="41">
        <f t="shared" si="45"/>
        <v>0</v>
      </c>
    </row>
    <row r="34" spans="2:37">
      <c r="C34" s="58" t="s">
        <v>272</v>
      </c>
      <c r="D34" s="41" t="s">
        <v>13</v>
      </c>
      <c r="E34" s="41" t="s">
        <v>50</v>
      </c>
      <c r="F34" s="42"/>
      <c r="G34" s="42"/>
      <c r="H34" s="42"/>
      <c r="K34" s="46">
        <f>K27/K28*K29*K30*K31*K32*K33</f>
        <v>0</v>
      </c>
      <c r="L34" s="46">
        <f t="shared" ref="L34:AH34" si="46">L27/L28*L29*L30*L31*L32*L33</f>
        <v>27483.836229734028</v>
      </c>
      <c r="M34" s="46">
        <f t="shared" si="46"/>
        <v>27483.836229734028</v>
      </c>
      <c r="N34" s="46">
        <f t="shared" si="46"/>
        <v>27483.836229734028</v>
      </c>
      <c r="O34" s="46">
        <f t="shared" si="46"/>
        <v>28034.450169545406</v>
      </c>
      <c r="P34" s="46">
        <f t="shared" si="46"/>
        <v>0</v>
      </c>
      <c r="Q34" s="46">
        <f t="shared" si="46"/>
        <v>28034.450169545406</v>
      </c>
      <c r="R34" s="46">
        <f t="shared" si="46"/>
        <v>28034.450169545406</v>
      </c>
      <c r="S34" s="46">
        <f t="shared" si="46"/>
        <v>28596.77929956554</v>
      </c>
      <c r="T34" s="46">
        <f t="shared" si="46"/>
        <v>28596.77929956554</v>
      </c>
      <c r="U34" s="46">
        <f t="shared" si="46"/>
        <v>28596.77929956554</v>
      </c>
      <c r="V34" s="46">
        <f t="shared" si="46"/>
        <v>28596.77929956554</v>
      </c>
      <c r="W34" s="46">
        <f t="shared" si="46"/>
        <v>29170.823619794424</v>
      </c>
      <c r="X34" s="46">
        <f t="shared" si="46"/>
        <v>29170.823619794424</v>
      </c>
      <c r="Y34" s="46">
        <f t="shared" si="46"/>
        <v>29170.823619794424</v>
      </c>
      <c r="Z34" s="46">
        <f t="shared" si="46"/>
        <v>29170.823619794424</v>
      </c>
      <c r="AA34" s="46">
        <f t="shared" si="46"/>
        <v>118979.47176009325</v>
      </c>
      <c r="AB34" s="46">
        <f t="shared" si="46"/>
        <v>121369.37056267881</v>
      </c>
      <c r="AC34" s="46">
        <f t="shared" si="46"/>
        <v>123806.13012609941</v>
      </c>
      <c r="AD34" s="46">
        <f t="shared" si="46"/>
        <v>126289.75045035499</v>
      </c>
      <c r="AE34" s="46">
        <f t="shared" si="46"/>
        <v>128820.23153544558</v>
      </c>
      <c r="AF34" s="46">
        <f t="shared" si="46"/>
        <v>131397.57338137118</v>
      </c>
      <c r="AG34" s="46">
        <f t="shared" si="46"/>
        <v>0</v>
      </c>
      <c r="AH34" s="46">
        <f t="shared" si="46"/>
        <v>0</v>
      </c>
      <c r="AI34" s="46">
        <f t="shared" ref="AI34" si="47">AI27/AI28*AI29*AI30*AI31*AI32*AI33</f>
        <v>0</v>
      </c>
      <c r="AJ34" s="46">
        <f>SUM(K34:AI34)</f>
        <v>1148287.7986913214</v>
      </c>
      <c r="AK34" s="46">
        <f>NPV('Inputs - Fixed'!$F$3,SUM(K34:N34),SUM(O34:R34),SUM(S34:V34),SUM(W34:Z34),AA34,AB34,AC34,AD34,AE34,AF34,AG34,AH34,AI34)</f>
        <v>791993.83233516768</v>
      </c>
    </row>
    <row r="36" spans="2:37">
      <c r="B36" s="43" t="s">
        <v>103</v>
      </c>
      <c r="C36" s="43" t="s">
        <v>104</v>
      </c>
      <c r="D36" s="43"/>
      <c r="F36" s="42" t="s">
        <v>39</v>
      </c>
      <c r="G36" s="42" t="s">
        <v>39</v>
      </c>
      <c r="H36" s="42" t="s">
        <v>39</v>
      </c>
    </row>
    <row r="37" spans="2:37" hidden="1" outlineLevel="1">
      <c r="C37" s="41" t="s">
        <v>105</v>
      </c>
    </row>
    <row r="38" spans="2:37" hidden="1" outlineLevel="1">
      <c r="C38" s="41" t="s">
        <v>106</v>
      </c>
    </row>
    <row r="39" spans="2:37" collapsed="1"/>
    <row r="40" spans="2:37">
      <c r="B40" s="43" t="s">
        <v>118</v>
      </c>
      <c r="C40" s="43" t="s">
        <v>184</v>
      </c>
      <c r="D40" s="43"/>
      <c r="F40" s="42" t="s">
        <v>39</v>
      </c>
      <c r="G40" s="42" t="s">
        <v>39</v>
      </c>
      <c r="H40" s="42" t="s">
        <v>39</v>
      </c>
    </row>
    <row r="41" spans="2:37" outlineLevel="1"/>
    <row r="42" spans="2:37" outlineLevel="1">
      <c r="C42" s="41" t="s">
        <v>179</v>
      </c>
      <c r="D42" s="41" t="s">
        <v>8</v>
      </c>
      <c r="I42" s="41" t="s">
        <v>79</v>
      </c>
      <c r="K42" s="44">
        <f>'Inputs - Project Specific'!$G$33</f>
        <v>4.9000000000000004</v>
      </c>
      <c r="L42" s="44">
        <f>K42</f>
        <v>4.9000000000000004</v>
      </c>
      <c r="M42" s="44">
        <f t="shared" ref="M42:AG42" si="48">L42</f>
        <v>4.9000000000000004</v>
      </c>
      <c r="N42" s="44">
        <f t="shared" si="48"/>
        <v>4.9000000000000004</v>
      </c>
      <c r="O42" s="44">
        <f t="shared" si="48"/>
        <v>4.9000000000000004</v>
      </c>
      <c r="P42" s="44">
        <f t="shared" si="48"/>
        <v>4.9000000000000004</v>
      </c>
      <c r="Q42" s="44">
        <f t="shared" si="48"/>
        <v>4.9000000000000004</v>
      </c>
      <c r="R42" s="44">
        <f t="shared" si="48"/>
        <v>4.9000000000000004</v>
      </c>
      <c r="S42" s="44">
        <f t="shared" si="48"/>
        <v>4.9000000000000004</v>
      </c>
      <c r="T42" s="44">
        <f t="shared" si="48"/>
        <v>4.9000000000000004</v>
      </c>
      <c r="U42" s="44">
        <f t="shared" si="48"/>
        <v>4.9000000000000004</v>
      </c>
      <c r="V42" s="44">
        <f t="shared" si="48"/>
        <v>4.9000000000000004</v>
      </c>
      <c r="W42" s="44">
        <f t="shared" si="48"/>
        <v>4.9000000000000004</v>
      </c>
      <c r="X42" s="44">
        <f t="shared" si="48"/>
        <v>4.9000000000000004</v>
      </c>
      <c r="Y42" s="44">
        <f t="shared" si="48"/>
        <v>4.9000000000000004</v>
      </c>
      <c r="Z42" s="44">
        <f t="shared" si="48"/>
        <v>4.9000000000000004</v>
      </c>
      <c r="AA42" s="44">
        <f t="shared" si="48"/>
        <v>4.9000000000000004</v>
      </c>
      <c r="AB42" s="44">
        <f t="shared" si="48"/>
        <v>4.9000000000000004</v>
      </c>
      <c r="AC42" s="44">
        <f t="shared" si="48"/>
        <v>4.9000000000000004</v>
      </c>
      <c r="AD42" s="44">
        <f t="shared" si="48"/>
        <v>4.9000000000000004</v>
      </c>
      <c r="AE42" s="44">
        <f t="shared" si="48"/>
        <v>4.9000000000000004</v>
      </c>
      <c r="AF42" s="44">
        <f t="shared" si="48"/>
        <v>4.9000000000000004</v>
      </c>
      <c r="AG42" s="44">
        <f t="shared" si="48"/>
        <v>4.9000000000000004</v>
      </c>
      <c r="AH42" s="44">
        <f>AG42</f>
        <v>4.9000000000000004</v>
      </c>
      <c r="AI42" s="44">
        <f>AH42</f>
        <v>4.9000000000000004</v>
      </c>
    </row>
    <row r="43" spans="2:37" outlineLevel="1">
      <c r="B43" s="41" t="s">
        <v>39</v>
      </c>
      <c r="C43" s="41" t="s">
        <v>177</v>
      </c>
      <c r="D43" s="41" t="s">
        <v>163</v>
      </c>
      <c r="I43" s="41" t="s">
        <v>79</v>
      </c>
      <c r="K43" s="51">
        <f>'Inputs - Project Specific'!$G$36</f>
        <v>6954</v>
      </c>
      <c r="L43" s="51">
        <f>'Inputs - Project Specific'!$G$36</f>
        <v>6954</v>
      </c>
      <c r="M43" s="51">
        <f>'Inputs - Project Specific'!$G$36</f>
        <v>6954</v>
      </c>
      <c r="N43" s="51">
        <f>'Inputs - Project Specific'!$G$36</f>
        <v>6954</v>
      </c>
      <c r="O43" s="51">
        <f>'Inputs - Project Specific'!$G$36</f>
        <v>6954</v>
      </c>
      <c r="P43" s="51">
        <f>'Inputs - Project Specific'!$G$36</f>
        <v>6954</v>
      </c>
      <c r="Q43" s="51">
        <f>'Inputs - Project Specific'!$G$36</f>
        <v>6954</v>
      </c>
      <c r="R43" s="51">
        <f>'Inputs - Project Specific'!$G$36</f>
        <v>6954</v>
      </c>
      <c r="S43" s="51">
        <f>'Inputs - Project Specific'!$G$36</f>
        <v>6954</v>
      </c>
      <c r="T43" s="51">
        <f>'Inputs - Project Specific'!$G$36</f>
        <v>6954</v>
      </c>
      <c r="U43" s="51">
        <f>'Inputs - Project Specific'!$G$36</f>
        <v>6954</v>
      </c>
      <c r="V43" s="51">
        <f>'Inputs - Project Specific'!$G$36</f>
        <v>6954</v>
      </c>
      <c r="W43" s="51">
        <f>'Inputs - Project Specific'!$G$36</f>
        <v>6954</v>
      </c>
      <c r="X43" s="51">
        <f>'Inputs - Project Specific'!$G$36</f>
        <v>6954</v>
      </c>
      <c r="Y43" s="51">
        <f>'Inputs - Project Specific'!$G$36</f>
        <v>6954</v>
      </c>
      <c r="Z43" s="51">
        <f>'Inputs - Project Specific'!$G$36</f>
        <v>6954</v>
      </c>
      <c r="AA43" s="51">
        <f>'Inputs - Project Specific'!$G$36</f>
        <v>6954</v>
      </c>
      <c r="AB43" s="51">
        <f>'Inputs - Project Specific'!$G$36</f>
        <v>6954</v>
      </c>
      <c r="AC43" s="51">
        <f>'Inputs - Project Specific'!$G$36</f>
        <v>6954</v>
      </c>
      <c r="AD43" s="51">
        <f>'Inputs - Project Specific'!$G$36</f>
        <v>6954</v>
      </c>
      <c r="AE43" s="51">
        <f>'Inputs - Project Specific'!$G$36</f>
        <v>6954</v>
      </c>
      <c r="AF43" s="51">
        <f>'Inputs - Project Specific'!$G$36</f>
        <v>6954</v>
      </c>
      <c r="AG43" s="51">
        <f>'Inputs - Project Specific'!$G$36</f>
        <v>6954</v>
      </c>
      <c r="AH43" s="51">
        <f>'Inputs - Project Specific'!$G$36</f>
        <v>6954</v>
      </c>
      <c r="AI43" s="51">
        <f>'Inputs - Project Specific'!$G$36</f>
        <v>6954</v>
      </c>
    </row>
    <row r="44" spans="2:37" outlineLevel="1">
      <c r="B44" s="41" t="s">
        <v>169</v>
      </c>
      <c r="C44" s="41" t="s">
        <v>175</v>
      </c>
      <c r="D44" s="41" t="s">
        <v>20</v>
      </c>
      <c r="I44" s="41" t="s">
        <v>80</v>
      </c>
      <c r="K44" s="44">
        <f>'Inputs - Fixed'!$F$4</f>
        <v>11.034718607306001</v>
      </c>
      <c r="L44" s="44">
        <f>'Inputs - Fixed'!$F$4</f>
        <v>11.034718607306001</v>
      </c>
      <c r="M44" s="44">
        <f>'Inputs - Fixed'!$F$4</f>
        <v>11.034718607306001</v>
      </c>
      <c r="N44" s="44">
        <f>'Inputs - Fixed'!$F$4</f>
        <v>11.034718607306001</v>
      </c>
      <c r="O44" s="44">
        <f>'Inputs - Fixed'!$F$4</f>
        <v>11.034718607306001</v>
      </c>
      <c r="P44" s="44">
        <f>'Inputs - Fixed'!$F$4</f>
        <v>11.034718607306001</v>
      </c>
      <c r="Q44" s="44">
        <f>'Inputs - Fixed'!$F$4</f>
        <v>11.034718607306001</v>
      </c>
      <c r="R44" s="44">
        <f>'Inputs - Fixed'!$F$4</f>
        <v>11.034718607306001</v>
      </c>
      <c r="S44" s="44">
        <f>'Inputs - Fixed'!$F$4</f>
        <v>11.034718607306001</v>
      </c>
      <c r="T44" s="44">
        <f>'Inputs - Fixed'!$F$4</f>
        <v>11.034718607306001</v>
      </c>
      <c r="U44" s="44">
        <f>'Inputs - Fixed'!$F$4</f>
        <v>11.034718607306001</v>
      </c>
      <c r="V44" s="44">
        <f>'Inputs - Fixed'!$F$4</f>
        <v>11.034718607306001</v>
      </c>
      <c r="W44" s="44">
        <f>'Inputs - Fixed'!$F$4</f>
        <v>11.034718607306001</v>
      </c>
      <c r="X44" s="44">
        <f>'Inputs - Fixed'!$F$4</f>
        <v>11.034718607306001</v>
      </c>
      <c r="Y44" s="44">
        <f>'Inputs - Fixed'!$F$4</f>
        <v>11.034718607306001</v>
      </c>
      <c r="Z44" s="44">
        <f>'Inputs - Fixed'!$F$4</f>
        <v>11.034718607306001</v>
      </c>
      <c r="AA44" s="44">
        <f>'Inputs - Fixed'!$F$4</f>
        <v>11.034718607306001</v>
      </c>
      <c r="AB44" s="44">
        <f>'Inputs - Fixed'!$F$4</f>
        <v>11.034718607306001</v>
      </c>
      <c r="AC44" s="44">
        <f>'Inputs - Fixed'!$F$4</f>
        <v>11.034718607306001</v>
      </c>
      <c r="AD44" s="44">
        <f>'Inputs - Fixed'!$F$4</f>
        <v>11.034718607306001</v>
      </c>
      <c r="AE44" s="44">
        <f>'Inputs - Fixed'!$F$4</f>
        <v>11.034718607306001</v>
      </c>
      <c r="AF44" s="44">
        <f>'Inputs - Fixed'!$F$4</f>
        <v>11.034718607306001</v>
      </c>
      <c r="AG44" s="44">
        <f>'Inputs - Fixed'!$F$4</f>
        <v>11.034718607306001</v>
      </c>
      <c r="AH44" s="44">
        <f>'Inputs - Fixed'!$F$4</f>
        <v>11.034718607306001</v>
      </c>
      <c r="AI44" s="44">
        <f>'Inputs - Fixed'!$F$4</f>
        <v>11.034718607306001</v>
      </c>
    </row>
    <row r="45" spans="2:37" outlineLevel="1">
      <c r="B45" s="41" t="s">
        <v>170</v>
      </c>
      <c r="C45" s="41" t="s">
        <v>176</v>
      </c>
      <c r="D45" s="41" t="s">
        <v>164</v>
      </c>
      <c r="I45" s="41" t="s">
        <v>80</v>
      </c>
      <c r="K45" s="44">
        <f>'Inputs - Fixed'!$F$5</f>
        <v>0.20959417799999999</v>
      </c>
      <c r="L45" s="44">
        <f>'Inputs - Fixed'!$F$5</f>
        <v>0.20959417799999999</v>
      </c>
      <c r="M45" s="44">
        <f>'Inputs - Fixed'!$F$5</f>
        <v>0.20959417799999999</v>
      </c>
      <c r="N45" s="44">
        <f>'Inputs - Fixed'!$F$5</f>
        <v>0.20959417799999999</v>
      </c>
      <c r="O45" s="44">
        <f>'Inputs - Fixed'!$F$5</f>
        <v>0.20959417799999999</v>
      </c>
      <c r="P45" s="44">
        <f>'Inputs - Fixed'!$F$5</f>
        <v>0.20959417799999999</v>
      </c>
      <c r="Q45" s="44">
        <f>'Inputs - Fixed'!$F$5</f>
        <v>0.20959417799999999</v>
      </c>
      <c r="R45" s="44">
        <f>'Inputs - Fixed'!$F$5</f>
        <v>0.20959417799999999</v>
      </c>
      <c r="S45" s="44">
        <f>'Inputs - Fixed'!$F$5</f>
        <v>0.20959417799999999</v>
      </c>
      <c r="T45" s="44">
        <f>'Inputs - Fixed'!$F$5</f>
        <v>0.20959417799999999</v>
      </c>
      <c r="U45" s="44">
        <f>'Inputs - Fixed'!$F$5</f>
        <v>0.20959417799999999</v>
      </c>
      <c r="V45" s="44">
        <f>'Inputs - Fixed'!$F$5</f>
        <v>0.20959417799999999</v>
      </c>
      <c r="W45" s="44">
        <f>'Inputs - Fixed'!$F$5</f>
        <v>0.20959417799999999</v>
      </c>
      <c r="X45" s="44">
        <f>'Inputs - Fixed'!$F$5</f>
        <v>0.20959417799999999</v>
      </c>
      <c r="Y45" s="44">
        <f>'Inputs - Fixed'!$F$5</f>
        <v>0.20959417799999999</v>
      </c>
      <c r="Z45" s="44">
        <f>'Inputs - Fixed'!$F$5</f>
        <v>0.20959417799999999</v>
      </c>
      <c r="AA45" s="44">
        <f>'Inputs - Fixed'!$F$5</f>
        <v>0.20959417799999999</v>
      </c>
      <c r="AB45" s="44">
        <f>'Inputs - Fixed'!$F$5</f>
        <v>0.20959417799999999</v>
      </c>
      <c r="AC45" s="44">
        <f>'Inputs - Fixed'!$F$5</f>
        <v>0.20959417799999999</v>
      </c>
      <c r="AD45" s="44">
        <f>'Inputs - Fixed'!$F$5</f>
        <v>0.20959417799999999</v>
      </c>
      <c r="AE45" s="44">
        <f>'Inputs - Fixed'!$F$5</f>
        <v>0.20959417799999999</v>
      </c>
      <c r="AF45" s="44">
        <f>'Inputs - Fixed'!$F$5</f>
        <v>0.20959417799999999</v>
      </c>
      <c r="AG45" s="44">
        <f>'Inputs - Fixed'!$F$5</f>
        <v>0.20959417799999999</v>
      </c>
      <c r="AH45" s="44">
        <f>'Inputs - Fixed'!$F$5</f>
        <v>0.20959417799999999</v>
      </c>
      <c r="AI45" s="44">
        <f>'Inputs - Fixed'!$F$5</f>
        <v>0.20959417799999999</v>
      </c>
    </row>
    <row r="46" spans="2:37" ht="16" outlineLevel="1">
      <c r="B46" s="41" t="s">
        <v>171</v>
      </c>
      <c r="C46" s="41" t="s">
        <v>166</v>
      </c>
      <c r="D46" s="52" t="s">
        <v>165</v>
      </c>
      <c r="I46" s="41" t="s">
        <v>167</v>
      </c>
      <c r="K46" s="44">
        <v>13</v>
      </c>
      <c r="L46" s="44">
        <f>K46</f>
        <v>13</v>
      </c>
      <c r="M46" s="44">
        <f t="shared" ref="M46:AG46" si="49">L46</f>
        <v>13</v>
      </c>
      <c r="N46" s="44">
        <f t="shared" si="49"/>
        <v>13</v>
      </c>
      <c r="O46" s="44">
        <f t="shared" si="49"/>
        <v>13</v>
      </c>
      <c r="P46" s="44">
        <f t="shared" si="49"/>
        <v>13</v>
      </c>
      <c r="Q46" s="44">
        <f t="shared" si="49"/>
        <v>13</v>
      </c>
      <c r="R46" s="44">
        <f t="shared" si="49"/>
        <v>13</v>
      </c>
      <c r="S46" s="44">
        <f t="shared" si="49"/>
        <v>13</v>
      </c>
      <c r="T46" s="44">
        <f t="shared" si="49"/>
        <v>13</v>
      </c>
      <c r="U46" s="44">
        <f t="shared" si="49"/>
        <v>13</v>
      </c>
      <c r="V46" s="44">
        <f t="shared" si="49"/>
        <v>13</v>
      </c>
      <c r="W46" s="44">
        <f t="shared" si="49"/>
        <v>13</v>
      </c>
      <c r="X46" s="44">
        <f t="shared" si="49"/>
        <v>13</v>
      </c>
      <c r="Y46" s="44">
        <f t="shared" si="49"/>
        <v>13</v>
      </c>
      <c r="Z46" s="44">
        <f t="shared" si="49"/>
        <v>13</v>
      </c>
      <c r="AA46" s="44">
        <f t="shared" si="49"/>
        <v>13</v>
      </c>
      <c r="AB46" s="44">
        <f t="shared" si="49"/>
        <v>13</v>
      </c>
      <c r="AC46" s="44">
        <f t="shared" si="49"/>
        <v>13</v>
      </c>
      <c r="AD46" s="44">
        <f t="shared" si="49"/>
        <v>13</v>
      </c>
      <c r="AE46" s="44">
        <f t="shared" si="49"/>
        <v>13</v>
      </c>
      <c r="AF46" s="44">
        <f t="shared" si="49"/>
        <v>13</v>
      </c>
      <c r="AG46" s="44">
        <f t="shared" si="49"/>
        <v>13</v>
      </c>
      <c r="AH46" s="44">
        <f>AG46</f>
        <v>13</v>
      </c>
      <c r="AI46" s="44">
        <f>AH46</f>
        <v>13</v>
      </c>
    </row>
    <row r="47" spans="2:37" outlineLevel="1">
      <c r="B47" s="53"/>
      <c r="C47" s="53" t="s">
        <v>173</v>
      </c>
      <c r="D47" s="53"/>
      <c r="E47" s="53"/>
      <c r="F47" s="53" t="s">
        <v>200</v>
      </c>
      <c r="G47" s="53"/>
      <c r="H47" s="53"/>
      <c r="I47" s="53" t="s">
        <v>19</v>
      </c>
      <c r="J47" s="53"/>
      <c r="K47" s="70">
        <f t="shared" ref="K47:AI47" si="50">K42*K43*(K44+K45*K46)*K54</f>
        <v>0</v>
      </c>
      <c r="L47" s="70">
        <f t="shared" si="50"/>
        <v>117211.87844158338</v>
      </c>
      <c r="M47" s="70">
        <f t="shared" si="50"/>
        <v>117211.87844158338</v>
      </c>
      <c r="N47" s="70">
        <f t="shared" si="50"/>
        <v>117211.87844158338</v>
      </c>
      <c r="O47" s="70">
        <f t="shared" si="50"/>
        <v>117211.87844158338</v>
      </c>
      <c r="P47" s="70">
        <f t="shared" si="50"/>
        <v>0</v>
      </c>
      <c r="Q47" s="70">
        <f t="shared" si="50"/>
        <v>117211.87844158338</v>
      </c>
      <c r="R47" s="70">
        <f t="shared" si="50"/>
        <v>117211.87844158338</v>
      </c>
      <c r="S47" s="70">
        <f t="shared" si="50"/>
        <v>117211.87844158338</v>
      </c>
      <c r="T47" s="70">
        <f t="shared" si="50"/>
        <v>117211.87844158338</v>
      </c>
      <c r="U47" s="70">
        <f t="shared" si="50"/>
        <v>117211.87844158338</v>
      </c>
      <c r="V47" s="70">
        <f t="shared" si="50"/>
        <v>117211.87844158338</v>
      </c>
      <c r="W47" s="70">
        <f t="shared" si="50"/>
        <v>117211.87844158338</v>
      </c>
      <c r="X47" s="70">
        <f t="shared" si="50"/>
        <v>117211.87844158338</v>
      </c>
      <c r="Y47" s="70">
        <f t="shared" si="50"/>
        <v>117211.87844158338</v>
      </c>
      <c r="Z47" s="70">
        <f t="shared" si="50"/>
        <v>117211.87844158338</v>
      </c>
      <c r="AA47" s="70">
        <f t="shared" si="50"/>
        <v>468847.51376633352</v>
      </c>
      <c r="AB47" s="70">
        <f t="shared" si="50"/>
        <v>468847.51376633352</v>
      </c>
      <c r="AC47" s="70">
        <f t="shared" si="50"/>
        <v>468847.51376633352</v>
      </c>
      <c r="AD47" s="70">
        <f t="shared" si="50"/>
        <v>468847.51376633352</v>
      </c>
      <c r="AE47" s="70">
        <f t="shared" si="50"/>
        <v>468847.51376633352</v>
      </c>
      <c r="AF47" s="70">
        <f t="shared" si="50"/>
        <v>468847.51376633352</v>
      </c>
      <c r="AG47" s="70">
        <f t="shared" si="50"/>
        <v>0</v>
      </c>
      <c r="AH47" s="70">
        <f t="shared" si="50"/>
        <v>0</v>
      </c>
      <c r="AI47" s="70">
        <f t="shared" si="50"/>
        <v>0</v>
      </c>
    </row>
    <row r="48" spans="2:37" outlineLevel="1"/>
    <row r="49" spans="2:37" outlineLevel="1">
      <c r="C49" s="41" t="s">
        <v>180</v>
      </c>
      <c r="D49" s="41" t="s">
        <v>8</v>
      </c>
      <c r="I49" s="41" t="s">
        <v>79</v>
      </c>
      <c r="K49" s="41">
        <f>'Inputs - Project Specific'!$G$34</f>
        <v>0</v>
      </c>
      <c r="L49" s="41">
        <f>'Inputs - Project Specific'!$G$34</f>
        <v>0</v>
      </c>
      <c r="M49" s="41">
        <f>'Inputs - Project Specific'!$G$34</f>
        <v>0</v>
      </c>
      <c r="N49" s="41">
        <f>'Inputs - Project Specific'!$G$34</f>
        <v>0</v>
      </c>
      <c r="O49" s="41">
        <f>'Inputs - Project Specific'!$G$34</f>
        <v>0</v>
      </c>
      <c r="P49" s="41">
        <f>'Inputs - Project Specific'!$G$34</f>
        <v>0</v>
      </c>
      <c r="Q49" s="41">
        <f>'Inputs - Project Specific'!$G$34</f>
        <v>0</v>
      </c>
      <c r="R49" s="41">
        <f>'Inputs - Project Specific'!$G$34</f>
        <v>0</v>
      </c>
      <c r="S49" s="41">
        <f>'Inputs - Project Specific'!$G$34</f>
        <v>0</v>
      </c>
      <c r="T49" s="41">
        <f>'Inputs - Project Specific'!$G$34</f>
        <v>0</v>
      </c>
      <c r="U49" s="41">
        <f>'Inputs - Project Specific'!$G$34</f>
        <v>0</v>
      </c>
      <c r="V49" s="41">
        <f>'Inputs - Project Specific'!$G$34</f>
        <v>0</v>
      </c>
      <c r="W49" s="41">
        <f>'Inputs - Project Specific'!$G$34</f>
        <v>0</v>
      </c>
      <c r="X49" s="41">
        <f>'Inputs - Project Specific'!$G$34</f>
        <v>0</v>
      </c>
      <c r="Y49" s="41">
        <f>'Inputs - Project Specific'!$G$34</f>
        <v>0</v>
      </c>
      <c r="Z49" s="41">
        <f>'Inputs - Project Specific'!$G$34</f>
        <v>0</v>
      </c>
      <c r="AA49" s="41">
        <f>'Inputs - Project Specific'!$G$34</f>
        <v>0</v>
      </c>
      <c r="AB49" s="41">
        <f>'Inputs - Project Specific'!$G$34</f>
        <v>0</v>
      </c>
      <c r="AC49" s="41">
        <f>'Inputs - Project Specific'!$G$34</f>
        <v>0</v>
      </c>
      <c r="AD49" s="41">
        <f>'Inputs - Project Specific'!$G$34</f>
        <v>0</v>
      </c>
      <c r="AE49" s="41">
        <f>'Inputs - Project Specific'!$G$34</f>
        <v>0</v>
      </c>
      <c r="AF49" s="41">
        <f>'Inputs - Project Specific'!$G$34</f>
        <v>0</v>
      </c>
      <c r="AG49" s="41">
        <f>'Inputs - Project Specific'!$G$34</f>
        <v>0</v>
      </c>
      <c r="AH49" s="41">
        <f>'Inputs - Project Specific'!$G$34</f>
        <v>0</v>
      </c>
      <c r="AI49" s="41">
        <f>'Inputs - Project Specific'!$G$34</f>
        <v>0</v>
      </c>
    </row>
    <row r="50" spans="2:37" outlineLevel="1">
      <c r="B50" s="41" t="s">
        <v>39</v>
      </c>
      <c r="C50" s="41" t="s">
        <v>177</v>
      </c>
      <c r="D50" s="41" t="s">
        <v>163</v>
      </c>
      <c r="I50" s="41" t="s">
        <v>79</v>
      </c>
      <c r="K50" s="41">
        <f>'Inputs - Project Specific'!$G$37</f>
        <v>0</v>
      </c>
      <c r="L50" s="41">
        <f>'Inputs - Project Specific'!$G$37</f>
        <v>0</v>
      </c>
      <c r="M50" s="41">
        <f>'Inputs - Project Specific'!$G$37</f>
        <v>0</v>
      </c>
      <c r="N50" s="41">
        <f>'Inputs - Project Specific'!$G$37</f>
        <v>0</v>
      </c>
      <c r="O50" s="41">
        <f>'Inputs - Project Specific'!$G$37</f>
        <v>0</v>
      </c>
      <c r="P50" s="41">
        <f>'Inputs - Project Specific'!$G$37</f>
        <v>0</v>
      </c>
      <c r="Q50" s="41">
        <f>'Inputs - Project Specific'!$G$37</f>
        <v>0</v>
      </c>
      <c r="R50" s="41">
        <f>'Inputs - Project Specific'!$G$37</f>
        <v>0</v>
      </c>
      <c r="S50" s="41">
        <f>'Inputs - Project Specific'!$G$37</f>
        <v>0</v>
      </c>
      <c r="T50" s="41">
        <f>'Inputs - Project Specific'!$G$37</f>
        <v>0</v>
      </c>
      <c r="U50" s="41">
        <f>'Inputs - Project Specific'!$G$37</f>
        <v>0</v>
      </c>
      <c r="V50" s="41">
        <f>'Inputs - Project Specific'!$G$37</f>
        <v>0</v>
      </c>
      <c r="W50" s="41">
        <f>'Inputs - Project Specific'!$G$37</f>
        <v>0</v>
      </c>
      <c r="X50" s="41">
        <f>'Inputs - Project Specific'!$G$37</f>
        <v>0</v>
      </c>
      <c r="Y50" s="41">
        <f>'Inputs - Project Specific'!$G$37</f>
        <v>0</v>
      </c>
      <c r="Z50" s="41">
        <f>'Inputs - Project Specific'!$G$37</f>
        <v>0</v>
      </c>
      <c r="AA50" s="41">
        <f>'Inputs - Project Specific'!$G$37</f>
        <v>0</v>
      </c>
      <c r="AB50" s="41">
        <f>'Inputs - Project Specific'!$G$37</f>
        <v>0</v>
      </c>
      <c r="AC50" s="41">
        <f>'Inputs - Project Specific'!$G$37</f>
        <v>0</v>
      </c>
      <c r="AD50" s="41">
        <f>'Inputs - Project Specific'!$G$37</f>
        <v>0</v>
      </c>
      <c r="AE50" s="41">
        <f>'Inputs - Project Specific'!$G$37</f>
        <v>0</v>
      </c>
      <c r="AF50" s="41">
        <f>'Inputs - Project Specific'!$G$37</f>
        <v>0</v>
      </c>
      <c r="AG50" s="41">
        <f>'Inputs - Project Specific'!$G$37</f>
        <v>0</v>
      </c>
      <c r="AH50" s="41">
        <f>'Inputs - Project Specific'!$G$37</f>
        <v>0</v>
      </c>
      <c r="AI50" s="41">
        <f>'Inputs - Project Specific'!$G$37</f>
        <v>0</v>
      </c>
    </row>
    <row r="51" spans="2:37" outlineLevel="1">
      <c r="B51" s="41" t="s">
        <v>39</v>
      </c>
      <c r="C51" s="41" t="s">
        <v>178</v>
      </c>
      <c r="D51" s="41" t="s">
        <v>20</v>
      </c>
      <c r="I51" s="41" t="s">
        <v>80</v>
      </c>
      <c r="K51" s="44">
        <f>'Inputs - Fixed'!$F$6</f>
        <v>10.13306375</v>
      </c>
      <c r="L51" s="44">
        <f>'Inputs - Fixed'!$F$6</f>
        <v>10.13306375</v>
      </c>
      <c r="M51" s="44">
        <f>'Inputs - Fixed'!$F$6</f>
        <v>10.13306375</v>
      </c>
      <c r="N51" s="44">
        <f>'Inputs - Fixed'!$F$6</f>
        <v>10.13306375</v>
      </c>
      <c r="O51" s="44">
        <f>'Inputs - Fixed'!$F$6</f>
        <v>10.13306375</v>
      </c>
      <c r="P51" s="44">
        <f>'Inputs - Fixed'!$F$6</f>
        <v>10.13306375</v>
      </c>
      <c r="Q51" s="44">
        <f>'Inputs - Fixed'!$F$6</f>
        <v>10.13306375</v>
      </c>
      <c r="R51" s="44">
        <f>'Inputs - Fixed'!$F$6</f>
        <v>10.13306375</v>
      </c>
      <c r="S51" s="44">
        <f>'Inputs - Fixed'!$F$6</f>
        <v>10.13306375</v>
      </c>
      <c r="T51" s="44">
        <f>'Inputs - Fixed'!$F$6</f>
        <v>10.13306375</v>
      </c>
      <c r="U51" s="44">
        <f>'Inputs - Fixed'!$F$6</f>
        <v>10.13306375</v>
      </c>
      <c r="V51" s="44">
        <f>'Inputs - Fixed'!$F$6</f>
        <v>10.13306375</v>
      </c>
      <c r="W51" s="44">
        <f>'Inputs - Fixed'!$F$6</f>
        <v>10.13306375</v>
      </c>
      <c r="X51" s="44">
        <f>'Inputs - Fixed'!$F$6</f>
        <v>10.13306375</v>
      </c>
      <c r="Y51" s="44">
        <f>'Inputs - Fixed'!$F$6</f>
        <v>10.13306375</v>
      </c>
      <c r="Z51" s="44">
        <f>'Inputs - Fixed'!$F$6</f>
        <v>10.13306375</v>
      </c>
      <c r="AA51" s="44">
        <f>'Inputs - Fixed'!$F$6</f>
        <v>10.13306375</v>
      </c>
      <c r="AB51" s="44">
        <f>'Inputs - Fixed'!$F$6</f>
        <v>10.13306375</v>
      </c>
      <c r="AC51" s="44">
        <f>'Inputs - Fixed'!$F$6</f>
        <v>10.13306375</v>
      </c>
      <c r="AD51" s="44">
        <f>'Inputs - Fixed'!$F$6</f>
        <v>10.13306375</v>
      </c>
      <c r="AE51" s="44">
        <f>'Inputs - Fixed'!$F$6</f>
        <v>10.13306375</v>
      </c>
      <c r="AF51" s="44">
        <f>'Inputs - Fixed'!$F$6</f>
        <v>10.13306375</v>
      </c>
      <c r="AG51" s="44">
        <f>'Inputs - Fixed'!$F$6</f>
        <v>10.13306375</v>
      </c>
      <c r="AH51" s="44">
        <f>'Inputs - Fixed'!$F$6</f>
        <v>10.13306375</v>
      </c>
      <c r="AI51" s="44">
        <f>'Inputs - Fixed'!$F$6</f>
        <v>10.13306375</v>
      </c>
    </row>
    <row r="52" spans="2:37" outlineLevel="1">
      <c r="B52" s="53"/>
      <c r="C52" s="53" t="s">
        <v>174</v>
      </c>
      <c r="D52" s="53"/>
      <c r="E52" s="53"/>
      <c r="F52" s="53"/>
      <c r="G52" s="53"/>
      <c r="H52" s="53"/>
      <c r="I52" s="53" t="s">
        <v>19</v>
      </c>
      <c r="J52" s="53"/>
      <c r="K52" s="53">
        <f>K49*K50*K51*K54</f>
        <v>0</v>
      </c>
      <c r="L52" s="53">
        <f t="shared" ref="L52:AH52" si="51">L49*L50*L51*L54</f>
        <v>0</v>
      </c>
      <c r="M52" s="53">
        <f t="shared" si="51"/>
        <v>0</v>
      </c>
      <c r="N52" s="53">
        <f t="shared" si="51"/>
        <v>0</v>
      </c>
      <c r="O52" s="53">
        <f t="shared" si="51"/>
        <v>0</v>
      </c>
      <c r="P52" s="53">
        <f t="shared" si="51"/>
        <v>0</v>
      </c>
      <c r="Q52" s="53">
        <f t="shared" si="51"/>
        <v>0</v>
      </c>
      <c r="R52" s="53">
        <f t="shared" si="51"/>
        <v>0</v>
      </c>
      <c r="S52" s="53">
        <f t="shared" si="51"/>
        <v>0</v>
      </c>
      <c r="T52" s="53">
        <f t="shared" si="51"/>
        <v>0</v>
      </c>
      <c r="U52" s="53">
        <f t="shared" si="51"/>
        <v>0</v>
      </c>
      <c r="V52" s="53">
        <f t="shared" si="51"/>
        <v>0</v>
      </c>
      <c r="W52" s="53">
        <f t="shared" si="51"/>
        <v>0</v>
      </c>
      <c r="X52" s="53">
        <f t="shared" si="51"/>
        <v>0</v>
      </c>
      <c r="Y52" s="53">
        <f t="shared" si="51"/>
        <v>0</v>
      </c>
      <c r="Z52" s="53">
        <f t="shared" si="51"/>
        <v>0</v>
      </c>
      <c r="AA52" s="53">
        <f t="shared" si="51"/>
        <v>0</v>
      </c>
      <c r="AB52" s="53">
        <f t="shared" si="51"/>
        <v>0</v>
      </c>
      <c r="AC52" s="53">
        <f t="shared" si="51"/>
        <v>0</v>
      </c>
      <c r="AD52" s="53">
        <f t="shared" si="51"/>
        <v>0</v>
      </c>
      <c r="AE52" s="53">
        <f t="shared" si="51"/>
        <v>0</v>
      </c>
      <c r="AF52" s="53">
        <f t="shared" si="51"/>
        <v>0</v>
      </c>
      <c r="AG52" s="53">
        <f t="shared" si="51"/>
        <v>0</v>
      </c>
      <c r="AH52" s="53">
        <f t="shared" si="51"/>
        <v>0</v>
      </c>
      <c r="AI52" s="53">
        <f t="shared" ref="AI52" si="52">AI49*AI50*AI51*AI54</f>
        <v>0</v>
      </c>
    </row>
    <row r="53" spans="2:37" outlineLevel="1"/>
    <row r="54" spans="2:37" outlineLevel="1">
      <c r="B54" s="41" t="s">
        <v>39</v>
      </c>
      <c r="C54" s="41" t="s">
        <v>48</v>
      </c>
      <c r="I54" s="41" t="s">
        <v>47</v>
      </c>
      <c r="K54" s="41">
        <f>K22</f>
        <v>0</v>
      </c>
      <c r="L54" s="41">
        <f t="shared" ref="L54:AI54" si="53">L22</f>
        <v>0.25</v>
      </c>
      <c r="M54" s="41">
        <f t="shared" si="53"/>
        <v>0.25</v>
      </c>
      <c r="N54" s="41">
        <f t="shared" si="53"/>
        <v>0.25</v>
      </c>
      <c r="O54" s="41">
        <f t="shared" si="53"/>
        <v>0.25</v>
      </c>
      <c r="P54" s="41">
        <f t="shared" si="53"/>
        <v>0</v>
      </c>
      <c r="Q54" s="41">
        <f t="shared" si="53"/>
        <v>0.25</v>
      </c>
      <c r="R54" s="41">
        <f t="shared" si="53"/>
        <v>0.25</v>
      </c>
      <c r="S54" s="41">
        <f t="shared" si="53"/>
        <v>0.25</v>
      </c>
      <c r="T54" s="41">
        <f t="shared" si="53"/>
        <v>0.25</v>
      </c>
      <c r="U54" s="41">
        <f t="shared" si="53"/>
        <v>0.25</v>
      </c>
      <c r="V54" s="41">
        <f t="shared" si="53"/>
        <v>0.25</v>
      </c>
      <c r="W54" s="41">
        <f t="shared" si="53"/>
        <v>0.25</v>
      </c>
      <c r="X54" s="41">
        <f t="shared" si="53"/>
        <v>0.25</v>
      </c>
      <c r="Y54" s="41">
        <f t="shared" si="53"/>
        <v>0.25</v>
      </c>
      <c r="Z54" s="41">
        <f t="shared" si="53"/>
        <v>0.25</v>
      </c>
      <c r="AA54" s="41">
        <f t="shared" si="53"/>
        <v>1</v>
      </c>
      <c r="AB54" s="41">
        <f t="shared" si="53"/>
        <v>1</v>
      </c>
      <c r="AC54" s="41">
        <f t="shared" si="53"/>
        <v>1</v>
      </c>
      <c r="AD54" s="41">
        <f t="shared" si="53"/>
        <v>1</v>
      </c>
      <c r="AE54" s="41">
        <f t="shared" si="53"/>
        <v>1</v>
      </c>
      <c r="AF54" s="41">
        <f t="shared" si="53"/>
        <v>1</v>
      </c>
      <c r="AG54" s="41">
        <f t="shared" si="53"/>
        <v>0</v>
      </c>
      <c r="AH54" s="41">
        <f t="shared" si="53"/>
        <v>0</v>
      </c>
      <c r="AI54" s="41">
        <f t="shared" si="53"/>
        <v>0</v>
      </c>
    </row>
    <row r="55" spans="2:37" outlineLevel="1"/>
    <row r="56" spans="2:37">
      <c r="C56" s="58" t="s">
        <v>273</v>
      </c>
      <c r="D56" s="41" t="s">
        <v>13</v>
      </c>
      <c r="E56" s="41" t="s">
        <v>50</v>
      </c>
      <c r="F56" s="42"/>
      <c r="G56" s="42"/>
      <c r="H56" s="42"/>
      <c r="I56" s="41" t="s">
        <v>183</v>
      </c>
      <c r="K56" s="46">
        <f>K47+K52</f>
        <v>0</v>
      </c>
      <c r="L56" s="46">
        <f t="shared" ref="L56:AH56" si="54">L47+L52</f>
        <v>117211.87844158338</v>
      </c>
      <c r="M56" s="46">
        <f t="shared" si="54"/>
        <v>117211.87844158338</v>
      </c>
      <c r="N56" s="46">
        <f t="shared" si="54"/>
        <v>117211.87844158338</v>
      </c>
      <c r="O56" s="46">
        <f t="shared" si="54"/>
        <v>117211.87844158338</v>
      </c>
      <c r="P56" s="46">
        <f t="shared" si="54"/>
        <v>0</v>
      </c>
      <c r="Q56" s="46">
        <f t="shared" si="54"/>
        <v>117211.87844158338</v>
      </c>
      <c r="R56" s="46">
        <f t="shared" si="54"/>
        <v>117211.87844158338</v>
      </c>
      <c r="S56" s="46">
        <f t="shared" si="54"/>
        <v>117211.87844158338</v>
      </c>
      <c r="T56" s="46">
        <f t="shared" si="54"/>
        <v>117211.87844158338</v>
      </c>
      <c r="U56" s="46">
        <f t="shared" si="54"/>
        <v>117211.87844158338</v>
      </c>
      <c r="V56" s="46">
        <f t="shared" si="54"/>
        <v>117211.87844158338</v>
      </c>
      <c r="W56" s="46">
        <f t="shared" si="54"/>
        <v>117211.87844158338</v>
      </c>
      <c r="X56" s="46">
        <f t="shared" si="54"/>
        <v>117211.87844158338</v>
      </c>
      <c r="Y56" s="46">
        <f t="shared" si="54"/>
        <v>117211.87844158338</v>
      </c>
      <c r="Z56" s="46">
        <f t="shared" si="54"/>
        <v>117211.87844158338</v>
      </c>
      <c r="AA56" s="46">
        <f t="shared" si="54"/>
        <v>468847.51376633352</v>
      </c>
      <c r="AB56" s="46">
        <f t="shared" si="54"/>
        <v>468847.51376633352</v>
      </c>
      <c r="AC56" s="46">
        <f t="shared" si="54"/>
        <v>468847.51376633352</v>
      </c>
      <c r="AD56" s="46">
        <f t="shared" si="54"/>
        <v>468847.51376633352</v>
      </c>
      <c r="AE56" s="46">
        <f t="shared" si="54"/>
        <v>468847.51376633352</v>
      </c>
      <c r="AF56" s="46">
        <f t="shared" si="54"/>
        <v>468847.51376633352</v>
      </c>
      <c r="AG56" s="46">
        <f t="shared" si="54"/>
        <v>0</v>
      </c>
      <c r="AH56" s="46">
        <f t="shared" si="54"/>
        <v>0</v>
      </c>
      <c r="AI56" s="46">
        <f t="shared" ref="AI56" si="55">AI47+AI52</f>
        <v>0</v>
      </c>
      <c r="AJ56" s="46">
        <f>SUM(K56:AI56)</f>
        <v>4454051.3807801688</v>
      </c>
      <c r="AK56" s="46">
        <f>NPV('Inputs - Fixed'!$F$3,SUM(K56:N56),SUM(O56:R56),SUM(S56:V56),SUM(W56:Z56),AA56,AB56,AC56,AD56,AE56,AF56,AG56,AH56,AI56)</f>
        <v>3103580.6420881562</v>
      </c>
    </row>
    <row r="57" spans="2:37">
      <c r="G57" s="42"/>
      <c r="H57" s="42"/>
    </row>
    <row r="58" spans="2:37">
      <c r="B58" s="43" t="s">
        <v>119</v>
      </c>
      <c r="C58" s="43" t="s">
        <v>185</v>
      </c>
      <c r="D58" s="43"/>
      <c r="G58" s="42" t="s">
        <v>39</v>
      </c>
      <c r="H58" s="42" t="s">
        <v>39</v>
      </c>
    </row>
    <row r="59" spans="2:37">
      <c r="C59" s="41" t="s">
        <v>186</v>
      </c>
    </row>
    <row r="60" spans="2:37">
      <c r="C60" s="41" t="s">
        <v>187</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AK45"/>
  <sheetViews>
    <sheetView workbookViewId="0">
      <pane xSplit="4" ySplit="2" topLeftCell="E3" activePane="bottomRight" state="frozen"/>
      <selection pane="topRight" activeCell="E1" sqref="E1"/>
      <selection pane="bottomLeft" activeCell="A3" sqref="A3"/>
      <selection pane="bottomRight" activeCell="K2" sqref="K2:N2"/>
    </sheetView>
  </sheetViews>
  <sheetFormatPr baseColWidth="10" defaultColWidth="8.83203125" defaultRowHeight="15" outlineLevelRow="1"/>
  <cols>
    <col min="3" max="3" width="49.6640625" customWidth="1"/>
    <col min="4" max="4" width="12.83203125" customWidth="1"/>
    <col min="5" max="5" width="12.6640625" customWidth="1"/>
    <col min="6" max="6" width="3.83203125" customWidth="1"/>
    <col min="7" max="8" width="4.1640625" customWidth="1"/>
    <col min="9" max="9" width="28.83203125" customWidth="1"/>
    <col min="11" max="35" width="10.83203125" customWidth="1"/>
    <col min="36" max="36" width="14.1640625" customWidth="1"/>
    <col min="37" max="37" width="17.1640625" customWidth="1"/>
  </cols>
  <sheetData>
    <row r="1" spans="2:37">
      <c r="K1" s="42">
        <v>2018</v>
      </c>
      <c r="L1" s="42">
        <v>2018</v>
      </c>
      <c r="M1" s="42">
        <v>2018</v>
      </c>
      <c r="N1" s="42">
        <v>2018</v>
      </c>
      <c r="O1" s="42">
        <v>2019</v>
      </c>
      <c r="P1" s="42">
        <v>2019</v>
      </c>
      <c r="Q1" s="42">
        <v>2019</v>
      </c>
      <c r="R1" s="42">
        <v>2019</v>
      </c>
      <c r="S1" s="42">
        <v>2020</v>
      </c>
      <c r="T1" s="42">
        <v>2020</v>
      </c>
      <c r="U1" s="42">
        <v>2020</v>
      </c>
      <c r="V1" s="42">
        <v>2020</v>
      </c>
      <c r="W1" s="42">
        <v>2021</v>
      </c>
      <c r="X1" s="42">
        <v>2021</v>
      </c>
      <c r="Y1" s="42">
        <v>2021</v>
      </c>
      <c r="Z1" s="42">
        <v>2021</v>
      </c>
      <c r="AA1" s="42">
        <v>2022</v>
      </c>
      <c r="AB1" s="42">
        <v>2023</v>
      </c>
      <c r="AC1" s="42">
        <v>2024</v>
      </c>
      <c r="AD1" s="42">
        <v>2025</v>
      </c>
      <c r="AE1" s="42">
        <v>2026</v>
      </c>
      <c r="AF1" s="42">
        <v>2027</v>
      </c>
      <c r="AG1" s="42">
        <v>2028</v>
      </c>
      <c r="AH1" s="42">
        <v>2029</v>
      </c>
      <c r="AI1" s="42">
        <v>2030</v>
      </c>
      <c r="AJ1" s="37" t="s">
        <v>52</v>
      </c>
      <c r="AK1" s="37" t="s">
        <v>53</v>
      </c>
    </row>
    <row r="2" spans="2:37">
      <c r="C2" t="s">
        <v>54</v>
      </c>
      <c r="D2" t="s">
        <v>55</v>
      </c>
      <c r="E2" t="s">
        <v>56</v>
      </c>
      <c r="F2" t="s">
        <v>57</v>
      </c>
      <c r="G2" t="s">
        <v>58</v>
      </c>
      <c r="H2" t="s">
        <v>59</v>
      </c>
      <c r="I2" t="s">
        <v>3</v>
      </c>
      <c r="K2" s="37" t="s">
        <v>18</v>
      </c>
      <c r="L2" s="37" t="s">
        <v>60</v>
      </c>
      <c r="M2" s="37" t="s">
        <v>61</v>
      </c>
      <c r="N2" s="37" t="s">
        <v>62</v>
      </c>
      <c r="O2" s="37" t="s">
        <v>18</v>
      </c>
      <c r="P2" s="37" t="s">
        <v>60</v>
      </c>
      <c r="Q2" s="37" t="s">
        <v>61</v>
      </c>
      <c r="R2" s="37" t="s">
        <v>62</v>
      </c>
      <c r="S2" s="37" t="s">
        <v>18</v>
      </c>
      <c r="T2" s="37" t="s">
        <v>60</v>
      </c>
      <c r="U2" s="37" t="s">
        <v>61</v>
      </c>
      <c r="V2" s="37" t="s">
        <v>62</v>
      </c>
      <c r="W2" s="37" t="s">
        <v>18</v>
      </c>
      <c r="X2" s="37" t="s">
        <v>60</v>
      </c>
      <c r="Y2" s="37" t="s">
        <v>61</v>
      </c>
      <c r="Z2" s="37" t="s">
        <v>62</v>
      </c>
      <c r="AA2" s="37" t="s">
        <v>63</v>
      </c>
      <c r="AB2" s="37" t="s">
        <v>64</v>
      </c>
      <c r="AC2" s="37" t="s">
        <v>65</v>
      </c>
      <c r="AD2" s="37" t="s">
        <v>66</v>
      </c>
      <c r="AE2" s="37" t="s">
        <v>67</v>
      </c>
      <c r="AF2" s="37" t="s">
        <v>68</v>
      </c>
      <c r="AG2" s="37" t="s">
        <v>69</v>
      </c>
      <c r="AH2" s="37" t="s">
        <v>70</v>
      </c>
      <c r="AI2" s="37" t="s">
        <v>355</v>
      </c>
      <c r="AJ2" s="37" t="s">
        <v>71</v>
      </c>
      <c r="AK2" s="37" t="s">
        <v>129</v>
      </c>
    </row>
    <row r="4" spans="2:37">
      <c r="B4" s="39" t="s">
        <v>107</v>
      </c>
      <c r="C4" s="39" t="s">
        <v>108</v>
      </c>
      <c r="D4" s="39"/>
      <c r="F4" s="42" t="s">
        <v>39</v>
      </c>
      <c r="G4" s="42" t="s">
        <v>39</v>
      </c>
      <c r="H4" s="42" t="s">
        <v>39</v>
      </c>
    </row>
    <row r="5" spans="2:37" outlineLevel="1"/>
    <row r="6" spans="2:37" outlineLevel="1">
      <c r="C6" t="s">
        <v>98</v>
      </c>
      <c r="D6" t="s">
        <v>35</v>
      </c>
      <c r="I6" t="s">
        <v>79</v>
      </c>
      <c r="K6" s="16">
        <f>'Inputs - Project Specific'!G31</f>
        <v>4.9000000000000004</v>
      </c>
      <c r="L6" s="16">
        <f>K6</f>
        <v>4.9000000000000004</v>
      </c>
      <c r="M6" s="16">
        <f t="shared" ref="M6:AI7" si="0">L6</f>
        <v>4.9000000000000004</v>
      </c>
      <c r="N6" s="16">
        <f t="shared" si="0"/>
        <v>4.9000000000000004</v>
      </c>
      <c r="O6" s="16">
        <f t="shared" si="0"/>
        <v>4.9000000000000004</v>
      </c>
      <c r="P6" s="16">
        <f t="shared" si="0"/>
        <v>4.9000000000000004</v>
      </c>
      <c r="Q6" s="16">
        <f t="shared" si="0"/>
        <v>4.9000000000000004</v>
      </c>
      <c r="R6" s="16">
        <f t="shared" si="0"/>
        <v>4.9000000000000004</v>
      </c>
      <c r="S6" s="16">
        <f t="shared" si="0"/>
        <v>4.9000000000000004</v>
      </c>
      <c r="T6" s="16">
        <f t="shared" si="0"/>
        <v>4.9000000000000004</v>
      </c>
      <c r="U6" s="16">
        <f t="shared" si="0"/>
        <v>4.9000000000000004</v>
      </c>
      <c r="V6" s="16">
        <f t="shared" si="0"/>
        <v>4.9000000000000004</v>
      </c>
      <c r="W6" s="16">
        <f t="shared" si="0"/>
        <v>4.9000000000000004</v>
      </c>
      <c r="X6" s="16">
        <f t="shared" si="0"/>
        <v>4.9000000000000004</v>
      </c>
      <c r="Y6" s="16">
        <f t="shared" si="0"/>
        <v>4.9000000000000004</v>
      </c>
      <c r="Z6" s="16">
        <f t="shared" si="0"/>
        <v>4.9000000000000004</v>
      </c>
      <c r="AA6" s="16">
        <f t="shared" si="0"/>
        <v>4.9000000000000004</v>
      </c>
      <c r="AB6" s="16">
        <f t="shared" si="0"/>
        <v>4.9000000000000004</v>
      </c>
      <c r="AC6" s="16">
        <f t="shared" si="0"/>
        <v>4.9000000000000004</v>
      </c>
      <c r="AD6" s="16">
        <f t="shared" si="0"/>
        <v>4.9000000000000004</v>
      </c>
      <c r="AE6" s="16">
        <f t="shared" si="0"/>
        <v>4.9000000000000004</v>
      </c>
      <c r="AF6" s="16">
        <f t="shared" si="0"/>
        <v>4.9000000000000004</v>
      </c>
      <c r="AG6" s="16">
        <f t="shared" si="0"/>
        <v>4.9000000000000004</v>
      </c>
      <c r="AH6" s="16">
        <f t="shared" si="0"/>
        <v>4.9000000000000004</v>
      </c>
      <c r="AI6" s="16">
        <f t="shared" si="0"/>
        <v>4.9000000000000004</v>
      </c>
    </row>
    <row r="7" spans="2:37" outlineLevel="1">
      <c r="B7" t="s">
        <v>36</v>
      </c>
      <c r="C7" t="s">
        <v>99</v>
      </c>
      <c r="D7" t="s">
        <v>5</v>
      </c>
      <c r="I7" t="s">
        <v>38</v>
      </c>
      <c r="K7" s="36">
        <f>1-'Inputs - Fixed'!F11</f>
        <v>0.94369999999999998</v>
      </c>
      <c r="L7" s="36">
        <f>K7</f>
        <v>0.94369999999999998</v>
      </c>
      <c r="M7" s="36">
        <f t="shared" si="0"/>
        <v>0.94369999999999998</v>
      </c>
      <c r="N7" s="36">
        <f t="shared" si="0"/>
        <v>0.94369999999999998</v>
      </c>
      <c r="O7" s="36">
        <f t="shared" si="0"/>
        <v>0.94369999999999998</v>
      </c>
      <c r="P7" s="36">
        <f t="shared" si="0"/>
        <v>0.94369999999999998</v>
      </c>
      <c r="Q7" s="36">
        <f t="shared" si="0"/>
        <v>0.94369999999999998</v>
      </c>
      <c r="R7" s="36">
        <f t="shared" si="0"/>
        <v>0.94369999999999998</v>
      </c>
      <c r="S7" s="36">
        <f t="shared" si="0"/>
        <v>0.94369999999999998</v>
      </c>
      <c r="T7" s="36">
        <f t="shared" si="0"/>
        <v>0.94369999999999998</v>
      </c>
      <c r="U7" s="36">
        <f t="shared" si="0"/>
        <v>0.94369999999999998</v>
      </c>
      <c r="V7" s="36">
        <f t="shared" si="0"/>
        <v>0.94369999999999998</v>
      </c>
      <c r="W7" s="36">
        <f t="shared" si="0"/>
        <v>0.94369999999999998</v>
      </c>
      <c r="X7" s="36">
        <f t="shared" si="0"/>
        <v>0.94369999999999998</v>
      </c>
      <c r="Y7" s="36">
        <f t="shared" si="0"/>
        <v>0.94369999999999998</v>
      </c>
      <c r="Z7" s="36">
        <f t="shared" si="0"/>
        <v>0.94369999999999998</v>
      </c>
      <c r="AA7" s="36">
        <f t="shared" si="0"/>
        <v>0.94369999999999998</v>
      </c>
      <c r="AB7" s="36">
        <f t="shared" si="0"/>
        <v>0.94369999999999998</v>
      </c>
      <c r="AC7" s="36">
        <f t="shared" si="0"/>
        <v>0.94369999999999998</v>
      </c>
      <c r="AD7" s="36">
        <f t="shared" si="0"/>
        <v>0.94369999999999998</v>
      </c>
      <c r="AE7" s="36">
        <f t="shared" si="0"/>
        <v>0.94369999999999998</v>
      </c>
      <c r="AF7" s="36">
        <f t="shared" si="0"/>
        <v>0.94369999999999998</v>
      </c>
      <c r="AG7" s="36">
        <f t="shared" si="0"/>
        <v>0.94369999999999998</v>
      </c>
      <c r="AH7" s="36">
        <f t="shared" si="0"/>
        <v>0.94369999999999998</v>
      </c>
      <c r="AI7" s="36">
        <f t="shared" si="0"/>
        <v>0.94369999999999998</v>
      </c>
    </row>
    <row r="8" spans="2:37" outlineLevel="1">
      <c r="B8" t="s">
        <v>39</v>
      </c>
      <c r="C8" t="s">
        <v>191</v>
      </c>
      <c r="D8" t="s">
        <v>41</v>
      </c>
      <c r="I8" t="s">
        <v>80</v>
      </c>
      <c r="K8" s="16">
        <f>'Inputs - Project Specific'!$G$5</f>
        <v>0.95</v>
      </c>
      <c r="L8" s="16">
        <f>'Inputs - Project Specific'!$G$5</f>
        <v>0.95</v>
      </c>
      <c r="M8" s="16">
        <f>'Inputs - Project Specific'!$G$5</f>
        <v>0.95</v>
      </c>
      <c r="N8" s="16">
        <f>'Inputs - Project Specific'!$G$5</f>
        <v>0.95</v>
      </c>
      <c r="O8" s="16">
        <f>'Inputs - Project Specific'!$G$5</f>
        <v>0.95</v>
      </c>
      <c r="P8" s="16">
        <f>'Inputs - Project Specific'!$G$5</f>
        <v>0.95</v>
      </c>
      <c r="Q8" s="16">
        <f>'Inputs - Project Specific'!$G$5</f>
        <v>0.95</v>
      </c>
      <c r="R8" s="16">
        <f>'Inputs - Project Specific'!$G$5</f>
        <v>0.95</v>
      </c>
      <c r="S8" s="16">
        <f>'Inputs - Project Specific'!$G$5</f>
        <v>0.95</v>
      </c>
      <c r="T8" s="16">
        <f>'Inputs - Project Specific'!$G$5</f>
        <v>0.95</v>
      </c>
      <c r="U8" s="16">
        <f>'Inputs - Project Specific'!$G$5</f>
        <v>0.95</v>
      </c>
      <c r="V8" s="16">
        <f>'Inputs - Project Specific'!$G$5</f>
        <v>0.95</v>
      </c>
      <c r="W8" s="16">
        <f>'Inputs - Project Specific'!$G$5</f>
        <v>0.95</v>
      </c>
      <c r="X8" s="16">
        <f>'Inputs - Project Specific'!$G$5</f>
        <v>0.95</v>
      </c>
      <c r="Y8" s="16">
        <f>'Inputs - Project Specific'!$G$5</f>
        <v>0.95</v>
      </c>
      <c r="Z8" s="16">
        <f>'Inputs - Project Specific'!$G$5</f>
        <v>0.95</v>
      </c>
      <c r="AA8" s="16">
        <f>'Inputs - Project Specific'!$G$5</f>
        <v>0.95</v>
      </c>
      <c r="AB8" s="16">
        <f>'Inputs - Project Specific'!$G$5</f>
        <v>0.95</v>
      </c>
      <c r="AC8" s="16">
        <f>'Inputs - Project Specific'!$G$5</f>
        <v>0.95</v>
      </c>
      <c r="AD8" s="16">
        <f>'Inputs - Project Specific'!$G$5</f>
        <v>0.95</v>
      </c>
      <c r="AE8" s="16">
        <f>'Inputs - Project Specific'!$G$5</f>
        <v>0.95</v>
      </c>
      <c r="AF8" s="16">
        <f>'Inputs - Project Specific'!$G$5</f>
        <v>0.95</v>
      </c>
      <c r="AG8" s="16">
        <f>'Inputs - Project Specific'!$G$5</f>
        <v>0.95</v>
      </c>
      <c r="AH8" s="16">
        <f>'Inputs - Project Specific'!$G$5</f>
        <v>0.95</v>
      </c>
      <c r="AI8" s="16">
        <f>'Inputs - Project Specific'!$G$5</f>
        <v>0.95</v>
      </c>
    </row>
    <row r="9" spans="2:37" outlineLevel="1">
      <c r="B9" t="s">
        <v>39</v>
      </c>
      <c r="C9" t="s">
        <v>42</v>
      </c>
      <c r="D9" t="s">
        <v>41</v>
      </c>
      <c r="I9" t="s">
        <v>80</v>
      </c>
      <c r="K9" s="16">
        <f>'Inputs - Project Specific'!$G$6</f>
        <v>0.95</v>
      </c>
      <c r="L9" s="16">
        <f>'Inputs - Project Specific'!$G$6</f>
        <v>0.95</v>
      </c>
      <c r="M9" s="16">
        <f>'Inputs - Project Specific'!$G$6</f>
        <v>0.95</v>
      </c>
      <c r="N9" s="16">
        <f>'Inputs - Project Specific'!$G$6</f>
        <v>0.95</v>
      </c>
      <c r="O9" s="16">
        <f>'Inputs - Project Specific'!$G$6</f>
        <v>0.95</v>
      </c>
      <c r="P9" s="16">
        <f>'Inputs - Project Specific'!$G$6</f>
        <v>0.95</v>
      </c>
      <c r="Q9" s="16">
        <f>'Inputs - Project Specific'!$G$6</f>
        <v>0.95</v>
      </c>
      <c r="R9" s="16">
        <f>'Inputs - Project Specific'!$G$6</f>
        <v>0.95</v>
      </c>
      <c r="S9" s="16">
        <f>'Inputs - Project Specific'!$G$6</f>
        <v>0.95</v>
      </c>
      <c r="T9" s="16">
        <f>'Inputs - Project Specific'!$G$6</f>
        <v>0.95</v>
      </c>
      <c r="U9" s="16">
        <f>'Inputs - Project Specific'!$G$6</f>
        <v>0.95</v>
      </c>
      <c r="V9" s="16">
        <f>'Inputs - Project Specific'!$G$6</f>
        <v>0.95</v>
      </c>
      <c r="W9" s="16">
        <f>'Inputs - Project Specific'!$G$6</f>
        <v>0.95</v>
      </c>
      <c r="X9" s="16">
        <f>'Inputs - Project Specific'!$G$6</f>
        <v>0.95</v>
      </c>
      <c r="Y9" s="16">
        <f>'Inputs - Project Specific'!$G$6</f>
        <v>0.95</v>
      </c>
      <c r="Z9" s="16">
        <f>'Inputs - Project Specific'!$G$6</f>
        <v>0.95</v>
      </c>
      <c r="AA9" s="16">
        <f>'Inputs - Project Specific'!$G$6</f>
        <v>0.95</v>
      </c>
      <c r="AB9" s="16">
        <f>'Inputs - Project Specific'!$G$6</f>
        <v>0.95</v>
      </c>
      <c r="AC9" s="16">
        <f>'Inputs - Project Specific'!$G$6</f>
        <v>0.95</v>
      </c>
      <c r="AD9" s="16">
        <f>'Inputs - Project Specific'!$G$6</f>
        <v>0.95</v>
      </c>
      <c r="AE9" s="16">
        <f>'Inputs - Project Specific'!$G$6</f>
        <v>0.95</v>
      </c>
      <c r="AF9" s="16">
        <f>'Inputs - Project Specific'!$G$6</f>
        <v>0.95</v>
      </c>
      <c r="AG9" s="16">
        <f>'Inputs - Project Specific'!$G$6</f>
        <v>0.95</v>
      </c>
      <c r="AH9" s="16">
        <f>'Inputs - Project Specific'!$G$6</f>
        <v>0.95</v>
      </c>
      <c r="AI9" s="16">
        <f>'Inputs - Project Specific'!$G$6</f>
        <v>0.95</v>
      </c>
    </row>
    <row r="10" spans="2:37" outlineLevel="1">
      <c r="B10" t="s">
        <v>39</v>
      </c>
      <c r="C10" t="s">
        <v>192</v>
      </c>
      <c r="D10" t="s">
        <v>44</v>
      </c>
      <c r="I10" t="s">
        <v>80</v>
      </c>
      <c r="K10" s="16">
        <f>IF('Inputs - Project Specific'!$G$38='Inputs - Fixed'!$A$10,'Inputs - Fixed'!D78,'Inputs - Fixed'!D77)</f>
        <v>96.99</v>
      </c>
      <c r="L10" s="16">
        <f>K10</f>
        <v>96.99</v>
      </c>
      <c r="M10" s="16">
        <f t="shared" ref="M10:N10" si="1">L10</f>
        <v>96.99</v>
      </c>
      <c r="N10" s="16">
        <f t="shared" si="1"/>
        <v>96.99</v>
      </c>
      <c r="O10" s="16">
        <f>IF('Inputs - Project Specific'!$G$38='Inputs - Fixed'!$A$10,'Inputs - Fixed'!E78,'Inputs - Fixed'!E77)</f>
        <v>98.92</v>
      </c>
      <c r="P10" s="16">
        <f>O10</f>
        <v>98.92</v>
      </c>
      <c r="Q10" s="16">
        <f t="shared" ref="Q10:R10" si="2">P10</f>
        <v>98.92</v>
      </c>
      <c r="R10" s="16">
        <f t="shared" si="2"/>
        <v>98.92</v>
      </c>
      <c r="S10" s="16">
        <f>IF('Inputs - Project Specific'!$G$38='Inputs - Fixed'!$A$10,'Inputs - Fixed'!F78,'Inputs - Fixed'!F77)</f>
        <v>100.9</v>
      </c>
      <c r="T10" s="16">
        <f>S10</f>
        <v>100.9</v>
      </c>
      <c r="U10" s="16">
        <f t="shared" ref="U10:V10" si="3">T10</f>
        <v>100.9</v>
      </c>
      <c r="V10" s="16">
        <f t="shared" si="3"/>
        <v>100.9</v>
      </c>
      <c r="W10" s="16">
        <f>IF('Inputs - Project Specific'!$G$38='Inputs - Fixed'!$A$10,'Inputs - Fixed'!G78,'Inputs - Fixed'!G77)</f>
        <v>102.92</v>
      </c>
      <c r="X10" s="16">
        <f>W10</f>
        <v>102.92</v>
      </c>
      <c r="Y10" s="16">
        <f t="shared" ref="Y10:Z10" si="4">X10</f>
        <v>102.92</v>
      </c>
      <c r="Z10" s="16">
        <f t="shared" si="4"/>
        <v>102.92</v>
      </c>
      <c r="AA10" s="16">
        <f>IF('Inputs - Project Specific'!$G$38='Inputs - Fixed'!$A$10,'Inputs - Fixed'!H78,'Inputs - Fixed'!H77)</f>
        <v>104.98</v>
      </c>
      <c r="AB10" s="16">
        <f>IF('Inputs - Project Specific'!$G$38='Inputs - Fixed'!$A$10,'Inputs - Fixed'!I78,'Inputs - Fixed'!I77)</f>
        <v>107.08</v>
      </c>
      <c r="AC10" s="16">
        <f>IF('Inputs - Project Specific'!$G$38='Inputs - Fixed'!$A$10,'Inputs - Fixed'!J78,'Inputs - Fixed'!J77)</f>
        <v>109.22</v>
      </c>
      <c r="AD10" s="16">
        <f>IF('Inputs - Project Specific'!$G$38='Inputs - Fixed'!$A$10,'Inputs - Fixed'!K78,'Inputs - Fixed'!K77)</f>
        <v>111.41</v>
      </c>
      <c r="AE10" s="16">
        <f>IF('Inputs - Project Specific'!$G$38='Inputs - Fixed'!$A$10,'Inputs - Fixed'!L78,'Inputs - Fixed'!L77)</f>
        <v>113.63</v>
      </c>
      <c r="AF10" s="16">
        <f>IF('Inputs - Project Specific'!$G$38='Inputs - Fixed'!$A$10,'Inputs - Fixed'!M78,'Inputs - Fixed'!M77)</f>
        <v>115.91</v>
      </c>
      <c r="AG10" s="16">
        <f>IF('Inputs - Project Specific'!$G$38='Inputs - Fixed'!$A$10,'Inputs - Fixed'!N78,'Inputs - Fixed'!N77)</f>
        <v>118.22</v>
      </c>
      <c r="AH10" s="16">
        <f>IF('Inputs - Project Specific'!$G$38='Inputs - Fixed'!$A$10,'Inputs - Fixed'!O78,'Inputs - Fixed'!O77)</f>
        <v>120.59</v>
      </c>
      <c r="AI10" s="16">
        <f>IF('Inputs - Project Specific'!$G$38='Inputs - Fixed'!$A$10,'Inputs - Fixed'!P78,'Inputs - Fixed'!P77)</f>
        <v>123</v>
      </c>
    </row>
    <row r="11" spans="2:37" outlineLevel="1">
      <c r="B11" t="s">
        <v>39</v>
      </c>
      <c r="C11" t="s">
        <v>45</v>
      </c>
      <c r="D11" t="s">
        <v>46</v>
      </c>
      <c r="I11" t="s">
        <v>47</v>
      </c>
      <c r="K11">
        <v>1000</v>
      </c>
      <c r="L11">
        <v>1000</v>
      </c>
      <c r="M11">
        <v>1000</v>
      </c>
      <c r="N11">
        <v>1000</v>
      </c>
      <c r="O11">
        <v>1000</v>
      </c>
      <c r="P11">
        <v>1000</v>
      </c>
      <c r="Q11">
        <v>1000</v>
      </c>
      <c r="R11">
        <v>1000</v>
      </c>
      <c r="S11">
        <v>1000</v>
      </c>
      <c r="T11">
        <v>1000</v>
      </c>
      <c r="U11">
        <v>1000</v>
      </c>
      <c r="V11">
        <v>1000</v>
      </c>
      <c r="W11">
        <v>1000</v>
      </c>
      <c r="X11">
        <v>1000</v>
      </c>
      <c r="Y11">
        <v>1000</v>
      </c>
      <c r="Z11">
        <v>1000</v>
      </c>
      <c r="AA11">
        <v>1000</v>
      </c>
      <c r="AB11">
        <v>1000</v>
      </c>
      <c r="AC11">
        <v>1000</v>
      </c>
      <c r="AD11">
        <v>1000</v>
      </c>
      <c r="AE11">
        <v>1000</v>
      </c>
      <c r="AF11">
        <v>1000</v>
      </c>
      <c r="AG11">
        <v>1000</v>
      </c>
      <c r="AH11">
        <v>1000</v>
      </c>
      <c r="AI11">
        <v>1000</v>
      </c>
    </row>
    <row r="12" spans="2:37" outlineLevel="1">
      <c r="B12" t="s">
        <v>39</v>
      </c>
      <c r="C12" t="s">
        <v>48</v>
      </c>
      <c r="I12" t="s">
        <v>47</v>
      </c>
      <c r="K12">
        <f>IF(K1='Inputs - Project Specific'!F43,IF('Inputs - Project Specific'!G43='4.2-4.4_Benefits'!K2,0.25,0),0)</f>
        <v>0</v>
      </c>
      <c r="L12">
        <f>IF(K12&lt;&gt;0,0.25,IF(L1='Inputs - Project Specific'!F43,IF('Inputs - Project Specific'!G43='4.2-4.4_Benefits'!L2,0.25,0),0))</f>
        <v>0.25</v>
      </c>
      <c r="M12">
        <f>IF(L12&lt;&gt;0,0.25,IF(M1='Inputs - Project Specific'!G43,IF('Inputs - Project Specific'!H43='4.2-4.4_Benefits'!M2,0.25,0),0))</f>
        <v>0.25</v>
      </c>
      <c r="N12">
        <f>IF(M12&lt;&gt;0,0.25,IF(N1='Inputs - Project Specific'!H43,IF('Inputs - Project Specific'!I43='4.2-4.4_Benefits'!N2,0.25,0),0))</f>
        <v>0.25</v>
      </c>
      <c r="O12">
        <f>IF(N12&lt;&gt;0,0.25,IF(O1='Inputs - Project Specific'!I43,IF('Inputs - Project Specific'!J43='4.2-4.4_Benefits'!O2,0.25,0),0))</f>
        <v>0.25</v>
      </c>
      <c r="P12">
        <f>IF(O12&lt;&gt;0,0.25,IF(P1='Inputs - Project Specific'!J43,IF('Inputs - Project Specific'!K43='4.2-4.4_Benefits'!P2,0.25,0),0))</f>
        <v>0.25</v>
      </c>
      <c r="Q12">
        <f>IF(P12&lt;&gt;0,0.25,IF(Q1='Inputs - Project Specific'!K43,IF('Inputs - Project Specific'!L43='4.2-4.4_Benefits'!Q2,0.25,0),0))</f>
        <v>0.25</v>
      </c>
      <c r="R12">
        <f>IF(Q12&lt;&gt;0,0.25,IF(R1='Inputs - Project Specific'!L43,IF('Inputs - Project Specific'!M43='4.2-4.4_Benefits'!R2,0.25,0),0))</f>
        <v>0.25</v>
      </c>
      <c r="S12">
        <f>IF(R12&lt;&gt;0,0.25,IF(S1='Inputs - Project Specific'!M43,IF('Inputs - Project Specific'!N43='4.2-4.4_Benefits'!S2,0.25,0),0))</f>
        <v>0.25</v>
      </c>
      <c r="T12">
        <f>IF(S12&lt;&gt;0,0.25,IF(T1='Inputs - Project Specific'!N43,IF('Inputs - Project Specific'!O43='4.2-4.4_Benefits'!T2,0.25,0),0))</f>
        <v>0.25</v>
      </c>
      <c r="U12">
        <f>IF(T12&lt;&gt;0,0.25,IF(U1='Inputs - Project Specific'!O43,IF('Inputs - Project Specific'!P43='4.2-4.4_Benefits'!U2,0.25,0),0))</f>
        <v>0.25</v>
      </c>
      <c r="V12">
        <f>IF(U12&lt;&gt;0,0.25,IF(V1='Inputs - Project Specific'!P43,IF('Inputs - Project Specific'!Q43='4.2-4.4_Benefits'!V2,0.25,0),0))</f>
        <v>0.25</v>
      </c>
      <c r="W12">
        <f>IF(V12&lt;&gt;0,0.25,IF(W1='Inputs - Project Specific'!Q43,IF('Inputs - Project Specific'!R43='4.2-4.4_Benefits'!W2,0.25,0),0))</f>
        <v>0.25</v>
      </c>
      <c r="X12">
        <f>IF(W12&lt;&gt;0,0.25,IF(X1='Inputs - Project Specific'!R43,IF('Inputs - Project Specific'!S43='4.2-4.4_Benefits'!X2,0.25,0),0))</f>
        <v>0.25</v>
      </c>
      <c r="Y12">
        <f>IF(X12&lt;&gt;0,0.25,IF(Y1='Inputs - Project Specific'!S43,IF('Inputs - Project Specific'!T43='4.2-4.4_Benefits'!Y2,0.25,0),0))</f>
        <v>0.25</v>
      </c>
      <c r="Z12">
        <f>IF(Y12&lt;&gt;0,0.25,IF(Z1='Inputs - Project Specific'!T43,IF('Inputs - Project Specific'!U43='4.2-4.4_Benefits'!Z2,0.25,0),0))</f>
        <v>0.25</v>
      </c>
      <c r="AA12">
        <f>IF(Z12&lt;&gt;0,1,IF(AA1='Inputs - Project Specific'!F43,1,0))</f>
        <v>1</v>
      </c>
      <c r="AB12">
        <f>IF(AA12&lt;&gt;0,1,IF(AB1='Inputs - Project Specific'!G43,1,0))</f>
        <v>1</v>
      </c>
      <c r="AC12">
        <f>IF(AB12&lt;&gt;0,1,IF(AC1='Inputs - Project Specific'!H43,1,0))</f>
        <v>1</v>
      </c>
      <c r="AD12">
        <f>IF(AC12&lt;&gt;0,1,IF(AD1='Inputs - Project Specific'!I43,1,0))</f>
        <v>1</v>
      </c>
      <c r="AE12">
        <f>IF(AD12&lt;&gt;0,1,IF(AE1='Inputs - Project Specific'!J43,1,0))</f>
        <v>1</v>
      </c>
      <c r="AF12">
        <f>IF(AE12&lt;&gt;0,1,IF(AF1='Inputs - Project Specific'!K43,1,0))</f>
        <v>1</v>
      </c>
      <c r="AG12">
        <v>0</v>
      </c>
      <c r="AH12">
        <v>0</v>
      </c>
      <c r="AI12">
        <v>0</v>
      </c>
    </row>
    <row r="13" spans="2:37">
      <c r="C13" t="s">
        <v>360</v>
      </c>
      <c r="D13" t="s">
        <v>13</v>
      </c>
      <c r="F13" s="37"/>
      <c r="G13" s="37"/>
      <c r="H13" s="37"/>
      <c r="K13" s="38">
        <f>IF('Inputs - Project Specific'!$G$28='4.2-4.4_Benefits'!K1,0,K6/K7*K8*K9*K10*K11*K12)</f>
        <v>0</v>
      </c>
      <c r="L13" s="38">
        <f>IF('Inputs - Project Specific'!$G$28='4.2-4.4_Benefits'!L1,0,L6/L7*L8*L9*L10*L11*L12)</f>
        <v>113625.62983469323</v>
      </c>
      <c r="M13" s="38">
        <f>IF('Inputs - Project Specific'!$G$28='4.2-4.4_Benefits'!M1,0,M6/M7*M8*M9*M10*M11*M12)</f>
        <v>113625.62983469323</v>
      </c>
      <c r="N13" s="38">
        <f>IF('Inputs - Project Specific'!$G$28='4.2-4.4_Benefits'!N1,0,N6/N7*N8*N9*N10*N11*N12)</f>
        <v>113625.62983469323</v>
      </c>
      <c r="O13" s="38">
        <f>IF('Inputs - Project Specific'!$G$28='4.2-4.4_Benefits'!O1,0,O6/O7*O8*O9*O10*O11*O12)</f>
        <v>115886.66154498252</v>
      </c>
      <c r="P13" s="38">
        <f>IF('Inputs - Project Specific'!$G$28='4.2-4.4_Benefits'!P1,0,P6/P7*P8*P9*P10*P11*P12)</f>
        <v>115886.66154498252</v>
      </c>
      <c r="Q13" s="38">
        <f>IF('Inputs - Project Specific'!$G$28='4.2-4.4_Benefits'!Q1,0,Q6/Q7*Q8*Q9*Q10*Q11*Q12)</f>
        <v>115886.66154498252</v>
      </c>
      <c r="R13" s="38">
        <f>IF('Inputs - Project Specific'!$G$28='4.2-4.4_Benefits'!R1,0,R6/R7*R8*R9*R10*R11*R12)</f>
        <v>115886.66154498252</v>
      </c>
      <c r="S13" s="38">
        <f>IF('Inputs - Project Specific'!$G$28='4.2-4.4_Benefits'!S1,0,S6/S7*S8*S9*S10*S11*S12)</f>
        <v>118206.26920631557</v>
      </c>
      <c r="T13" s="38">
        <f>IF('Inputs - Project Specific'!$G$28='4.2-4.4_Benefits'!T1,0,T6/T7*T8*T9*T10*T11*T12)</f>
        <v>118206.26920631557</v>
      </c>
      <c r="U13" s="38">
        <f>IF('Inputs - Project Specific'!$G$28='4.2-4.4_Benefits'!U1,0,U6/U7*U8*U9*U10*U11*U12)</f>
        <v>118206.26920631557</v>
      </c>
      <c r="V13" s="38">
        <f>IF('Inputs - Project Specific'!$G$28='4.2-4.4_Benefits'!V1,0,V6/V7*V8*V9*V10*V11*V12)</f>
        <v>118206.26920631557</v>
      </c>
      <c r="W13" s="38">
        <f>IF('Inputs - Project Specific'!$G$28='4.2-4.4_Benefits'!W1,0,W6/W7*W8*W9*W10*W11*W12)</f>
        <v>120572.73762848362</v>
      </c>
      <c r="X13" s="38">
        <f>IF('Inputs - Project Specific'!$G$28='4.2-4.4_Benefits'!X1,0,X6/X7*X8*X9*X10*X11*X12)</f>
        <v>120572.73762848362</v>
      </c>
      <c r="Y13" s="38">
        <f>IF('Inputs - Project Specific'!$G$28='4.2-4.4_Benefits'!Y1,0,Y6/Y7*Y8*Y9*Y10*Y11*Y12)</f>
        <v>120572.73762848362</v>
      </c>
      <c r="Z13" s="38">
        <f>IF('Inputs - Project Specific'!$G$28='4.2-4.4_Benefits'!Z1,0,Z6/Z7*Z8*Z9*Z10*Z11*Z12)</f>
        <v>120572.73762848362</v>
      </c>
      <c r="AA13" s="38">
        <f>IF('Inputs - Project Specific'!$G$28='4.2-4.4_Benefits'!AA1,0,AA6/AA7*AA8*AA9*AA10*AA11*AA12)</f>
        <v>491944.26724594686</v>
      </c>
      <c r="AB13" s="38">
        <f>IF('Inputs - Project Specific'!$G$28='4.2-4.4_Benefits'!AB1,0,AB6/AB7*AB8*AB9*AB10*AB11*AB12)</f>
        <v>501785.02702129912</v>
      </c>
      <c r="AC13" s="38">
        <f>IF('Inputs - Project Specific'!$G$28='4.2-4.4_Benefits'!AC1,0,AC6/AC7*AC8*AC9*AC10*AC11*AC12)</f>
        <v>511813.22983999149</v>
      </c>
      <c r="AD13" s="38">
        <f>IF('Inputs - Project Specific'!$G$28='4.2-4.4_Benefits'!AD1,0,AD6/AD7*AD8*AD9*AD10*AD11*AD12)</f>
        <v>522075.73646285891</v>
      </c>
      <c r="AE13" s="38">
        <f>IF('Inputs - Project Specific'!$G$28='4.2-4.4_Benefits'!AE1,0,AE6/AE7*AE8*AE9*AE10*AE11*AE12)</f>
        <v>532478.8253682314</v>
      </c>
      <c r="AF13" s="38">
        <f>IF('Inputs - Project Specific'!$G$28='4.2-4.4_Benefits'!AF1,0,AF6/AF7*AF8*AF9*AF10*AF11*AF12)</f>
        <v>543163.07883861393</v>
      </c>
      <c r="AG13" s="38">
        <f>IF('Inputs - Project Specific'!$G$28='4.2-4.4_Benefits'!AG1,0,AG6/AG7*AG8*AG9*AG10*AG11*AG12)</f>
        <v>0</v>
      </c>
      <c r="AH13" s="38">
        <f>IF('Inputs - Project Specific'!$G$28='4.2-4.4_Benefits'!AH1,0,AH6/AH7*AH8*AH9*AH10*AH11*AH12)</f>
        <v>0</v>
      </c>
      <c r="AI13" s="38">
        <f>IF('Inputs - Project Specific'!$G$28='4.2-4.4_Benefits'!AI1,0,AI6/AI7*AI8*AI9*AI10*AI11*AI12)</f>
        <v>0</v>
      </c>
      <c r="AJ13" s="38">
        <f>SUM(K13:AI13)</f>
        <v>4862799.7278001476</v>
      </c>
      <c r="AK13" s="38">
        <f>NPV('Inputs - Fixed'!$F$3,SUM(K13:N13),SUM(O13:R13),SUM(S13:V13),SUM(W13:Z13),AA13,AB13,AC13,AD13,AE13,AF13,AG13,AH13,AI13)</f>
        <v>3375537.4672728837</v>
      </c>
    </row>
    <row r="14" spans="2:37">
      <c r="F14" s="37"/>
      <c r="G14" s="37"/>
      <c r="H14" s="37"/>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row>
    <row r="15" spans="2:37" s="41" customFormat="1">
      <c r="B15" s="43" t="s">
        <v>120</v>
      </c>
      <c r="C15" s="43" t="s">
        <v>133</v>
      </c>
      <c r="D15" s="43"/>
      <c r="F15" s="37" t="s">
        <v>39</v>
      </c>
      <c r="G15" s="37" t="s">
        <v>39</v>
      </c>
      <c r="H15" s="37" t="s">
        <v>39</v>
      </c>
    </row>
    <row r="16" spans="2:37" s="41" customFormat="1" outlineLevel="1">
      <c r="C16" s="41" t="s">
        <v>196</v>
      </c>
      <c r="L16" s="226"/>
    </row>
    <row r="17" spans="2:37" s="41" customFormat="1" outlineLevel="1">
      <c r="C17" s="41" t="s">
        <v>197</v>
      </c>
    </row>
    <row r="18" spans="2:37">
      <c r="F18" s="37"/>
      <c r="G18" s="37"/>
      <c r="H18" s="37"/>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row>
    <row r="19" spans="2:37" s="41" customFormat="1">
      <c r="B19" s="43" t="s">
        <v>121</v>
      </c>
      <c r="C19" s="43" t="s">
        <v>134</v>
      </c>
      <c r="D19" s="43"/>
      <c r="F19" s="37" t="s">
        <v>39</v>
      </c>
      <c r="G19" s="37" t="s">
        <v>39</v>
      </c>
      <c r="H19" s="37" t="s">
        <v>39</v>
      </c>
    </row>
    <row r="20" spans="2:37" s="41" customFormat="1" outlineLevel="1">
      <c r="C20" s="41" t="s">
        <v>195</v>
      </c>
    </row>
    <row r="21" spans="2:37" s="41" customFormat="1" outlineLevel="1">
      <c r="C21" s="41" t="s">
        <v>193</v>
      </c>
    </row>
    <row r="22" spans="2:37" s="41" customFormat="1"/>
    <row r="23" spans="2:37">
      <c r="B23" s="39" t="s">
        <v>122</v>
      </c>
      <c r="C23" s="43" t="s">
        <v>194</v>
      </c>
      <c r="D23" s="39"/>
      <c r="F23" s="37" t="s">
        <v>39</v>
      </c>
      <c r="G23" s="37" t="s">
        <v>39</v>
      </c>
      <c r="H23" s="37" t="s">
        <v>39</v>
      </c>
    </row>
    <row r="24" spans="2:37" outlineLevel="1"/>
    <row r="25" spans="2:37" outlineLevel="1">
      <c r="C25" s="41" t="s">
        <v>199</v>
      </c>
    </row>
    <row r="26" spans="2:37" outlineLevel="1"/>
    <row r="28" spans="2:37">
      <c r="B28" s="39" t="s">
        <v>123</v>
      </c>
      <c r="C28" s="43" t="s">
        <v>136</v>
      </c>
      <c r="D28" s="39"/>
      <c r="F28" s="37" t="s">
        <v>39</v>
      </c>
      <c r="G28" s="37"/>
      <c r="H28" s="37"/>
    </row>
    <row r="29" spans="2:37" outlineLevel="1"/>
    <row r="30" spans="2:37" outlineLevel="1">
      <c r="C30" s="41" t="s">
        <v>199</v>
      </c>
    </row>
    <row r="31" spans="2:37" outlineLevel="1"/>
    <row r="33" spans="2:37">
      <c r="B33" s="39" t="s">
        <v>124</v>
      </c>
      <c r="C33" s="39" t="s">
        <v>137</v>
      </c>
      <c r="D33" s="39"/>
      <c r="F33" s="37" t="s">
        <v>39</v>
      </c>
      <c r="G33" s="37"/>
      <c r="H33" s="37"/>
    </row>
    <row r="34" spans="2:37" outlineLevel="1"/>
    <row r="35" spans="2:37" outlineLevel="1">
      <c r="C35" s="41" t="s">
        <v>201</v>
      </c>
    </row>
    <row r="36" spans="2:37" outlineLevel="1"/>
    <row r="38" spans="2:37">
      <c r="B38" s="39" t="s">
        <v>125</v>
      </c>
      <c r="C38" s="39" t="s">
        <v>233</v>
      </c>
      <c r="D38" s="39"/>
      <c r="F38" s="37" t="s">
        <v>39</v>
      </c>
      <c r="G38" s="37"/>
      <c r="H38" s="37"/>
    </row>
    <row r="39" spans="2:37" outlineLevel="1"/>
    <row r="40" spans="2:37" outlineLevel="1">
      <c r="C40" t="s">
        <v>202</v>
      </c>
      <c r="D40" t="s">
        <v>203</v>
      </c>
      <c r="I40" t="s">
        <v>79</v>
      </c>
      <c r="K40" s="16">
        <f>'Inputs - Project Specific'!G35</f>
        <v>0</v>
      </c>
      <c r="L40" s="16">
        <f>K40</f>
        <v>0</v>
      </c>
      <c r="M40" s="16">
        <f t="shared" ref="M40:AI40" si="5">L40</f>
        <v>0</v>
      </c>
      <c r="N40" s="16">
        <f t="shared" si="5"/>
        <v>0</v>
      </c>
      <c r="O40" s="16">
        <f t="shared" si="5"/>
        <v>0</v>
      </c>
      <c r="P40" s="16">
        <f t="shared" si="5"/>
        <v>0</v>
      </c>
      <c r="Q40" s="16">
        <f t="shared" si="5"/>
        <v>0</v>
      </c>
      <c r="R40" s="16">
        <f t="shared" si="5"/>
        <v>0</v>
      </c>
      <c r="S40" s="16">
        <f t="shared" si="5"/>
        <v>0</v>
      </c>
      <c r="T40" s="16">
        <f t="shared" si="5"/>
        <v>0</v>
      </c>
      <c r="U40" s="16">
        <f t="shared" si="5"/>
        <v>0</v>
      </c>
      <c r="V40" s="16">
        <f t="shared" si="5"/>
        <v>0</v>
      </c>
      <c r="W40" s="16">
        <f t="shared" si="5"/>
        <v>0</v>
      </c>
      <c r="X40" s="16">
        <f t="shared" si="5"/>
        <v>0</v>
      </c>
      <c r="Y40" s="16">
        <f t="shared" si="5"/>
        <v>0</v>
      </c>
      <c r="Z40" s="16">
        <f t="shared" si="5"/>
        <v>0</v>
      </c>
      <c r="AA40" s="16">
        <f t="shared" si="5"/>
        <v>0</v>
      </c>
      <c r="AB40" s="16">
        <f t="shared" si="5"/>
        <v>0</v>
      </c>
      <c r="AC40" s="16">
        <f t="shared" si="5"/>
        <v>0</v>
      </c>
      <c r="AD40" s="16">
        <f t="shared" si="5"/>
        <v>0</v>
      </c>
      <c r="AE40" s="16">
        <f t="shared" si="5"/>
        <v>0</v>
      </c>
      <c r="AF40" s="16">
        <f t="shared" si="5"/>
        <v>0</v>
      </c>
      <c r="AG40" s="16">
        <f t="shared" si="5"/>
        <v>0</v>
      </c>
      <c r="AH40" s="16">
        <f t="shared" si="5"/>
        <v>0</v>
      </c>
      <c r="AI40" s="16">
        <f t="shared" si="5"/>
        <v>0</v>
      </c>
    </row>
    <row r="41" spans="2:37" outlineLevel="1">
      <c r="C41" t="s">
        <v>224</v>
      </c>
      <c r="D41" t="s">
        <v>204</v>
      </c>
      <c r="I41" t="s">
        <v>79</v>
      </c>
      <c r="K41" s="57">
        <f>'Inputs - Project Specific'!$G$39</f>
        <v>0</v>
      </c>
      <c r="L41" s="57">
        <f>'Inputs - Project Specific'!$G$39</f>
        <v>0</v>
      </c>
      <c r="M41" s="57">
        <f>'Inputs - Project Specific'!$G$39</f>
        <v>0</v>
      </c>
      <c r="N41" s="57">
        <f>'Inputs - Project Specific'!$G$39</f>
        <v>0</v>
      </c>
      <c r="O41" s="57">
        <f>'Inputs - Project Specific'!$G$39</f>
        <v>0</v>
      </c>
      <c r="P41" s="57">
        <f>'Inputs - Project Specific'!$G$39</f>
        <v>0</v>
      </c>
      <c r="Q41" s="57">
        <f>'Inputs - Project Specific'!$G$39</f>
        <v>0</v>
      </c>
      <c r="R41" s="57">
        <f>'Inputs - Project Specific'!$G$39</f>
        <v>0</v>
      </c>
      <c r="S41" s="57">
        <f>'Inputs - Project Specific'!$G$39</f>
        <v>0</v>
      </c>
      <c r="T41" s="57">
        <f>'Inputs - Project Specific'!$G$39</f>
        <v>0</v>
      </c>
      <c r="U41" s="57">
        <f>'Inputs - Project Specific'!$G$39</f>
        <v>0</v>
      </c>
      <c r="V41" s="57">
        <f>'Inputs - Project Specific'!$G$39</f>
        <v>0</v>
      </c>
      <c r="W41" s="57">
        <f>'Inputs - Project Specific'!$G$39</f>
        <v>0</v>
      </c>
      <c r="X41" s="57">
        <f>'Inputs - Project Specific'!$G$39</f>
        <v>0</v>
      </c>
      <c r="Y41" s="57">
        <f>'Inputs - Project Specific'!$G$39</f>
        <v>0</v>
      </c>
      <c r="Z41" s="57">
        <f>'Inputs - Project Specific'!$G$39</f>
        <v>0</v>
      </c>
      <c r="AA41" s="57">
        <f>'Inputs - Project Specific'!$G$39</f>
        <v>0</v>
      </c>
      <c r="AB41" s="57">
        <f>'Inputs - Project Specific'!$G$39</f>
        <v>0</v>
      </c>
      <c r="AC41" s="57">
        <f>'Inputs - Project Specific'!$G$39</f>
        <v>0</v>
      </c>
      <c r="AD41" s="57">
        <f>'Inputs - Project Specific'!$G$39</f>
        <v>0</v>
      </c>
      <c r="AE41" s="57">
        <f>'Inputs - Project Specific'!$G$39</f>
        <v>0</v>
      </c>
      <c r="AF41" s="57">
        <f>'Inputs - Project Specific'!$G$39</f>
        <v>0</v>
      </c>
      <c r="AG41" s="57">
        <f>'Inputs - Project Specific'!$G$39</f>
        <v>0</v>
      </c>
      <c r="AH41" s="57">
        <f>'Inputs - Project Specific'!$G$39</f>
        <v>0</v>
      </c>
      <c r="AI41" s="57">
        <f>'Inputs - Project Specific'!$G$39</f>
        <v>0</v>
      </c>
    </row>
    <row r="42" spans="2:37" outlineLevel="1">
      <c r="C42" t="s">
        <v>226</v>
      </c>
      <c r="D42" t="s">
        <v>205</v>
      </c>
      <c r="I42" t="s">
        <v>80</v>
      </c>
      <c r="K42" s="56">
        <f>'Inputs - Fixed'!$D$17</f>
        <v>5</v>
      </c>
      <c r="L42" s="56">
        <f>K42</f>
        <v>5</v>
      </c>
      <c r="M42" s="56">
        <f t="shared" ref="M42:N42" si="6">L42</f>
        <v>5</v>
      </c>
      <c r="N42" s="56">
        <f t="shared" si="6"/>
        <v>5</v>
      </c>
      <c r="O42" s="56">
        <f>'Inputs - Fixed'!$D$18</f>
        <v>5</v>
      </c>
      <c r="P42" s="56">
        <f>O42</f>
        <v>5</v>
      </c>
      <c r="Q42" s="56">
        <f t="shared" ref="Q42:R42" si="7">P42</f>
        <v>5</v>
      </c>
      <c r="R42" s="56">
        <f t="shared" si="7"/>
        <v>5</v>
      </c>
      <c r="S42" s="56">
        <f>'Inputs - Fixed'!$D$19</f>
        <v>5</v>
      </c>
      <c r="T42" s="56">
        <f>S42</f>
        <v>5</v>
      </c>
      <c r="U42" s="56">
        <f t="shared" ref="U42:V42" si="8">T42</f>
        <v>5</v>
      </c>
      <c r="V42" s="56">
        <f t="shared" si="8"/>
        <v>5</v>
      </c>
      <c r="W42" s="56">
        <f>'Inputs - Fixed'!$D$20</f>
        <v>5</v>
      </c>
      <c r="X42" s="56">
        <f>W42</f>
        <v>5</v>
      </c>
      <c r="Y42" s="56">
        <f t="shared" ref="Y42:Z42" si="9">X42</f>
        <v>5</v>
      </c>
      <c r="Z42" s="56">
        <f t="shared" si="9"/>
        <v>5</v>
      </c>
      <c r="AA42" s="56">
        <f>'Inputs - Fixed'!$D$21</f>
        <v>5</v>
      </c>
      <c r="AB42" s="56">
        <f>'Inputs - Fixed'!$D$22</f>
        <v>5</v>
      </c>
      <c r="AC42" s="56">
        <f>'Inputs - Fixed'!$D$23</f>
        <v>5</v>
      </c>
      <c r="AD42" s="56">
        <f>'Inputs - Fixed'!$D$24</f>
        <v>5</v>
      </c>
      <c r="AE42" s="56">
        <f>'Inputs - Fixed'!$D$25</f>
        <v>5</v>
      </c>
      <c r="AF42" s="56">
        <f>'Inputs - Fixed'!$D$26</f>
        <v>5</v>
      </c>
      <c r="AG42" s="56">
        <f>'Inputs - Fixed'!$D$27</f>
        <v>5</v>
      </c>
      <c r="AH42" s="56">
        <f>'Inputs - Fixed'!$D$28</f>
        <v>5</v>
      </c>
      <c r="AI42" s="56">
        <f>'Inputs - Fixed'!$D$28</f>
        <v>5</v>
      </c>
    </row>
    <row r="43" spans="2:37" outlineLevel="1">
      <c r="C43" t="s">
        <v>225</v>
      </c>
      <c r="D43" t="s">
        <v>204</v>
      </c>
      <c r="I43" t="s">
        <v>79</v>
      </c>
      <c r="K43" s="57">
        <f>'Inputs - Project Specific'!$G$40</f>
        <v>0</v>
      </c>
      <c r="L43" s="57">
        <f>'Inputs - Project Specific'!$G$40</f>
        <v>0</v>
      </c>
      <c r="M43" s="57">
        <f>'Inputs - Project Specific'!$G$40</f>
        <v>0</v>
      </c>
      <c r="N43" s="57">
        <f>'Inputs - Project Specific'!$G$40</f>
        <v>0</v>
      </c>
      <c r="O43" s="57">
        <f>'Inputs - Project Specific'!$G$40</f>
        <v>0</v>
      </c>
      <c r="P43" s="57">
        <f>'Inputs - Project Specific'!$G$40</f>
        <v>0</v>
      </c>
      <c r="Q43" s="57">
        <f>'Inputs - Project Specific'!$G$40</f>
        <v>0</v>
      </c>
      <c r="R43" s="57">
        <f>'Inputs - Project Specific'!$G$40</f>
        <v>0</v>
      </c>
      <c r="S43" s="57">
        <f>'Inputs - Project Specific'!$G$40</f>
        <v>0</v>
      </c>
      <c r="T43" s="57">
        <f>'Inputs - Project Specific'!$G$40</f>
        <v>0</v>
      </c>
      <c r="U43" s="57">
        <f>'Inputs - Project Specific'!$G$40</f>
        <v>0</v>
      </c>
      <c r="V43" s="57">
        <f>'Inputs - Project Specific'!$G$40</f>
        <v>0</v>
      </c>
      <c r="W43" s="57">
        <f>'Inputs - Project Specific'!$G$40</f>
        <v>0</v>
      </c>
      <c r="X43" s="57">
        <f>'Inputs - Project Specific'!$G$40</f>
        <v>0</v>
      </c>
      <c r="Y43" s="57">
        <f>'Inputs - Project Specific'!$G$40</f>
        <v>0</v>
      </c>
      <c r="Z43" s="57">
        <f>'Inputs - Project Specific'!$G$40</f>
        <v>0</v>
      </c>
      <c r="AA43" s="57">
        <f>'Inputs - Project Specific'!$G$40</f>
        <v>0</v>
      </c>
      <c r="AB43" s="57">
        <f>'Inputs - Project Specific'!$G$40</f>
        <v>0</v>
      </c>
      <c r="AC43" s="57">
        <f>'Inputs - Project Specific'!$G$40</f>
        <v>0</v>
      </c>
      <c r="AD43" s="57">
        <f>'Inputs - Project Specific'!$G$40</f>
        <v>0</v>
      </c>
      <c r="AE43" s="57">
        <f>'Inputs - Project Specific'!$G$40</f>
        <v>0</v>
      </c>
      <c r="AF43" s="57">
        <f>'Inputs - Project Specific'!$G$40</f>
        <v>0</v>
      </c>
      <c r="AG43" s="57">
        <f>'Inputs - Project Specific'!$G$40</f>
        <v>0</v>
      </c>
      <c r="AH43" s="57">
        <f>'Inputs - Project Specific'!$G$40</f>
        <v>0</v>
      </c>
      <c r="AI43" s="57">
        <f>'Inputs - Project Specific'!$G$40</f>
        <v>0</v>
      </c>
    </row>
    <row r="44" spans="2:37" outlineLevel="1">
      <c r="C44" t="s">
        <v>227</v>
      </c>
      <c r="D44" t="s">
        <v>205</v>
      </c>
      <c r="I44" t="s">
        <v>80</v>
      </c>
      <c r="K44" s="56">
        <f>'Inputs - Fixed'!$E$17</f>
        <v>55</v>
      </c>
      <c r="L44" s="56">
        <f>K44</f>
        <v>55</v>
      </c>
      <c r="M44" s="56">
        <f t="shared" ref="M44:N44" si="10">L44</f>
        <v>55</v>
      </c>
      <c r="N44" s="56">
        <f t="shared" si="10"/>
        <v>55</v>
      </c>
      <c r="O44" s="56">
        <f>'Inputs - Fixed'!$E$18</f>
        <v>50</v>
      </c>
      <c r="P44" s="56">
        <f>O44</f>
        <v>50</v>
      </c>
      <c r="Q44" s="56">
        <f t="shared" ref="Q44:R44" si="11">P44</f>
        <v>50</v>
      </c>
      <c r="R44" s="56">
        <f t="shared" si="11"/>
        <v>50</v>
      </c>
      <c r="S44" s="56">
        <f>'Inputs - Fixed'!$E$19</f>
        <v>45</v>
      </c>
      <c r="T44" s="56">
        <f>S44</f>
        <v>45</v>
      </c>
      <c r="U44" s="56">
        <f t="shared" ref="U44:V44" si="12">T44</f>
        <v>45</v>
      </c>
      <c r="V44" s="56">
        <f t="shared" si="12"/>
        <v>45</v>
      </c>
      <c r="W44" s="56">
        <f>'Inputs - Fixed'!$E$20</f>
        <v>40</v>
      </c>
      <c r="X44" s="56">
        <f>W44</f>
        <v>40</v>
      </c>
      <c r="Y44" s="56">
        <f t="shared" ref="Y44:Z44" si="13">X44</f>
        <v>40</v>
      </c>
      <c r="Z44" s="56">
        <f t="shared" si="13"/>
        <v>40</v>
      </c>
      <c r="AA44" s="56">
        <f>'Inputs - Fixed'!$E$21</f>
        <v>55</v>
      </c>
      <c r="AB44" s="56">
        <f>'Inputs - Fixed'!$E$22</f>
        <v>50</v>
      </c>
      <c r="AC44" s="56">
        <f>'Inputs - Fixed'!$E$23</f>
        <v>45</v>
      </c>
      <c r="AD44" s="56">
        <f>'Inputs - Fixed'!$E$24</f>
        <v>40</v>
      </c>
      <c r="AE44" s="56">
        <f>'Inputs - Fixed'!$E$25</f>
        <v>35</v>
      </c>
      <c r="AF44" s="56">
        <f>'Inputs - Fixed'!$E$26</f>
        <v>30</v>
      </c>
      <c r="AG44" s="56">
        <f>'Inputs - Fixed'!$E$27</f>
        <v>25</v>
      </c>
      <c r="AH44" s="56">
        <f>'Inputs - Fixed'!$E$28</f>
        <v>20</v>
      </c>
      <c r="AI44" s="56">
        <f>'Inputs - Fixed'!$E$28</f>
        <v>20</v>
      </c>
    </row>
    <row r="45" spans="2:37" outlineLevel="1">
      <c r="C45" t="s">
        <v>49</v>
      </c>
      <c r="D45" t="s">
        <v>13</v>
      </c>
      <c r="F45" s="37"/>
      <c r="G45" s="37"/>
      <c r="H45" s="37"/>
      <c r="K45">
        <f>IF('Inputs - Project Specific'!G31&lt;25,('4.2-4.4_Benefits'!K41*'4.2-4.4_Benefits'!K42)+('4.2-4.4_Benefits'!K43*'4.2-4.4_Benefits'!K44),0)</f>
        <v>0</v>
      </c>
      <c r="L45">
        <f>IF('Inputs - Project Specific'!H31&lt;25,('4.2-4.4_Benefits'!L41*'4.2-4.4_Benefits'!L42)+('4.2-4.4_Benefits'!L43*'4.2-4.4_Benefits'!L44),0)</f>
        <v>0</v>
      </c>
      <c r="M45">
        <f>IF('Inputs - Project Specific'!I31&lt;25,('4.2-4.4_Benefits'!M41*'4.2-4.4_Benefits'!M42)+('4.2-4.4_Benefits'!M43*'4.2-4.4_Benefits'!M44),0)</f>
        <v>0</v>
      </c>
      <c r="N45">
        <f>IF('Inputs - Project Specific'!J31&lt;25,('4.2-4.4_Benefits'!N41*'4.2-4.4_Benefits'!N42)+('4.2-4.4_Benefits'!N43*'4.2-4.4_Benefits'!N44),0)</f>
        <v>0</v>
      </c>
      <c r="O45">
        <f>IF('Inputs - Project Specific'!K31&lt;25,('4.2-4.4_Benefits'!O41*'4.2-4.4_Benefits'!O42)+('4.2-4.4_Benefits'!O43*'4.2-4.4_Benefits'!O44),0)</f>
        <v>0</v>
      </c>
      <c r="P45">
        <f>IF('Inputs - Project Specific'!L31&lt;25,('4.2-4.4_Benefits'!P41*'4.2-4.4_Benefits'!P42)+('4.2-4.4_Benefits'!P43*'4.2-4.4_Benefits'!P44),0)</f>
        <v>0</v>
      </c>
      <c r="Q45">
        <f>IF('Inputs - Project Specific'!M31&lt;25,('4.2-4.4_Benefits'!Q41*'4.2-4.4_Benefits'!Q42)+('4.2-4.4_Benefits'!Q43*'4.2-4.4_Benefits'!Q44),0)</f>
        <v>0</v>
      </c>
      <c r="R45">
        <f>IF('Inputs - Project Specific'!N31&lt;25,('4.2-4.4_Benefits'!R41*'4.2-4.4_Benefits'!R42)+('4.2-4.4_Benefits'!R43*'4.2-4.4_Benefits'!R44),0)</f>
        <v>0</v>
      </c>
      <c r="S45">
        <f>IF('Inputs - Project Specific'!O31&lt;25,('4.2-4.4_Benefits'!S41*'4.2-4.4_Benefits'!S42)+('4.2-4.4_Benefits'!S43*'4.2-4.4_Benefits'!S44),0)</f>
        <v>0</v>
      </c>
      <c r="T45">
        <f>IF('Inputs - Project Specific'!P31&lt;25,('4.2-4.4_Benefits'!T41*'4.2-4.4_Benefits'!T42)+('4.2-4.4_Benefits'!T43*'4.2-4.4_Benefits'!T44),0)</f>
        <v>0</v>
      </c>
      <c r="U45">
        <f>IF('Inputs - Project Specific'!Q31&lt;25,('4.2-4.4_Benefits'!U41*'4.2-4.4_Benefits'!U42)+('4.2-4.4_Benefits'!U43*'4.2-4.4_Benefits'!U44),0)</f>
        <v>0</v>
      </c>
      <c r="V45">
        <f>IF('Inputs - Project Specific'!R31&lt;25,('4.2-4.4_Benefits'!V41*'4.2-4.4_Benefits'!V42)+('4.2-4.4_Benefits'!V43*'4.2-4.4_Benefits'!V44),0)</f>
        <v>0</v>
      </c>
      <c r="W45">
        <f>IF('Inputs - Project Specific'!S31&lt;25,('4.2-4.4_Benefits'!W41*'4.2-4.4_Benefits'!W42)+('4.2-4.4_Benefits'!W43*'4.2-4.4_Benefits'!W44),0)</f>
        <v>0</v>
      </c>
      <c r="X45">
        <f>IF('Inputs - Project Specific'!T31&lt;25,('4.2-4.4_Benefits'!X41*'4.2-4.4_Benefits'!X42)+('4.2-4.4_Benefits'!X43*'4.2-4.4_Benefits'!X44),0)</f>
        <v>0</v>
      </c>
      <c r="Y45">
        <f>IF('Inputs - Project Specific'!U31&lt;25,('4.2-4.4_Benefits'!Y41*'4.2-4.4_Benefits'!Y42)+('4.2-4.4_Benefits'!Y43*'4.2-4.4_Benefits'!Y44),0)</f>
        <v>0</v>
      </c>
      <c r="Z45">
        <f>IF('Inputs - Project Specific'!V31&lt;25,('4.2-4.4_Benefits'!Z41*'4.2-4.4_Benefits'!Z42)+('4.2-4.4_Benefits'!Z43*'4.2-4.4_Benefits'!Z44),0)</f>
        <v>0</v>
      </c>
      <c r="AA45">
        <f>IF('Inputs - Project Specific'!W31&lt;25,('4.2-4.4_Benefits'!AA41*'4.2-4.4_Benefits'!AA42)+('4.2-4.4_Benefits'!AA43*'4.2-4.4_Benefits'!AA44),0)</f>
        <v>0</v>
      </c>
      <c r="AB45">
        <f>IF('Inputs - Project Specific'!X31&lt;25,('4.2-4.4_Benefits'!AB41*'4.2-4.4_Benefits'!AB42)+('4.2-4.4_Benefits'!AB43*'4.2-4.4_Benefits'!AB44),0)</f>
        <v>0</v>
      </c>
      <c r="AC45">
        <f>IF('Inputs - Project Specific'!Y31&lt;25,('4.2-4.4_Benefits'!AC41*'4.2-4.4_Benefits'!AC42)+('4.2-4.4_Benefits'!AC43*'4.2-4.4_Benefits'!AC44),0)</f>
        <v>0</v>
      </c>
      <c r="AD45">
        <f>IF('Inputs - Project Specific'!Z31&lt;25,('4.2-4.4_Benefits'!AD41*'4.2-4.4_Benefits'!AD42)+('4.2-4.4_Benefits'!AD43*'4.2-4.4_Benefits'!AD44),0)</f>
        <v>0</v>
      </c>
      <c r="AE45">
        <f>IF('Inputs - Project Specific'!AA31&lt;25,('4.2-4.4_Benefits'!AE41*'4.2-4.4_Benefits'!AE42)+('4.2-4.4_Benefits'!AE43*'4.2-4.4_Benefits'!AE44),0)</f>
        <v>0</v>
      </c>
      <c r="AF45">
        <f>IF('Inputs - Project Specific'!AB31&lt;25,('4.2-4.4_Benefits'!AF41*'4.2-4.4_Benefits'!AF42)+('4.2-4.4_Benefits'!AF43*'4.2-4.4_Benefits'!AF44),0)</f>
        <v>0</v>
      </c>
      <c r="AG45">
        <f>IF('Inputs - Project Specific'!AC31&lt;25,('4.2-4.4_Benefits'!AG41*'4.2-4.4_Benefits'!AG42)+('4.2-4.4_Benefits'!AG43*'4.2-4.4_Benefits'!AG44),0)</f>
        <v>0</v>
      </c>
      <c r="AH45">
        <f>IF('Inputs - Project Specific'!AD31&lt;25,('4.2-4.4_Benefits'!AH41*'4.2-4.4_Benefits'!AH42)+('4.2-4.4_Benefits'!AH43*'4.2-4.4_Benefits'!AH44),0)</f>
        <v>0</v>
      </c>
      <c r="AI45">
        <f>IF('Inputs - Project Specific'!AE31&lt;25,('4.2-4.4_Benefits'!AI41*'4.2-4.4_Benefits'!AI42)+('4.2-4.4_Benefits'!AI43*'4.2-4.4_Benefits'!AI44),0)</f>
        <v>0</v>
      </c>
      <c r="AJ45" s="38">
        <f>SUM(K45:AI45)</f>
        <v>0</v>
      </c>
      <c r="AK45" s="38">
        <f>NPV('Inputs - Fixed'!$F$3,SUM(K45:N45),SUM(O45:R45),SUM(S45:V45),SUM(W45:Z45),AA45,AB45,AC45,AD45,AE45,AF45,AG45,AH45,AI45)</f>
        <v>0</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0A45B-9148-B84A-8CAF-707097BA5C7D}">
  <dimension ref="A1"/>
  <sheetViews>
    <sheetView workbookViewId="0"/>
  </sheetViews>
  <sheetFormatPr baseColWidth="10"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878A7-CC43-EA43-BB92-1FACB89F3D4C}">
  <dimension ref="A3:N36"/>
  <sheetViews>
    <sheetView workbookViewId="0">
      <selection activeCell="E4" sqref="E4"/>
    </sheetView>
  </sheetViews>
  <sheetFormatPr baseColWidth="10" defaultRowHeight="15"/>
  <cols>
    <col min="1" max="1" width="30.5" customWidth="1"/>
    <col min="2" max="2" width="15.6640625" customWidth="1"/>
    <col min="3" max="3" width="27" customWidth="1"/>
  </cols>
  <sheetData>
    <row r="3" spans="1:14">
      <c r="A3" t="s">
        <v>431</v>
      </c>
      <c r="H3" t="s">
        <v>454</v>
      </c>
    </row>
    <row r="4" spans="1:14">
      <c r="A4" s="126" t="s">
        <v>432</v>
      </c>
      <c r="B4" t="s">
        <v>428</v>
      </c>
      <c r="C4" t="s">
        <v>429</v>
      </c>
      <c r="D4" t="s">
        <v>449</v>
      </c>
      <c r="H4" t="s">
        <v>452</v>
      </c>
      <c r="I4" t="s">
        <v>1</v>
      </c>
      <c r="J4" t="s">
        <v>456</v>
      </c>
      <c r="M4" s="126" t="s">
        <v>430</v>
      </c>
    </row>
    <row r="5" spans="1:14">
      <c r="A5" s="126" t="s">
        <v>427</v>
      </c>
      <c r="B5" t="s">
        <v>430</v>
      </c>
      <c r="C5" s="225" t="s">
        <v>448</v>
      </c>
      <c r="D5" t="s">
        <v>80</v>
      </c>
      <c r="G5" s="126" t="s">
        <v>432</v>
      </c>
      <c r="H5" t="s">
        <v>427</v>
      </c>
      <c r="I5" t="s">
        <v>450</v>
      </c>
      <c r="J5" t="s">
        <v>455</v>
      </c>
      <c r="M5" s="225" t="s">
        <v>448</v>
      </c>
    </row>
    <row r="6" spans="1:14">
      <c r="A6" s="126" t="s">
        <v>438</v>
      </c>
      <c r="B6" t="s">
        <v>430</v>
      </c>
      <c r="C6" s="225" t="s">
        <v>448</v>
      </c>
      <c r="D6" t="s">
        <v>79</v>
      </c>
      <c r="G6" s="126" t="s">
        <v>428</v>
      </c>
      <c r="H6" t="s">
        <v>438</v>
      </c>
      <c r="I6" t="s">
        <v>450</v>
      </c>
      <c r="M6" s="126" t="s">
        <v>79</v>
      </c>
    </row>
    <row r="7" spans="1:14">
      <c r="G7" s="126" t="s">
        <v>429</v>
      </c>
      <c r="K7" t="s">
        <v>459</v>
      </c>
    </row>
    <row r="8" spans="1:14">
      <c r="G8" s="126" t="s">
        <v>449</v>
      </c>
      <c r="L8" t="s">
        <v>457</v>
      </c>
    </row>
    <row r="9" spans="1:14">
      <c r="A9" t="s">
        <v>426</v>
      </c>
      <c r="K9" s="126"/>
      <c r="L9" s="126" t="s">
        <v>428</v>
      </c>
      <c r="M9" s="126" t="s">
        <v>430</v>
      </c>
    </row>
    <row r="10" spans="1:14">
      <c r="A10" t="s">
        <v>432</v>
      </c>
      <c r="B10" t="s">
        <v>428</v>
      </c>
      <c r="C10" t="s">
        <v>433</v>
      </c>
      <c r="D10" t="s">
        <v>440</v>
      </c>
      <c r="E10" t="s">
        <v>443</v>
      </c>
      <c r="H10" t="s">
        <v>451</v>
      </c>
      <c r="L10" s="126" t="s">
        <v>429</v>
      </c>
      <c r="M10" s="225" t="s">
        <v>448</v>
      </c>
    </row>
    <row r="11" spans="1:14">
      <c r="A11" t="s">
        <v>438</v>
      </c>
      <c r="B11" t="s">
        <v>439</v>
      </c>
      <c r="C11" t="s">
        <v>228</v>
      </c>
      <c r="D11" t="s">
        <v>441</v>
      </c>
      <c r="H11">
        <v>1</v>
      </c>
      <c r="I11" s="126" t="s">
        <v>450</v>
      </c>
      <c r="L11" s="126" t="s">
        <v>449</v>
      </c>
      <c r="M11" s="126" t="s">
        <v>80</v>
      </c>
    </row>
    <row r="12" spans="1:14">
      <c r="A12" t="s">
        <v>427</v>
      </c>
      <c r="B12" t="s">
        <v>442</v>
      </c>
      <c r="C12" s="126" t="s">
        <v>95</v>
      </c>
      <c r="E12">
        <v>2</v>
      </c>
      <c r="H12">
        <v>2</v>
      </c>
      <c r="I12" t="s">
        <v>450</v>
      </c>
      <c r="N12" t="s">
        <v>458</v>
      </c>
    </row>
    <row r="13" spans="1:14">
      <c r="C13" s="126"/>
      <c r="H13">
        <v>3</v>
      </c>
      <c r="I13" s="126" t="s">
        <v>450</v>
      </c>
    </row>
    <row r="14" spans="1:14">
      <c r="H14">
        <v>4</v>
      </c>
      <c r="I14" s="126" t="s">
        <v>450</v>
      </c>
      <c r="L14" t="s">
        <v>453</v>
      </c>
    </row>
    <row r="15" spans="1:14">
      <c r="E15" t="s">
        <v>460</v>
      </c>
      <c r="L15" t="s">
        <v>452</v>
      </c>
      <c r="M15" t="s">
        <v>1</v>
      </c>
    </row>
    <row r="16" spans="1:14">
      <c r="A16" s="126"/>
      <c r="B16" s="126"/>
      <c r="F16" t="s">
        <v>461</v>
      </c>
      <c r="L16" s="126" t="s">
        <v>428</v>
      </c>
      <c r="M16" s="126" t="s">
        <v>430</v>
      </c>
    </row>
    <row r="17" spans="1:13">
      <c r="A17" s="126"/>
      <c r="F17" t="s">
        <v>462</v>
      </c>
      <c r="G17" t="s">
        <v>463</v>
      </c>
      <c r="L17" s="126" t="s">
        <v>429</v>
      </c>
      <c r="M17" s="225" t="s">
        <v>448</v>
      </c>
    </row>
    <row r="18" spans="1:13">
      <c r="A18" s="126"/>
      <c r="G18" t="s">
        <v>464</v>
      </c>
      <c r="L18" s="126" t="s">
        <v>449</v>
      </c>
      <c r="M18" s="126" t="s">
        <v>80</v>
      </c>
    </row>
    <row r="19" spans="1:13">
      <c r="A19" s="126"/>
    </row>
    <row r="20" spans="1:13">
      <c r="A20" s="126"/>
    </row>
    <row r="21" spans="1:13">
      <c r="A21" s="126"/>
      <c r="J21" t="s">
        <v>465</v>
      </c>
    </row>
    <row r="22" spans="1:13">
      <c r="A22" s="126"/>
      <c r="J22" t="s">
        <v>428</v>
      </c>
    </row>
    <row r="23" spans="1:13">
      <c r="A23" t="s">
        <v>434</v>
      </c>
      <c r="J23" t="s">
        <v>429</v>
      </c>
    </row>
    <row r="24" spans="1:13">
      <c r="A24" s="126" t="s">
        <v>447</v>
      </c>
      <c r="B24" s="126" t="s">
        <v>437</v>
      </c>
      <c r="C24" s="126" t="s">
        <v>435</v>
      </c>
      <c r="D24" s="126" t="s">
        <v>436</v>
      </c>
      <c r="E24" s="126"/>
      <c r="F24" s="126"/>
      <c r="G24" s="126"/>
      <c r="H24" s="126"/>
      <c r="I24" s="126"/>
      <c r="J24" t="s">
        <v>449</v>
      </c>
    </row>
    <row r="25" spans="1:13">
      <c r="A25" s="126" t="s">
        <v>98</v>
      </c>
      <c r="B25" s="126" t="s">
        <v>438</v>
      </c>
      <c r="C25" s="126" t="s">
        <v>444</v>
      </c>
      <c r="D25" s="126" t="s">
        <v>230</v>
      </c>
      <c r="E25" s="126"/>
      <c r="F25" s="126"/>
      <c r="G25" s="126"/>
      <c r="H25" s="126"/>
      <c r="I25" s="126"/>
    </row>
    <row r="26" spans="1:13">
      <c r="A26" s="126" t="s">
        <v>99</v>
      </c>
      <c r="B26" s="126" t="s">
        <v>427</v>
      </c>
      <c r="C26" s="126" t="s">
        <v>445</v>
      </c>
      <c r="D26" s="126" t="s">
        <v>88</v>
      </c>
      <c r="E26" s="126"/>
      <c r="F26" s="126"/>
      <c r="G26" s="126"/>
      <c r="H26" s="126"/>
      <c r="I26" s="126"/>
    </row>
    <row r="27" spans="1:13">
      <c r="A27" s="126" t="s">
        <v>191</v>
      </c>
      <c r="B27" s="126" t="s">
        <v>438</v>
      </c>
      <c r="C27" s="126" t="s">
        <v>444</v>
      </c>
      <c r="D27" s="126" t="s">
        <v>189</v>
      </c>
      <c r="E27" s="126"/>
      <c r="F27" s="126"/>
      <c r="G27" s="126"/>
      <c r="H27" s="126"/>
      <c r="I27" s="126"/>
    </row>
    <row r="28" spans="1:13">
      <c r="A28" s="126" t="s">
        <v>42</v>
      </c>
      <c r="B28" s="126"/>
      <c r="C28" s="126"/>
      <c r="D28" s="126"/>
      <c r="E28" s="126"/>
      <c r="F28" s="126"/>
      <c r="G28" s="126"/>
      <c r="H28" s="126"/>
      <c r="I28" s="126"/>
    </row>
    <row r="29" spans="1:13">
      <c r="A29" s="126" t="s">
        <v>192</v>
      </c>
      <c r="B29" s="126"/>
      <c r="C29" s="126" t="s">
        <v>446</v>
      </c>
      <c r="D29" s="126" t="s">
        <v>89</v>
      </c>
      <c r="E29" s="126"/>
      <c r="F29" s="126"/>
      <c r="G29" s="126"/>
      <c r="H29" s="126"/>
      <c r="I29" s="126"/>
    </row>
    <row r="30" spans="1:13">
      <c r="A30" s="126" t="s">
        <v>45</v>
      </c>
      <c r="B30" s="126"/>
      <c r="C30" s="126"/>
      <c r="E30" s="126"/>
      <c r="F30" s="126"/>
      <c r="G30" s="126"/>
      <c r="H30" s="126"/>
      <c r="I30" s="126"/>
    </row>
    <row r="31" spans="1:13">
      <c r="A31" s="126" t="s">
        <v>48</v>
      </c>
      <c r="B31" s="126"/>
      <c r="C31" s="126"/>
      <c r="D31" s="126"/>
      <c r="E31" s="126"/>
      <c r="F31" s="126"/>
      <c r="G31" s="126"/>
      <c r="H31" s="126"/>
      <c r="I31" s="126"/>
    </row>
    <row r="32" spans="1:13">
      <c r="A32" s="126"/>
      <c r="B32" s="126"/>
      <c r="C32" s="126"/>
      <c r="D32" s="126"/>
      <c r="E32" s="126"/>
      <c r="F32" s="126"/>
      <c r="G32" s="126"/>
      <c r="H32" s="126"/>
      <c r="I32" s="126"/>
    </row>
    <row r="33" spans="1:9">
      <c r="A33" s="126"/>
      <c r="B33" s="126"/>
      <c r="C33" s="126"/>
      <c r="D33" s="126"/>
      <c r="E33" s="126"/>
      <c r="F33" s="126"/>
      <c r="G33" s="126"/>
      <c r="H33" s="126"/>
      <c r="I33" s="126"/>
    </row>
    <row r="34" spans="1:9">
      <c r="A34" s="126"/>
      <c r="B34" s="126"/>
      <c r="C34" s="126"/>
      <c r="D34" s="126"/>
      <c r="E34" s="126"/>
      <c r="F34" s="126"/>
      <c r="G34" s="126"/>
      <c r="H34" s="126"/>
      <c r="I34" s="126"/>
    </row>
    <row r="35" spans="1:9">
      <c r="A35" s="126"/>
      <c r="B35" s="126"/>
      <c r="C35" s="126"/>
      <c r="D35" s="126"/>
      <c r="E35" s="126"/>
      <c r="F35" s="126"/>
      <c r="G35" s="126"/>
      <c r="H35" s="126"/>
      <c r="I35" s="126"/>
    </row>
    <row r="36" spans="1:9">
      <c r="A36" s="126"/>
      <c r="B36" s="126"/>
      <c r="C36" s="126"/>
      <c r="D36" s="126"/>
      <c r="E36" s="126"/>
      <c r="F36" s="126"/>
      <c r="G36" s="126"/>
      <c r="H36" s="126"/>
      <c r="I36" s="12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AH20"/>
  <sheetViews>
    <sheetView workbookViewId="0">
      <pane xSplit="4" ySplit="2" topLeftCell="E12" activePane="bottomRight" state="frozen"/>
      <selection pane="topRight" activeCell="E1" sqref="E1"/>
      <selection pane="bottomLeft" activeCell="A3" sqref="A3"/>
      <selection pane="bottomRight" activeCell="C14" sqref="C14"/>
    </sheetView>
  </sheetViews>
  <sheetFormatPr baseColWidth="10" defaultColWidth="8.6640625" defaultRowHeight="15"/>
  <cols>
    <col min="1" max="2" width="8.6640625" style="41"/>
    <col min="3" max="3" width="49.6640625" style="41" customWidth="1"/>
    <col min="4" max="4" width="12.83203125" style="41" customWidth="1"/>
    <col min="5" max="5" width="12.6640625" style="41" customWidth="1"/>
    <col min="6" max="6" width="3.83203125" style="41" customWidth="1"/>
    <col min="7" max="8" width="4.1640625" style="41" customWidth="1"/>
    <col min="9" max="9" width="28.83203125" style="41" customWidth="1"/>
    <col min="10" max="15" width="12.33203125" style="41" bestFit="1" customWidth="1"/>
    <col min="16" max="21" width="12.5" style="41" bestFit="1" customWidth="1"/>
    <col min="22" max="22" width="12.5" style="41" customWidth="1"/>
    <col min="23" max="23" width="14.1640625" style="41" customWidth="1"/>
    <col min="24" max="24" width="17.1640625" style="41" customWidth="1"/>
    <col min="25" max="16384" width="8.6640625" style="41"/>
  </cols>
  <sheetData>
    <row r="1" spans="2:34">
      <c r="J1" s="42">
        <v>2018</v>
      </c>
      <c r="K1" s="42">
        <v>2019</v>
      </c>
      <c r="L1" s="42">
        <v>2020</v>
      </c>
      <c r="M1" s="42">
        <v>2021</v>
      </c>
      <c r="N1" s="42">
        <v>2022</v>
      </c>
      <c r="O1" s="42">
        <v>2023</v>
      </c>
      <c r="P1" s="42">
        <v>2024</v>
      </c>
      <c r="Q1" s="42">
        <v>2025</v>
      </c>
      <c r="R1" s="42">
        <v>2026</v>
      </c>
      <c r="S1" s="42">
        <v>2027</v>
      </c>
      <c r="T1" s="42">
        <v>2028</v>
      </c>
      <c r="U1" s="42">
        <v>2029</v>
      </c>
      <c r="V1" s="42">
        <v>2030</v>
      </c>
      <c r="W1" s="88" t="s">
        <v>286</v>
      </c>
      <c r="X1" s="37" t="s">
        <v>53</v>
      </c>
      <c r="Y1" s="42"/>
      <c r="Z1" s="42"/>
      <c r="AA1" s="42"/>
      <c r="AB1" s="42"/>
      <c r="AC1" s="42"/>
      <c r="AD1" s="42"/>
      <c r="AE1" s="42"/>
      <c r="AF1" s="42"/>
      <c r="AG1" s="42"/>
      <c r="AH1" s="42"/>
    </row>
    <row r="2" spans="2:34">
      <c r="C2" s="41" t="s">
        <v>54</v>
      </c>
      <c r="D2" s="41" t="s">
        <v>55</v>
      </c>
      <c r="E2" s="41" t="s">
        <v>56</v>
      </c>
      <c r="F2" s="41" t="s">
        <v>57</v>
      </c>
      <c r="G2" s="41" t="s">
        <v>58</v>
      </c>
      <c r="H2" s="41" t="s">
        <v>59</v>
      </c>
      <c r="I2" s="41" t="s">
        <v>3</v>
      </c>
      <c r="J2" s="42" t="s">
        <v>234</v>
      </c>
      <c r="K2" s="42" t="s">
        <v>235</v>
      </c>
      <c r="L2" s="42" t="s">
        <v>236</v>
      </c>
      <c r="M2" s="42" t="s">
        <v>237</v>
      </c>
      <c r="N2" s="42" t="s">
        <v>63</v>
      </c>
      <c r="O2" s="42" t="s">
        <v>64</v>
      </c>
      <c r="P2" s="42" t="s">
        <v>65</v>
      </c>
      <c r="Q2" s="42" t="s">
        <v>66</v>
      </c>
      <c r="R2" s="42" t="s">
        <v>67</v>
      </c>
      <c r="S2" s="42" t="s">
        <v>68</v>
      </c>
      <c r="T2" s="42" t="s">
        <v>69</v>
      </c>
      <c r="U2" s="42" t="s">
        <v>70</v>
      </c>
      <c r="V2" s="42" t="s">
        <v>355</v>
      </c>
      <c r="W2" s="88" t="s">
        <v>142</v>
      </c>
      <c r="X2" s="37" t="s">
        <v>379</v>
      </c>
    </row>
    <row r="4" spans="2:34">
      <c r="B4" s="59" t="s">
        <v>143</v>
      </c>
      <c r="C4" s="59" t="s">
        <v>150</v>
      </c>
      <c r="F4" s="37" t="s">
        <v>39</v>
      </c>
      <c r="G4" s="37" t="s">
        <v>39</v>
      </c>
      <c r="H4" s="37" t="s">
        <v>39</v>
      </c>
    </row>
    <row r="5" spans="2:34">
      <c r="B5" s="87"/>
      <c r="C5" s="87"/>
      <c r="F5" s="37"/>
      <c r="G5" s="37"/>
      <c r="H5" s="37"/>
      <c r="W5" s="71"/>
      <c r="X5" s="71"/>
    </row>
    <row r="6" spans="2:34">
      <c r="C6" s="87" t="s">
        <v>424</v>
      </c>
      <c r="D6" s="107" t="s">
        <v>13</v>
      </c>
      <c r="E6" s="107"/>
      <c r="F6" s="107"/>
      <c r="G6" s="107"/>
      <c r="H6" s="107"/>
      <c r="I6" s="58" t="s">
        <v>425</v>
      </c>
      <c r="J6" s="108">
        <v>1934520</v>
      </c>
      <c r="K6" s="108">
        <v>1934520</v>
      </c>
      <c r="L6" s="108">
        <v>1934520</v>
      </c>
      <c r="M6" s="108">
        <v>1934520</v>
      </c>
      <c r="N6" s="108">
        <v>1934520</v>
      </c>
      <c r="O6" s="108">
        <v>1934520</v>
      </c>
      <c r="P6" s="108">
        <v>1934520</v>
      </c>
      <c r="Q6" s="108">
        <v>1934520</v>
      </c>
      <c r="R6" s="108">
        <v>1934520</v>
      </c>
      <c r="S6" s="108">
        <v>1934520</v>
      </c>
      <c r="T6">
        <v>0</v>
      </c>
      <c r="U6">
        <v>0</v>
      </c>
      <c r="V6">
        <v>0</v>
      </c>
      <c r="W6" s="71">
        <f>SUM(J6:V6)</f>
        <v>19345200</v>
      </c>
      <c r="X6" s="38">
        <f>NPV('Inputs - Fixed'!F3, '4.5_Costs'!J6,'4.5_Costs'!K6,'4.5_Costs'!L6,'4.5_Costs'!M6,'4.5_Costs'!N6,'4.5_Costs'!O6,'4.5_Costs'!P6,'4.5_Costs'!Q6,'4.5_Costs'!R6,'4.5_Costs'!S6,'4.5_Costs'!T6,'4.5_Costs'!U6,'4.5_Costs'!V6)</f>
        <v>13681972.055397125</v>
      </c>
    </row>
    <row r="7" spans="2:34">
      <c r="W7" s="71"/>
      <c r="X7" s="71"/>
    </row>
    <row r="8" spans="2:34" ht="32">
      <c r="B8" s="111" t="s">
        <v>170</v>
      </c>
      <c r="C8" s="80" t="s">
        <v>284</v>
      </c>
      <c r="D8" s="41" t="s">
        <v>13</v>
      </c>
      <c r="I8" s="80" t="s">
        <v>287</v>
      </c>
      <c r="W8" s="71">
        <f t="shared" ref="W8" si="0">SUM(J8:U8)</f>
        <v>0</v>
      </c>
      <c r="X8" s="71">
        <v>500000</v>
      </c>
    </row>
    <row r="9" spans="2:34">
      <c r="W9" s="71"/>
      <c r="X9" s="71"/>
    </row>
    <row r="10" spans="2:34">
      <c r="C10" t="s">
        <v>285</v>
      </c>
      <c r="J10" s="71">
        <f>SUM(J6:J9)</f>
        <v>1934520</v>
      </c>
      <c r="K10" s="71">
        <f t="shared" ref="K10:X10" si="1">SUM(K6:K9)</f>
        <v>1934520</v>
      </c>
      <c r="L10" s="71">
        <f t="shared" si="1"/>
        <v>1934520</v>
      </c>
      <c r="M10" s="71">
        <f t="shared" si="1"/>
        <v>1934520</v>
      </c>
      <c r="N10" s="71">
        <f t="shared" si="1"/>
        <v>1934520</v>
      </c>
      <c r="O10" s="71">
        <f t="shared" si="1"/>
        <v>1934520</v>
      </c>
      <c r="P10" s="71">
        <f t="shared" si="1"/>
        <v>1934520</v>
      </c>
      <c r="Q10" s="71">
        <f t="shared" si="1"/>
        <v>1934520</v>
      </c>
      <c r="R10" s="71">
        <f t="shared" si="1"/>
        <v>1934520</v>
      </c>
      <c r="S10" s="71">
        <f t="shared" si="1"/>
        <v>1934520</v>
      </c>
      <c r="T10" s="71">
        <f t="shared" si="1"/>
        <v>0</v>
      </c>
      <c r="U10" s="71">
        <f t="shared" si="1"/>
        <v>0</v>
      </c>
      <c r="V10" s="71">
        <f t="shared" si="1"/>
        <v>0</v>
      </c>
      <c r="W10" s="71">
        <f t="shared" si="1"/>
        <v>19345200</v>
      </c>
      <c r="X10" s="71">
        <f t="shared" si="1"/>
        <v>14181972.055397125</v>
      </c>
    </row>
    <row r="12" spans="2:34">
      <c r="B12" s="59" t="s">
        <v>144</v>
      </c>
      <c r="C12" s="59" t="s">
        <v>151</v>
      </c>
      <c r="G12" s="37" t="s">
        <v>39</v>
      </c>
      <c r="H12" s="37" t="s">
        <v>39</v>
      </c>
    </row>
    <row r="14" spans="2:34">
      <c r="B14" s="59" t="s">
        <v>145</v>
      </c>
      <c r="C14" s="59" t="s">
        <v>152</v>
      </c>
      <c r="F14" s="37" t="s">
        <v>39</v>
      </c>
      <c r="G14" s="37" t="s">
        <v>39</v>
      </c>
      <c r="H14" s="37" t="s">
        <v>39</v>
      </c>
    </row>
    <row r="16" spans="2:34">
      <c r="C16" s="58" t="s">
        <v>288</v>
      </c>
      <c r="D16" s="41" t="s">
        <v>13</v>
      </c>
      <c r="X16" s="71">
        <v>500000</v>
      </c>
    </row>
    <row r="18" spans="2:24">
      <c r="C18" s="58" t="s">
        <v>289</v>
      </c>
      <c r="J18" s="71">
        <f t="shared" ref="J18:W18" si="2">SUM(J16:J17)</f>
        <v>0</v>
      </c>
      <c r="K18" s="71">
        <f t="shared" si="2"/>
        <v>0</v>
      </c>
      <c r="L18" s="71">
        <f t="shared" si="2"/>
        <v>0</v>
      </c>
      <c r="M18" s="71">
        <f t="shared" si="2"/>
        <v>0</v>
      </c>
      <c r="N18" s="71">
        <f t="shared" si="2"/>
        <v>0</v>
      </c>
      <c r="O18" s="71">
        <f t="shared" si="2"/>
        <v>0</v>
      </c>
      <c r="P18" s="71">
        <f t="shared" si="2"/>
        <v>0</v>
      </c>
      <c r="Q18" s="71">
        <f t="shared" si="2"/>
        <v>0</v>
      </c>
      <c r="R18" s="71">
        <f t="shared" si="2"/>
        <v>0</v>
      </c>
      <c r="S18" s="71">
        <f t="shared" si="2"/>
        <v>0</v>
      </c>
      <c r="T18" s="71">
        <f t="shared" si="2"/>
        <v>0</v>
      </c>
      <c r="U18" s="71">
        <f t="shared" si="2"/>
        <v>0</v>
      </c>
      <c r="V18" s="71">
        <f t="shared" si="2"/>
        <v>0</v>
      </c>
      <c r="W18" s="71">
        <f t="shared" si="2"/>
        <v>0</v>
      </c>
      <c r="X18" s="71">
        <f>SUM(X16:X17)</f>
        <v>500000</v>
      </c>
    </row>
    <row r="20" spans="2:24" ht="16">
      <c r="B20" s="89" t="s">
        <v>146</v>
      </c>
      <c r="C20" s="90" t="s">
        <v>153</v>
      </c>
      <c r="F20" s="37" t="s">
        <v>39</v>
      </c>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C25"/>
  <sheetViews>
    <sheetView workbookViewId="0">
      <pane xSplit="3" ySplit="2" topLeftCell="D3" activePane="bottomRight" state="frozen"/>
      <selection pane="topRight" activeCell="E1" sqref="E1"/>
      <selection pane="bottomLeft" activeCell="A3" sqref="A3"/>
      <selection pane="bottomRight" activeCell="E10" sqref="E10"/>
    </sheetView>
  </sheetViews>
  <sheetFormatPr baseColWidth="10" defaultColWidth="8.6640625" defaultRowHeight="15"/>
  <cols>
    <col min="1" max="1" width="8.6640625" style="41"/>
    <col min="2" max="2" width="49.6640625" style="41" customWidth="1"/>
    <col min="3" max="3" width="12.83203125" style="41" customWidth="1"/>
    <col min="4" max="4" width="28.83203125" style="41" customWidth="1"/>
    <col min="5" max="10" width="12.33203125" style="41" bestFit="1" customWidth="1"/>
    <col min="11" max="16" width="12.5" style="41" bestFit="1" customWidth="1"/>
    <col min="17" max="17" width="12.5" style="41" customWidth="1"/>
    <col min="18" max="18" width="14.1640625" style="41" customWidth="1"/>
    <col min="19" max="19" width="17.1640625" style="41" customWidth="1"/>
    <col min="20" max="16384" width="8.6640625" style="41"/>
  </cols>
  <sheetData>
    <row r="1" spans="1:29">
      <c r="E1" s="42">
        <v>2018</v>
      </c>
      <c r="F1" s="42">
        <v>2019</v>
      </c>
      <c r="G1" s="42">
        <v>2020</v>
      </c>
      <c r="H1" s="42">
        <v>2021</v>
      </c>
      <c r="I1" s="42">
        <v>2022</v>
      </c>
      <c r="J1" s="42">
        <v>2023</v>
      </c>
      <c r="K1" s="42">
        <v>2024</v>
      </c>
      <c r="L1" s="42">
        <v>2025</v>
      </c>
      <c r="M1" s="42">
        <v>2026</v>
      </c>
      <c r="N1" s="42">
        <v>2027</v>
      </c>
      <c r="O1" s="42">
        <v>2028</v>
      </c>
      <c r="P1" s="42">
        <v>2029</v>
      </c>
      <c r="Q1" s="42">
        <v>2030</v>
      </c>
      <c r="R1" s="138" t="s">
        <v>286</v>
      </c>
      <c r="S1" s="136" t="s">
        <v>53</v>
      </c>
      <c r="T1" s="42"/>
      <c r="U1" s="42"/>
      <c r="V1" s="42"/>
      <c r="W1" s="42"/>
      <c r="X1" s="42"/>
      <c r="Y1" s="42"/>
      <c r="Z1" s="42"/>
      <c r="AA1" s="42"/>
      <c r="AB1" s="42"/>
      <c r="AC1" s="42"/>
    </row>
    <row r="2" spans="1:29">
      <c r="B2" s="41" t="s">
        <v>54</v>
      </c>
      <c r="C2" s="41" t="s">
        <v>55</v>
      </c>
      <c r="D2" s="41" t="s">
        <v>3</v>
      </c>
      <c r="E2" s="42" t="s">
        <v>234</v>
      </c>
      <c r="F2" s="42" t="s">
        <v>235</v>
      </c>
      <c r="G2" s="42" t="s">
        <v>236</v>
      </c>
      <c r="H2" s="42" t="s">
        <v>237</v>
      </c>
      <c r="I2" s="42" t="s">
        <v>63</v>
      </c>
      <c r="J2" s="42" t="s">
        <v>64</v>
      </c>
      <c r="K2" s="42" t="s">
        <v>65</v>
      </c>
      <c r="L2" s="42" t="s">
        <v>66</v>
      </c>
      <c r="M2" s="42" t="s">
        <v>67</v>
      </c>
      <c r="N2" s="42" t="s">
        <v>68</v>
      </c>
      <c r="O2" s="42" t="s">
        <v>69</v>
      </c>
      <c r="P2" s="42" t="s">
        <v>70</v>
      </c>
      <c r="Q2" s="42" t="s">
        <v>355</v>
      </c>
      <c r="R2" s="42" t="s">
        <v>71</v>
      </c>
      <c r="S2" s="138" t="s">
        <v>129</v>
      </c>
    </row>
    <row r="5" spans="1:29">
      <c r="B5" s="83" t="s">
        <v>384</v>
      </c>
    </row>
    <row r="6" spans="1:29">
      <c r="B6" s="72" t="s">
        <v>266</v>
      </c>
      <c r="C6" s="72" t="s">
        <v>8</v>
      </c>
      <c r="D6" s="58" t="s">
        <v>79</v>
      </c>
      <c r="E6" s="84" t="e">
        <f>'Inputs - Project Specific'!#REF!</f>
        <v>#REF!</v>
      </c>
      <c r="F6" s="84" t="e">
        <f>'Inputs - Project Specific'!#REF!</f>
        <v>#REF!</v>
      </c>
      <c r="G6" s="84" t="e">
        <f>'Inputs - Project Specific'!#REF!</f>
        <v>#REF!</v>
      </c>
      <c r="H6" s="84" t="e">
        <f>'Inputs - Project Specific'!#REF!</f>
        <v>#REF!</v>
      </c>
      <c r="I6" s="84" t="e">
        <f>'Inputs - Project Specific'!#REF!</f>
        <v>#REF!</v>
      </c>
      <c r="J6" s="84" t="e">
        <f>'Inputs - Project Specific'!#REF!</f>
        <v>#REF!</v>
      </c>
      <c r="K6" s="84" t="e">
        <f>'Inputs - Project Specific'!#REF!</f>
        <v>#REF!</v>
      </c>
      <c r="L6" s="84" t="e">
        <f>'Inputs - Project Specific'!#REF!</f>
        <v>#REF!</v>
      </c>
      <c r="M6" s="84" t="e">
        <f>'Inputs - Project Specific'!#REF!</f>
        <v>#REF!</v>
      </c>
      <c r="N6" s="84" t="e">
        <f>'Inputs - Project Specific'!#REF!</f>
        <v>#REF!</v>
      </c>
      <c r="O6" s="84" t="e">
        <f>'Inputs - Project Specific'!#REF!</f>
        <v>#REF!</v>
      </c>
      <c r="P6" s="84" t="e">
        <f>'Inputs - Project Specific'!#REF!</f>
        <v>#REF!</v>
      </c>
      <c r="Q6" s="84" t="e">
        <f>P6</f>
        <v>#REF!</v>
      </c>
    </row>
    <row r="7" spans="1:29">
      <c r="B7" s="72" t="s">
        <v>267</v>
      </c>
      <c r="C7" s="72" t="s">
        <v>8</v>
      </c>
      <c r="D7" s="58" t="s">
        <v>79</v>
      </c>
      <c r="E7" s="44">
        <f>'Inputs - Project Specific'!G31</f>
        <v>4.9000000000000004</v>
      </c>
      <c r="F7" s="44">
        <f>E7</f>
        <v>4.9000000000000004</v>
      </c>
      <c r="G7" s="44">
        <f t="shared" ref="G7:Q7" si="0">F7</f>
        <v>4.9000000000000004</v>
      </c>
      <c r="H7" s="44">
        <f t="shared" si="0"/>
        <v>4.9000000000000004</v>
      </c>
      <c r="I7" s="44">
        <f t="shared" si="0"/>
        <v>4.9000000000000004</v>
      </c>
      <c r="J7" s="44">
        <f t="shared" si="0"/>
        <v>4.9000000000000004</v>
      </c>
      <c r="K7" s="44">
        <f t="shared" si="0"/>
        <v>4.9000000000000004</v>
      </c>
      <c r="L7" s="44">
        <f t="shared" si="0"/>
        <v>4.9000000000000004</v>
      </c>
      <c r="M7" s="44">
        <f t="shared" si="0"/>
        <v>4.9000000000000004</v>
      </c>
      <c r="N7" s="44">
        <f t="shared" si="0"/>
        <v>4.9000000000000004</v>
      </c>
      <c r="O7" s="44">
        <f t="shared" si="0"/>
        <v>4.9000000000000004</v>
      </c>
      <c r="P7" s="44">
        <f t="shared" si="0"/>
        <v>4.9000000000000004</v>
      </c>
      <c r="Q7" s="44">
        <f t="shared" si="0"/>
        <v>4.9000000000000004</v>
      </c>
    </row>
    <row r="8" spans="1:29">
      <c r="B8" s="72" t="s">
        <v>268</v>
      </c>
      <c r="C8" s="41" t="s">
        <v>13</v>
      </c>
      <c r="D8" s="58" t="s">
        <v>19</v>
      </c>
      <c r="E8" s="85" t="e">
        <f>IF(E7&gt;=E6,0,'Inputs - Project Specific'!$G$7)</f>
        <v>#REF!</v>
      </c>
      <c r="F8" s="85" t="e">
        <f>IF(E8=0,IF(F7&gt;=F6,0,'Inputs - Project Specific'!$G$7),0)</f>
        <v>#REF!</v>
      </c>
      <c r="G8" s="85" t="e">
        <f>IF(SUM($E$8:F8)=0,IF(G7&gt;=G6,0,'Inputs - Project Specific'!$G$7),0)</f>
        <v>#REF!</v>
      </c>
      <c r="H8" s="85" t="e">
        <f>IF(SUM($E$8:G8)=0,IF(H7&gt;=H6,0,'Inputs - Project Specific'!$G$7),0)</f>
        <v>#REF!</v>
      </c>
      <c r="I8" s="85" t="e">
        <f>IF(SUM($E$8:H8)=0,IF(I7&gt;=I6,0,'Inputs - Project Specific'!$G$7),0)</f>
        <v>#REF!</v>
      </c>
      <c r="J8" s="85" t="e">
        <f>IF(SUM($E$8:I8)=0,IF(J7&gt;=J6,0,'Inputs - Project Specific'!$G$7),0)</f>
        <v>#REF!</v>
      </c>
      <c r="K8" s="85" t="e">
        <f>IF(SUM($E$8:J8)=0,IF(K7&gt;=K6,0,'Inputs - Project Specific'!$G$7),0)</f>
        <v>#REF!</v>
      </c>
      <c r="L8" s="85" t="e">
        <f>IF(SUM($E$8:K8)=0,IF(L7&gt;=L6,0,'Inputs - Project Specific'!$G$7),0)</f>
        <v>#REF!</v>
      </c>
      <c r="M8" s="85" t="e">
        <f>IF(SUM($E$8:L8)=0,IF(M7&gt;=M6,0,'Inputs - Project Specific'!$G$7),0)</f>
        <v>#REF!</v>
      </c>
      <c r="N8" s="85" t="e">
        <f>IF(SUM($E$8:M8)=0,IF(N7&gt;=N6,0,'Inputs - Project Specific'!$G$7),0)</f>
        <v>#REF!</v>
      </c>
      <c r="O8" s="85" t="e">
        <f>IF(SUM($E$8:N8)=0,IF(O7&gt;=O6,0,'Inputs - Project Specific'!$G$7),0)</f>
        <v>#REF!</v>
      </c>
      <c r="P8" s="85" t="e">
        <f>IF(SUM($E$8:O8)=0,IF(P7&gt;=P6,0,'Inputs - Project Specific'!$G$7),0)</f>
        <v>#REF!</v>
      </c>
      <c r="Q8" s="85" t="e">
        <f>IF(SUM($E$8:P8)=0,IF(Q7&gt;=Q6,0,'Inputs - Project Specific'!$G$7),0)</f>
        <v>#REF!</v>
      </c>
      <c r="S8" s="46" t="e">
        <f>NPV('Inputs - Fixed'!$F$3,SUM(E8:E8),SUM(F8:F8),SUM(G8:G8),SUM(H8:H8),I8,J8,K8,L8,M8,N8,O8,P8)</f>
        <v>#REF!</v>
      </c>
    </row>
    <row r="9" spans="1:29">
      <c r="B9" s="72" t="s">
        <v>283</v>
      </c>
      <c r="C9" s="41" t="s">
        <v>13</v>
      </c>
      <c r="D9" s="58" t="s">
        <v>19</v>
      </c>
      <c r="E9" s="85">
        <f>IF(E1='Inputs - Project Specific'!$G$8,'Inputs - Project Specific'!$G$7,0)</f>
        <v>0</v>
      </c>
      <c r="F9" s="85">
        <f>IF(F1='Inputs - Project Specific'!$G$8,'Inputs - Project Specific'!$G$7,0)</f>
        <v>0</v>
      </c>
      <c r="G9" s="85">
        <f>IF(G1='Inputs - Project Specific'!$G$8,'Inputs - Project Specific'!$G$7,0)</f>
        <v>0</v>
      </c>
      <c r="H9" s="85">
        <f>IF(H1='Inputs - Project Specific'!$G$8,'Inputs - Project Specific'!$G$7,0)</f>
        <v>0</v>
      </c>
      <c r="I9" s="85">
        <f>IF(I1='Inputs - Project Specific'!$G$8,'Inputs - Project Specific'!$G$7,0)</f>
        <v>4448000</v>
      </c>
      <c r="J9" s="85">
        <f>IF(J1='Inputs - Project Specific'!$G$8,'Inputs - Project Specific'!$G$7,0)</f>
        <v>0</v>
      </c>
      <c r="K9" s="85">
        <f>IF(K1='Inputs - Project Specific'!$G$8,'Inputs - Project Specific'!$G$7,0)</f>
        <v>0</v>
      </c>
      <c r="L9" s="85">
        <f>IF(L1='Inputs - Project Specific'!$G$8,'Inputs - Project Specific'!$G$7,0)</f>
        <v>0</v>
      </c>
      <c r="M9" s="85">
        <f>IF(M1='Inputs - Project Specific'!$G$8,'Inputs - Project Specific'!$G$7,0)</f>
        <v>0</v>
      </c>
      <c r="N9" s="85">
        <f>IF(N1='Inputs - Project Specific'!$G$8,'Inputs - Project Specific'!$G$7,0)</f>
        <v>0</v>
      </c>
      <c r="O9" s="85">
        <f>IF(O1='Inputs - Project Specific'!$G$8,'Inputs - Project Specific'!$G$7,0)</f>
        <v>0</v>
      </c>
      <c r="P9" s="85">
        <f>IF(P1='Inputs - Project Specific'!$G$8,'Inputs - Project Specific'!$G$7,0)</f>
        <v>0</v>
      </c>
      <c r="Q9" s="85">
        <f>IF(Q1='Inputs - Project Specific'!$G$8,'Inputs - Project Specific'!$G$7,0)</f>
        <v>0</v>
      </c>
      <c r="S9" s="46">
        <f>NPV('Inputs - Fixed'!$F$3,SUM(E9:E9),SUM(F9:F9),SUM(G9:G9),SUM(H9:H9),I9,J9,K9,L9,M9,N9,O9,P9,Q9)</f>
        <v>3193685.4967799014</v>
      </c>
    </row>
    <row r="10" spans="1:29">
      <c r="B10" t="s">
        <v>269</v>
      </c>
      <c r="C10" s="41" t="s">
        <v>13</v>
      </c>
      <c r="D10" s="58" t="s">
        <v>19</v>
      </c>
      <c r="S10" s="46" t="e">
        <f>IF(S8&gt;S9,0,S9-S8)</f>
        <v>#REF!</v>
      </c>
    </row>
    <row r="12" spans="1:29">
      <c r="B12" s="39" t="s">
        <v>385</v>
      </c>
    </row>
    <row r="14" spans="1:29">
      <c r="B14" s="41" t="s">
        <v>362</v>
      </c>
      <c r="C14" s="41" t="s">
        <v>363</v>
      </c>
      <c r="D14" s="111" t="s">
        <v>80</v>
      </c>
      <c r="E14" s="41">
        <f>'Inputs - Fixed'!B38</f>
        <v>891</v>
      </c>
      <c r="F14" s="41">
        <f>E14</f>
        <v>891</v>
      </c>
      <c r="G14" s="41">
        <f t="shared" ref="G14:Q14" si="1">F14</f>
        <v>891</v>
      </c>
      <c r="H14" s="41">
        <f t="shared" si="1"/>
        <v>891</v>
      </c>
      <c r="I14" s="41">
        <f t="shared" si="1"/>
        <v>891</v>
      </c>
      <c r="J14" s="41">
        <f t="shared" si="1"/>
        <v>891</v>
      </c>
      <c r="K14" s="41">
        <f t="shared" si="1"/>
        <v>891</v>
      </c>
      <c r="L14" s="41">
        <f t="shared" si="1"/>
        <v>891</v>
      </c>
      <c r="M14" s="41">
        <f t="shared" si="1"/>
        <v>891</v>
      </c>
      <c r="N14" s="41">
        <f t="shared" si="1"/>
        <v>891</v>
      </c>
      <c r="O14" s="41">
        <f t="shared" si="1"/>
        <v>891</v>
      </c>
      <c r="P14" s="41">
        <f t="shared" si="1"/>
        <v>891</v>
      </c>
      <c r="Q14" s="41">
        <f t="shared" si="1"/>
        <v>891</v>
      </c>
    </row>
    <row r="15" spans="1:29">
      <c r="A15" s="113" t="s">
        <v>36</v>
      </c>
      <c r="B15" s="41" t="s">
        <v>361</v>
      </c>
      <c r="C15" s="41" t="s">
        <v>363</v>
      </c>
      <c r="D15" s="111" t="s">
        <v>80</v>
      </c>
      <c r="E15" s="41">
        <f>'Inputs - Fixed'!C38</f>
        <v>832</v>
      </c>
      <c r="F15" s="41">
        <f>E15</f>
        <v>832</v>
      </c>
      <c r="G15" s="41">
        <f t="shared" ref="G15:Q15" si="2">F15</f>
        <v>832</v>
      </c>
      <c r="H15" s="41">
        <f t="shared" si="2"/>
        <v>832</v>
      </c>
      <c r="I15" s="41">
        <f t="shared" si="2"/>
        <v>832</v>
      </c>
      <c r="J15" s="41">
        <f t="shared" si="2"/>
        <v>832</v>
      </c>
      <c r="K15" s="41">
        <f t="shared" si="2"/>
        <v>832</v>
      </c>
      <c r="L15" s="41">
        <f t="shared" si="2"/>
        <v>832</v>
      </c>
      <c r="M15" s="41">
        <f t="shared" si="2"/>
        <v>832</v>
      </c>
      <c r="N15" s="41">
        <f t="shared" si="2"/>
        <v>832</v>
      </c>
      <c r="O15" s="41">
        <f t="shared" si="2"/>
        <v>832</v>
      </c>
      <c r="P15" s="41">
        <f t="shared" si="2"/>
        <v>832</v>
      </c>
      <c r="Q15" s="41">
        <f t="shared" si="2"/>
        <v>832</v>
      </c>
    </row>
    <row r="16" spans="1:29">
      <c r="A16" s="109" t="s">
        <v>74</v>
      </c>
      <c r="B16" s="119" t="s">
        <v>374</v>
      </c>
      <c r="C16" s="53"/>
      <c r="D16" s="53"/>
      <c r="E16" s="110">
        <f>E14/E15</f>
        <v>1.0709134615384615</v>
      </c>
      <c r="F16" s="110">
        <f t="shared" ref="F16:Q16" si="3">F14/F15</f>
        <v>1.0709134615384615</v>
      </c>
      <c r="G16" s="110">
        <f t="shared" si="3"/>
        <v>1.0709134615384615</v>
      </c>
      <c r="H16" s="110">
        <f t="shared" si="3"/>
        <v>1.0709134615384615</v>
      </c>
      <c r="I16" s="110">
        <f t="shared" si="3"/>
        <v>1.0709134615384615</v>
      </c>
      <c r="J16" s="110">
        <f t="shared" si="3"/>
        <v>1.0709134615384615</v>
      </c>
      <c r="K16" s="110">
        <f t="shared" si="3"/>
        <v>1.0709134615384615</v>
      </c>
      <c r="L16" s="110">
        <f t="shared" si="3"/>
        <v>1.0709134615384615</v>
      </c>
      <c r="M16" s="110">
        <f t="shared" si="3"/>
        <v>1.0709134615384615</v>
      </c>
      <c r="N16" s="110">
        <f t="shared" si="3"/>
        <v>1.0709134615384615</v>
      </c>
      <c r="O16" s="110">
        <f t="shared" si="3"/>
        <v>1.0709134615384615</v>
      </c>
      <c r="P16" s="110">
        <f t="shared" si="3"/>
        <v>1.0709134615384615</v>
      </c>
      <c r="Q16" s="110">
        <f t="shared" si="3"/>
        <v>1.0709134615384615</v>
      </c>
    </row>
    <row r="17" spans="1:19">
      <c r="A17" s="88"/>
      <c r="B17" s="121" t="s">
        <v>16</v>
      </c>
      <c r="C17" s="121" t="s">
        <v>5</v>
      </c>
      <c r="D17" s="121" t="s">
        <v>79</v>
      </c>
      <c r="E17" s="45">
        <f>1-'Inputs - Project Specific'!G41</f>
        <v>0.89715</v>
      </c>
      <c r="F17" s="45">
        <f t="shared" ref="F17:Q17" si="4">E17</f>
        <v>0.89715</v>
      </c>
      <c r="G17" s="45">
        <f t="shared" si="4"/>
        <v>0.89715</v>
      </c>
      <c r="H17" s="45">
        <f t="shared" si="4"/>
        <v>0.89715</v>
      </c>
      <c r="I17" s="45">
        <f t="shared" si="4"/>
        <v>0.89715</v>
      </c>
      <c r="J17" s="45">
        <f t="shared" si="4"/>
        <v>0.89715</v>
      </c>
      <c r="K17" s="45">
        <f t="shared" si="4"/>
        <v>0.89715</v>
      </c>
      <c r="L17" s="45">
        <f t="shared" si="4"/>
        <v>0.89715</v>
      </c>
      <c r="M17" s="45">
        <f t="shared" si="4"/>
        <v>0.89715</v>
      </c>
      <c r="N17" s="45">
        <f t="shared" si="4"/>
        <v>0.89715</v>
      </c>
      <c r="O17" s="45">
        <f t="shared" si="4"/>
        <v>0.89715</v>
      </c>
      <c r="P17" s="45">
        <f t="shared" si="4"/>
        <v>0.89715</v>
      </c>
      <c r="Q17" s="45">
        <f t="shared" si="4"/>
        <v>0.89715</v>
      </c>
    </row>
    <row r="18" spans="1:19">
      <c r="A18" s="109"/>
      <c r="B18" s="142"/>
      <c r="C18" s="143"/>
      <c r="D18" s="143"/>
      <c r="E18" s="144"/>
      <c r="F18" s="144"/>
      <c r="G18" s="144"/>
      <c r="H18" s="144"/>
      <c r="I18" s="144"/>
      <c r="J18" s="144"/>
      <c r="K18" s="144"/>
      <c r="L18" s="144"/>
      <c r="M18" s="144"/>
      <c r="N18" s="144"/>
      <c r="O18" s="144"/>
      <c r="P18" s="144"/>
      <c r="Q18" s="144"/>
    </row>
    <row r="19" spans="1:19">
      <c r="B19" s="111" t="s">
        <v>371</v>
      </c>
      <c r="C19" s="41" t="s">
        <v>15</v>
      </c>
      <c r="D19" s="121" t="s">
        <v>79</v>
      </c>
      <c r="E19" s="44">
        <f>'Inputs - Project Specific'!G30</f>
        <v>19.600000000000001</v>
      </c>
      <c r="F19" s="44">
        <f t="shared" ref="F19:Q19" si="5">E19</f>
        <v>19.600000000000001</v>
      </c>
      <c r="G19" s="44">
        <f t="shared" si="5"/>
        <v>19.600000000000001</v>
      </c>
      <c r="H19" s="44">
        <f t="shared" si="5"/>
        <v>19.600000000000001</v>
      </c>
      <c r="I19" s="44">
        <f t="shared" si="5"/>
        <v>19.600000000000001</v>
      </c>
      <c r="J19" s="44">
        <f t="shared" si="5"/>
        <v>19.600000000000001</v>
      </c>
      <c r="K19" s="44">
        <f t="shared" si="5"/>
        <v>19.600000000000001</v>
      </c>
      <c r="L19" s="44">
        <f t="shared" si="5"/>
        <v>19.600000000000001</v>
      </c>
      <c r="M19" s="44">
        <f t="shared" si="5"/>
        <v>19.600000000000001</v>
      </c>
      <c r="N19" s="44">
        <f t="shared" si="5"/>
        <v>19.600000000000001</v>
      </c>
      <c r="O19" s="44">
        <f t="shared" si="5"/>
        <v>19.600000000000001</v>
      </c>
      <c r="P19" s="44">
        <f t="shared" si="5"/>
        <v>19.600000000000001</v>
      </c>
      <c r="Q19" s="44">
        <f t="shared" si="5"/>
        <v>19.600000000000001</v>
      </c>
    </row>
    <row r="20" spans="1:19">
      <c r="A20" s="88" t="s">
        <v>39</v>
      </c>
      <c r="B20" s="121" t="s">
        <v>358</v>
      </c>
      <c r="C20" s="121" t="s">
        <v>10</v>
      </c>
      <c r="D20" s="121" t="s">
        <v>79</v>
      </c>
      <c r="E20" s="44">
        <f>'Inputs - Project Specific'!G32</f>
        <v>20</v>
      </c>
      <c r="F20" s="44">
        <f t="shared" ref="F20:Q20" si="6">E20</f>
        <v>20</v>
      </c>
      <c r="G20" s="44">
        <f t="shared" si="6"/>
        <v>20</v>
      </c>
      <c r="H20" s="44">
        <f t="shared" si="6"/>
        <v>20</v>
      </c>
      <c r="I20" s="44">
        <f t="shared" si="6"/>
        <v>20</v>
      </c>
      <c r="J20" s="44">
        <f t="shared" si="6"/>
        <v>20</v>
      </c>
      <c r="K20" s="44">
        <f t="shared" si="6"/>
        <v>20</v>
      </c>
      <c r="L20" s="44">
        <f t="shared" si="6"/>
        <v>20</v>
      </c>
      <c r="M20" s="44">
        <f t="shared" si="6"/>
        <v>20</v>
      </c>
      <c r="N20" s="44">
        <f t="shared" si="6"/>
        <v>20</v>
      </c>
      <c r="O20" s="44">
        <f t="shared" si="6"/>
        <v>20</v>
      </c>
      <c r="P20" s="44">
        <f t="shared" si="6"/>
        <v>20</v>
      </c>
      <c r="Q20" s="44">
        <f t="shared" si="6"/>
        <v>20</v>
      </c>
    </row>
    <row r="21" spans="1:19">
      <c r="A21" s="123" t="s">
        <v>36</v>
      </c>
      <c r="B21" s="123" t="s">
        <v>75</v>
      </c>
      <c r="C21" s="123" t="s">
        <v>5</v>
      </c>
      <c r="D21" s="122" t="s">
        <v>38</v>
      </c>
      <c r="E21" s="45">
        <f>1-'Inputs - Fixed'!F11</f>
        <v>0.94369999999999998</v>
      </c>
      <c r="F21" s="45">
        <f t="shared" ref="F21:Q22" si="7">E21</f>
        <v>0.94369999999999998</v>
      </c>
      <c r="G21" s="45">
        <f t="shared" si="7"/>
        <v>0.94369999999999998</v>
      </c>
      <c r="H21" s="45">
        <f t="shared" si="7"/>
        <v>0.94369999999999998</v>
      </c>
      <c r="I21" s="45">
        <f t="shared" si="7"/>
        <v>0.94369999999999998</v>
      </c>
      <c r="J21" s="45">
        <f t="shared" si="7"/>
        <v>0.94369999999999998</v>
      </c>
      <c r="K21" s="45">
        <f t="shared" si="7"/>
        <v>0.94369999999999998</v>
      </c>
      <c r="L21" s="45">
        <f t="shared" si="7"/>
        <v>0.94369999999999998</v>
      </c>
      <c r="M21" s="45">
        <f t="shared" si="7"/>
        <v>0.94369999999999998</v>
      </c>
      <c r="N21" s="45">
        <f t="shared" si="7"/>
        <v>0.94369999999999998</v>
      </c>
      <c r="O21" s="45">
        <f t="shared" si="7"/>
        <v>0.94369999999999998</v>
      </c>
      <c r="P21" s="45">
        <f t="shared" si="7"/>
        <v>0.94369999999999998</v>
      </c>
      <c r="Q21" s="45">
        <f t="shared" si="7"/>
        <v>0.94369999999999998</v>
      </c>
    </row>
    <row r="22" spans="1:19">
      <c r="A22" s="123" t="s">
        <v>39</v>
      </c>
      <c r="B22" s="123" t="s">
        <v>372</v>
      </c>
      <c r="C22" s="123" t="s">
        <v>20</v>
      </c>
      <c r="D22" s="123" t="s">
        <v>80</v>
      </c>
      <c r="E22" s="100">
        <f>'Inputs - Fixed'!F12</f>
        <v>21.16</v>
      </c>
      <c r="F22" s="100">
        <f>E22</f>
        <v>21.16</v>
      </c>
      <c r="G22" s="100">
        <f t="shared" si="7"/>
        <v>21.16</v>
      </c>
      <c r="H22" s="100">
        <f t="shared" si="7"/>
        <v>21.16</v>
      </c>
      <c r="I22" s="100">
        <f t="shared" si="7"/>
        <v>21.16</v>
      </c>
      <c r="J22" s="100">
        <f t="shared" si="7"/>
        <v>21.16</v>
      </c>
      <c r="K22" s="100">
        <f t="shared" si="7"/>
        <v>21.16</v>
      </c>
      <c r="L22" s="100">
        <f t="shared" si="7"/>
        <v>21.16</v>
      </c>
      <c r="M22" s="100">
        <f t="shared" si="7"/>
        <v>21.16</v>
      </c>
      <c r="N22" s="100">
        <f t="shared" si="7"/>
        <v>21.16</v>
      </c>
      <c r="O22" s="100">
        <f t="shared" si="7"/>
        <v>21.16</v>
      </c>
      <c r="P22" s="100">
        <f t="shared" si="7"/>
        <v>21.16</v>
      </c>
      <c r="Q22" s="100">
        <f t="shared" si="7"/>
        <v>21.16</v>
      </c>
    </row>
    <row r="23" spans="1:19">
      <c r="A23" s="125" t="s">
        <v>39</v>
      </c>
      <c r="B23" s="125" t="s">
        <v>381</v>
      </c>
      <c r="C23" s="125" t="s">
        <v>5</v>
      </c>
      <c r="D23" s="125" t="s">
        <v>380</v>
      </c>
      <c r="E23" s="141">
        <f t="shared" ref="E23:Q23" si="8">(1-(2-E17)/E16)</f>
        <v>-2.9821773288440045E-2</v>
      </c>
      <c r="F23" s="141">
        <f t="shared" si="8"/>
        <v>-2.9821773288440045E-2</v>
      </c>
      <c r="G23" s="141">
        <f t="shared" si="8"/>
        <v>-2.9821773288440045E-2</v>
      </c>
      <c r="H23" s="141">
        <f t="shared" si="8"/>
        <v>-2.9821773288440045E-2</v>
      </c>
      <c r="I23" s="141">
        <f t="shared" si="8"/>
        <v>-2.9821773288440045E-2</v>
      </c>
      <c r="J23" s="141">
        <f t="shared" si="8"/>
        <v>-2.9821773288440045E-2</v>
      </c>
      <c r="K23" s="141">
        <f t="shared" si="8"/>
        <v>-2.9821773288440045E-2</v>
      </c>
      <c r="L23" s="141">
        <f t="shared" si="8"/>
        <v>-2.9821773288440045E-2</v>
      </c>
      <c r="M23" s="141">
        <f t="shared" si="8"/>
        <v>-2.9821773288440045E-2</v>
      </c>
      <c r="N23" s="141">
        <f t="shared" si="8"/>
        <v>-2.9821773288440045E-2</v>
      </c>
      <c r="O23" s="141">
        <f t="shared" si="8"/>
        <v>-2.9821773288440045E-2</v>
      </c>
      <c r="P23" s="141">
        <f t="shared" si="8"/>
        <v>-2.9821773288440045E-2</v>
      </c>
      <c r="Q23" s="141">
        <f t="shared" si="8"/>
        <v>-2.9821773288440045E-2</v>
      </c>
    </row>
    <row r="24" spans="1:19">
      <c r="A24" s="119" t="s">
        <v>74</v>
      </c>
      <c r="B24" s="119" t="s">
        <v>373</v>
      </c>
      <c r="C24" s="53"/>
      <c r="D24" s="53"/>
      <c r="E24" s="124">
        <f t="shared" ref="E24:Q24" si="9">E19*E20/E21*E22*E23</f>
        <v>-262.12065204099758</v>
      </c>
      <c r="F24" s="124">
        <f t="shared" si="9"/>
        <v>-262.12065204099758</v>
      </c>
      <c r="G24" s="124">
        <f t="shared" si="9"/>
        <v>-262.12065204099758</v>
      </c>
      <c r="H24" s="124">
        <f t="shared" si="9"/>
        <v>-262.12065204099758</v>
      </c>
      <c r="I24" s="124">
        <f t="shared" si="9"/>
        <v>-262.12065204099758</v>
      </c>
      <c r="J24" s="124">
        <f t="shared" si="9"/>
        <v>-262.12065204099758</v>
      </c>
      <c r="K24" s="124">
        <f t="shared" si="9"/>
        <v>-262.12065204099758</v>
      </c>
      <c r="L24" s="124">
        <f t="shared" si="9"/>
        <v>-262.12065204099758</v>
      </c>
      <c r="M24" s="124">
        <f t="shared" si="9"/>
        <v>-262.12065204099758</v>
      </c>
      <c r="N24" s="124">
        <f t="shared" si="9"/>
        <v>-262.12065204099758</v>
      </c>
      <c r="O24" s="124">
        <f t="shared" si="9"/>
        <v>-262.12065204099758</v>
      </c>
      <c r="P24" s="124">
        <f t="shared" si="9"/>
        <v>-262.12065204099758</v>
      </c>
      <c r="Q24" s="124">
        <f t="shared" si="9"/>
        <v>-262.12065204099758</v>
      </c>
      <c r="R24" s="124">
        <f>SUM(E24:Q24)</f>
        <v>-3407.5684765329697</v>
      </c>
      <c r="S24" s="70">
        <f>NPV('Inputs - Fixed'!$F$3,SUM(E24:E24),SUM(F24:F24),SUM(G24:G24),SUM(H24:H24),I24,J24,K24,L24,M24,N24,O24,P24,Q24)</f>
        <v>-2209.4604434214652</v>
      </c>
    </row>
    <row r="25" spans="1:19">
      <c r="E25" s="44"/>
    </row>
  </sheetData>
  <sortState xmlns:xlrd2="http://schemas.microsoft.com/office/spreadsheetml/2017/richdata2" ref="A19:S24">
    <sortCondition sortBy="cellColor" ref="S24"/>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L105"/>
  <sheetViews>
    <sheetView topLeftCell="A47" workbookViewId="0">
      <selection activeCell="C11" sqref="C11"/>
    </sheetView>
  </sheetViews>
  <sheetFormatPr baseColWidth="10" defaultColWidth="8.83203125" defaultRowHeight="15"/>
  <cols>
    <col min="2" max="2" width="27" customWidth="1"/>
    <col min="3" max="3" width="15.33203125" bestFit="1" customWidth="1"/>
    <col min="4" max="4" width="18.1640625" bestFit="1" customWidth="1"/>
    <col min="5" max="5" width="21.6640625" customWidth="1"/>
    <col min="6" max="6" width="8.5" customWidth="1"/>
    <col min="7" max="7" width="14.33203125" customWidth="1"/>
    <col min="8" max="8" width="24.1640625" bestFit="1" customWidth="1"/>
    <col min="9" max="9" width="6.1640625" customWidth="1"/>
    <col min="11" max="11" width="23.5" customWidth="1"/>
    <col min="12" max="12" width="7.33203125" customWidth="1"/>
    <col min="14" max="14" width="24.1640625" bestFit="1" customWidth="1"/>
    <col min="17" max="17" width="24.1640625" bestFit="1" customWidth="1"/>
    <col min="19" max="19" width="8.83203125" bestFit="1" customWidth="1"/>
    <col min="20" max="20" width="24.1640625" bestFit="1" customWidth="1"/>
    <col min="23" max="23" width="24.1640625" bestFit="1" customWidth="1"/>
    <col min="26" max="26" width="24.1640625" bestFit="1" customWidth="1"/>
    <col min="28" max="28" width="10.83203125" bestFit="1" customWidth="1"/>
    <col min="29" max="29" width="24.1640625" bestFit="1" customWidth="1"/>
    <col min="32" max="32" width="24.1640625" bestFit="1" customWidth="1"/>
    <col min="34" max="34" width="10.5" bestFit="1" customWidth="1"/>
    <col min="35" max="35" width="24.1640625" bestFit="1" customWidth="1"/>
    <col min="37" max="37" width="10.1640625" bestFit="1" customWidth="1"/>
    <col min="38" max="38" width="24.1640625" bestFit="1" customWidth="1"/>
  </cols>
  <sheetData>
    <row r="1" spans="1:38">
      <c r="A1" s="93" t="s">
        <v>295</v>
      </c>
    </row>
    <row r="2" spans="1:38">
      <c r="A2" t="s">
        <v>296</v>
      </c>
      <c r="C2" s="16" t="str">
        <f>'Inputs - Project Specific'!G10</f>
        <v>central</v>
      </c>
    </row>
    <row r="3" spans="1:38">
      <c r="A3" t="s">
        <v>297</v>
      </c>
      <c r="C3" s="16">
        <f>'Inputs - Project Specific'!G41</f>
        <v>0.10285</v>
      </c>
    </row>
    <row r="4" spans="1:38">
      <c r="A4" t="s">
        <v>298</v>
      </c>
      <c r="C4" s="16">
        <f>C3/2</f>
        <v>5.1424999999999998E-2</v>
      </c>
    </row>
    <row r="5" spans="1:38">
      <c r="A5" t="s">
        <v>299</v>
      </c>
      <c r="C5" s="16">
        <f>C3/2</f>
        <v>5.1424999999999998E-2</v>
      </c>
    </row>
    <row r="6" spans="1:38">
      <c r="A6" s="58" t="s">
        <v>300</v>
      </c>
      <c r="C6" s="36">
        <f>1-'Inputs - Fixed'!F11</f>
        <v>0.94369999999999998</v>
      </c>
    </row>
    <row r="7" spans="1:38">
      <c r="A7" s="58" t="s">
        <v>301</v>
      </c>
      <c r="C7" s="36">
        <f>'Inputs - Fixed'!F3</f>
        <v>6.8500000000000005E-2</v>
      </c>
    </row>
    <row r="8" spans="1:38">
      <c r="A8" s="94" t="s">
        <v>302</v>
      </c>
      <c r="B8" s="94"/>
      <c r="C8" s="95">
        <f>B74</f>
        <v>251820.87356821159</v>
      </c>
    </row>
    <row r="9" spans="1:38">
      <c r="A9" s="94" t="s">
        <v>303</v>
      </c>
      <c r="B9" s="94"/>
      <c r="C9" s="95">
        <f>B105</f>
        <v>165382.79013314354</v>
      </c>
    </row>
    <row r="10" spans="1:38" s="126" customFormat="1">
      <c r="A10" s="244" t="s">
        <v>377</v>
      </c>
      <c r="B10" s="244"/>
      <c r="C10" s="139"/>
    </row>
    <row r="11" spans="1:38" s="126" customFormat="1">
      <c r="A11" s="244"/>
      <c r="B11" s="244"/>
      <c r="C11" s="139">
        <f>C9*'Inputs - Project Specific'!G32/(30*(COUNTIF('LBMP Calculation'!D43:AL43,"&lt;&gt;0")-COUNTBLANK('LBMP Calculation'!D43:AL43)-COUNTIF('LBMP Calculation'!D43:AL43,"*")))</f>
        <v>27563.798355523923</v>
      </c>
    </row>
    <row r="12" spans="1:38">
      <c r="C12" s="16"/>
    </row>
    <row r="13" spans="1:38" s="93" customFormat="1">
      <c r="A13" s="96" t="s">
        <v>304</v>
      </c>
      <c r="C13" s="97"/>
    </row>
    <row r="14" spans="1:38">
      <c r="B14" t="s">
        <v>305</v>
      </c>
      <c r="C14" s="16"/>
      <c r="D14" t="s">
        <v>329</v>
      </c>
    </row>
    <row r="16" spans="1:38" ht="15" customHeight="1">
      <c r="A16" s="94" t="s">
        <v>306</v>
      </c>
      <c r="D16">
        <v>1</v>
      </c>
      <c r="E16" s="243" t="s">
        <v>307</v>
      </c>
      <c r="G16">
        <v>2</v>
      </c>
      <c r="H16" s="243" t="s">
        <v>307</v>
      </c>
      <c r="J16">
        <v>3</v>
      </c>
      <c r="K16" s="243" t="s">
        <v>307</v>
      </c>
      <c r="M16">
        <v>4</v>
      </c>
      <c r="N16" s="243" t="s">
        <v>307</v>
      </c>
      <c r="P16">
        <v>5</v>
      </c>
      <c r="Q16" s="243" t="s">
        <v>307</v>
      </c>
      <c r="S16">
        <v>6</v>
      </c>
      <c r="T16" s="243" t="s">
        <v>307</v>
      </c>
      <c r="V16">
        <v>7</v>
      </c>
      <c r="W16" s="243" t="s">
        <v>307</v>
      </c>
      <c r="Y16">
        <v>8</v>
      </c>
      <c r="Z16" s="243" t="s">
        <v>307</v>
      </c>
      <c r="AB16">
        <v>9</v>
      </c>
      <c r="AC16" s="243" t="s">
        <v>307</v>
      </c>
      <c r="AE16">
        <v>10</v>
      </c>
      <c r="AF16" s="243" t="s">
        <v>307</v>
      </c>
      <c r="AH16">
        <v>11</v>
      </c>
      <c r="AI16" s="243" t="s">
        <v>307</v>
      </c>
      <c r="AK16">
        <v>12</v>
      </c>
      <c r="AL16" s="243" t="s">
        <v>307</v>
      </c>
    </row>
    <row r="17" spans="1:38">
      <c r="A17" s="94" t="s">
        <v>308</v>
      </c>
      <c r="D17" s="94" t="str">
        <f ca="1">TEXT(DATE(YEAR(TODAY()),D16,1),"mmmm")</f>
        <v>January</v>
      </c>
      <c r="E17" s="243"/>
      <c r="G17" s="94" t="str">
        <f ca="1">TEXT(DATE(YEAR(TODAY()),G16,1),"mmmm")</f>
        <v>February</v>
      </c>
      <c r="H17" s="243"/>
      <c r="J17" s="94" t="str">
        <f ca="1">TEXT(DATE(YEAR(TODAY()),J16,1),"mmmm")</f>
        <v>March</v>
      </c>
      <c r="K17" s="243"/>
      <c r="M17" s="94" t="str">
        <f ca="1">TEXT(DATE(YEAR(TODAY()),M16,1),"mmmm")</f>
        <v>April</v>
      </c>
      <c r="N17" s="243"/>
      <c r="P17" s="94" t="str">
        <f ca="1">TEXT(DATE(YEAR(TODAY()),P16,1),"mmmm")</f>
        <v>May</v>
      </c>
      <c r="Q17" s="243"/>
      <c r="S17" s="94" t="str">
        <f ca="1">TEXT(DATE(YEAR(TODAY()),S16,1),"mmmm")</f>
        <v>June</v>
      </c>
      <c r="T17" s="243"/>
      <c r="V17" s="94" t="str">
        <f ca="1">TEXT(DATE(YEAR(TODAY()),V16,1),"mmmm")</f>
        <v>July</v>
      </c>
      <c r="W17" s="243"/>
      <c r="Y17" s="94" t="str">
        <f ca="1">TEXT(DATE(YEAR(TODAY()),Y16,1),"mmmm")</f>
        <v>August</v>
      </c>
      <c r="Z17" s="243"/>
      <c r="AB17" s="94" t="str">
        <f ca="1">TEXT(DATE(YEAR(TODAY()),AB16,1),"mmmm")</f>
        <v>September</v>
      </c>
      <c r="AC17" s="243"/>
      <c r="AE17" s="94" t="str">
        <f ca="1">TEXT(DATE(YEAR(TODAY()),AE16,1),"mmmm")</f>
        <v>October</v>
      </c>
      <c r="AF17" s="243"/>
      <c r="AH17" s="94" t="str">
        <f ca="1">TEXT(DATE(YEAR(TODAY()),AH16,1),"mmmm")</f>
        <v>November</v>
      </c>
      <c r="AI17" s="243"/>
      <c r="AK17" s="94" t="str">
        <f ca="1">TEXT(DATE(YEAR(TODAY()),AK16,1),"mmmm")</f>
        <v>December</v>
      </c>
      <c r="AL17" s="243"/>
    </row>
    <row r="18" spans="1:38">
      <c r="A18" t="s">
        <v>309</v>
      </c>
      <c r="B18" t="s">
        <v>310</v>
      </c>
      <c r="D18" t="s">
        <v>293</v>
      </c>
      <c r="E18" s="243"/>
      <c r="G18" t="s">
        <v>293</v>
      </c>
      <c r="H18" s="243"/>
      <c r="J18" t="s">
        <v>293</v>
      </c>
      <c r="K18" s="243"/>
      <c r="M18" t="s">
        <v>293</v>
      </c>
      <c r="N18" s="243"/>
      <c r="P18" t="s">
        <v>293</v>
      </c>
      <c r="Q18" s="243"/>
      <c r="S18" t="s">
        <v>293</v>
      </c>
      <c r="T18" s="243"/>
      <c r="V18" t="s">
        <v>293</v>
      </c>
      <c r="W18" s="243"/>
      <c r="Y18" t="s">
        <v>293</v>
      </c>
      <c r="Z18" s="243"/>
      <c r="AB18" t="s">
        <v>293</v>
      </c>
      <c r="AC18" s="243"/>
      <c r="AE18" t="s">
        <v>293</v>
      </c>
      <c r="AF18" s="243"/>
      <c r="AH18" t="s">
        <v>293</v>
      </c>
      <c r="AI18" s="243"/>
      <c r="AK18" t="s">
        <v>293</v>
      </c>
      <c r="AL18" s="243"/>
    </row>
    <row r="19" spans="1:38">
      <c r="A19">
        <v>2018</v>
      </c>
      <c r="B19" s="16">
        <f>'Inputs - Project Specific'!G30</f>
        <v>19.600000000000001</v>
      </c>
      <c r="D19">
        <v>0</v>
      </c>
      <c r="E19" s="98"/>
      <c r="G19">
        <v>0</v>
      </c>
      <c r="H19" s="98"/>
      <c r="J19">
        <v>0</v>
      </c>
      <c r="K19" s="98"/>
      <c r="M19">
        <v>0</v>
      </c>
      <c r="N19" s="98"/>
      <c r="P19">
        <v>0</v>
      </c>
      <c r="Q19" s="98"/>
      <c r="S19">
        <v>0</v>
      </c>
      <c r="T19" s="98">
        <f t="shared" ref="T19:T26" si="0">-0.125*(1+$C$4)</f>
        <v>-0.13142812500000001</v>
      </c>
      <c r="V19">
        <v>0</v>
      </c>
      <c r="W19" s="98">
        <f t="shared" ref="W19:W26" si="1">-0.125*(1+$C$4)</f>
        <v>-0.13142812500000001</v>
      </c>
      <c r="Y19">
        <v>0</v>
      </c>
      <c r="Z19" s="98">
        <f t="shared" ref="Z19:Z26" si="2">-0.125*(1+$C$4)</f>
        <v>-0.13142812500000001</v>
      </c>
      <c r="AB19">
        <v>0</v>
      </c>
      <c r="AC19" s="98">
        <f t="shared" ref="AC19:AC26" si="3">-0.125*(1+$C$4)</f>
        <v>-0.13142812500000001</v>
      </c>
      <c r="AE19">
        <v>0</v>
      </c>
      <c r="AF19" s="98"/>
      <c r="AH19">
        <v>0</v>
      </c>
      <c r="AI19" s="98"/>
      <c r="AK19">
        <v>0</v>
      </c>
      <c r="AL19" s="98"/>
    </row>
    <row r="20" spans="1:38">
      <c r="A20">
        <v>2019</v>
      </c>
      <c r="B20" s="16">
        <f>B19</f>
        <v>19.600000000000001</v>
      </c>
      <c r="D20">
        <v>1</v>
      </c>
      <c r="E20" s="98"/>
      <c r="G20">
        <v>1</v>
      </c>
      <c r="H20" s="98"/>
      <c r="J20">
        <v>1</v>
      </c>
      <c r="K20" s="98"/>
      <c r="M20">
        <v>1</v>
      </c>
      <c r="N20" s="98"/>
      <c r="P20">
        <v>1</v>
      </c>
      <c r="Q20" s="98"/>
      <c r="S20">
        <v>1</v>
      </c>
      <c r="T20" s="98">
        <f t="shared" si="0"/>
        <v>-0.13142812500000001</v>
      </c>
      <c r="V20">
        <v>1</v>
      </c>
      <c r="W20" s="98">
        <f t="shared" si="1"/>
        <v>-0.13142812500000001</v>
      </c>
      <c r="Y20">
        <v>1</v>
      </c>
      <c r="Z20" s="98">
        <f t="shared" si="2"/>
        <v>-0.13142812500000001</v>
      </c>
      <c r="AB20">
        <v>1</v>
      </c>
      <c r="AC20" s="98">
        <f t="shared" si="3"/>
        <v>-0.13142812500000001</v>
      </c>
      <c r="AE20">
        <v>1</v>
      </c>
      <c r="AF20" s="98"/>
      <c r="AH20">
        <v>1</v>
      </c>
      <c r="AI20" s="98"/>
      <c r="AK20">
        <v>1</v>
      </c>
      <c r="AL20" s="98"/>
    </row>
    <row r="21" spans="1:38">
      <c r="A21">
        <v>2020</v>
      </c>
      <c r="B21" s="16">
        <f t="shared" ref="B21:B28" si="4">B20</f>
        <v>19.600000000000001</v>
      </c>
      <c r="D21">
        <v>2</v>
      </c>
      <c r="E21" s="98"/>
      <c r="G21">
        <v>2</v>
      </c>
      <c r="H21" s="98"/>
      <c r="J21">
        <v>2</v>
      </c>
      <c r="K21" s="98"/>
      <c r="M21">
        <v>2</v>
      </c>
      <c r="N21" s="98"/>
      <c r="P21">
        <v>2</v>
      </c>
      <c r="Q21" s="98"/>
      <c r="S21">
        <v>2</v>
      </c>
      <c r="T21" s="98">
        <f t="shared" si="0"/>
        <v>-0.13142812500000001</v>
      </c>
      <c r="V21">
        <v>2</v>
      </c>
      <c r="W21" s="98">
        <f t="shared" si="1"/>
        <v>-0.13142812500000001</v>
      </c>
      <c r="Y21">
        <v>2</v>
      </c>
      <c r="Z21" s="98">
        <f t="shared" si="2"/>
        <v>-0.13142812500000001</v>
      </c>
      <c r="AB21">
        <v>2</v>
      </c>
      <c r="AC21" s="98">
        <f t="shared" si="3"/>
        <v>-0.13142812500000001</v>
      </c>
      <c r="AE21">
        <v>2</v>
      </c>
      <c r="AF21" s="98"/>
      <c r="AH21">
        <v>2</v>
      </c>
      <c r="AI21" s="98"/>
      <c r="AK21">
        <v>2</v>
      </c>
      <c r="AL21" s="98"/>
    </row>
    <row r="22" spans="1:38">
      <c r="A22">
        <v>2021</v>
      </c>
      <c r="B22" s="16">
        <f t="shared" si="4"/>
        <v>19.600000000000001</v>
      </c>
      <c r="D22">
        <v>3</v>
      </c>
      <c r="E22" s="98"/>
      <c r="G22">
        <v>3</v>
      </c>
      <c r="H22" s="98"/>
      <c r="J22">
        <v>3</v>
      </c>
      <c r="K22" s="98"/>
      <c r="M22">
        <v>3</v>
      </c>
      <c r="N22" s="98"/>
      <c r="P22">
        <v>3</v>
      </c>
      <c r="Q22" s="98"/>
      <c r="S22">
        <v>3</v>
      </c>
      <c r="T22" s="98">
        <f t="shared" si="0"/>
        <v>-0.13142812500000001</v>
      </c>
      <c r="V22">
        <v>3</v>
      </c>
      <c r="W22" s="98">
        <f t="shared" si="1"/>
        <v>-0.13142812500000001</v>
      </c>
      <c r="Y22">
        <v>3</v>
      </c>
      <c r="Z22" s="98">
        <f t="shared" si="2"/>
        <v>-0.13142812500000001</v>
      </c>
      <c r="AB22">
        <v>3</v>
      </c>
      <c r="AC22" s="98">
        <f t="shared" si="3"/>
        <v>-0.13142812500000001</v>
      </c>
      <c r="AE22">
        <v>3</v>
      </c>
      <c r="AF22" s="98"/>
      <c r="AH22">
        <v>3</v>
      </c>
      <c r="AI22" s="98"/>
      <c r="AK22">
        <v>3</v>
      </c>
      <c r="AL22" s="98"/>
    </row>
    <row r="23" spans="1:38">
      <c r="A23">
        <v>2022</v>
      </c>
      <c r="B23" s="16">
        <f t="shared" si="4"/>
        <v>19.600000000000001</v>
      </c>
      <c r="D23">
        <v>4</v>
      </c>
      <c r="E23" s="98"/>
      <c r="G23">
        <v>4</v>
      </c>
      <c r="H23" s="98"/>
      <c r="J23">
        <v>4</v>
      </c>
      <c r="K23" s="98"/>
      <c r="M23">
        <v>4</v>
      </c>
      <c r="N23" s="98"/>
      <c r="P23">
        <v>4</v>
      </c>
      <c r="Q23" s="98"/>
      <c r="S23">
        <v>4</v>
      </c>
      <c r="T23" s="98">
        <f t="shared" si="0"/>
        <v>-0.13142812500000001</v>
      </c>
      <c r="V23">
        <v>4</v>
      </c>
      <c r="W23" s="98">
        <f t="shared" si="1"/>
        <v>-0.13142812500000001</v>
      </c>
      <c r="Y23">
        <v>4</v>
      </c>
      <c r="Z23" s="98">
        <f t="shared" si="2"/>
        <v>-0.13142812500000001</v>
      </c>
      <c r="AB23">
        <v>4</v>
      </c>
      <c r="AC23" s="98">
        <f t="shared" si="3"/>
        <v>-0.13142812500000001</v>
      </c>
      <c r="AE23">
        <v>4</v>
      </c>
      <c r="AF23" s="98"/>
      <c r="AH23">
        <v>4</v>
      </c>
      <c r="AI23" s="98"/>
      <c r="AK23">
        <v>4</v>
      </c>
      <c r="AL23" s="98"/>
    </row>
    <row r="24" spans="1:38">
      <c r="A24">
        <v>2023</v>
      </c>
      <c r="B24" s="16">
        <f t="shared" si="4"/>
        <v>19.600000000000001</v>
      </c>
      <c r="D24">
        <v>5</v>
      </c>
      <c r="E24" s="98"/>
      <c r="G24">
        <v>5</v>
      </c>
      <c r="H24" s="98"/>
      <c r="J24">
        <v>5</v>
      </c>
      <c r="K24" s="98"/>
      <c r="M24">
        <v>5</v>
      </c>
      <c r="N24" s="98"/>
      <c r="P24">
        <v>5</v>
      </c>
      <c r="Q24" s="98"/>
      <c r="S24">
        <v>5</v>
      </c>
      <c r="T24" s="98">
        <f t="shared" si="0"/>
        <v>-0.13142812500000001</v>
      </c>
      <c r="V24">
        <v>5</v>
      </c>
      <c r="W24" s="98">
        <f t="shared" si="1"/>
        <v>-0.13142812500000001</v>
      </c>
      <c r="Y24">
        <v>5</v>
      </c>
      <c r="Z24" s="98">
        <f t="shared" si="2"/>
        <v>-0.13142812500000001</v>
      </c>
      <c r="AB24">
        <v>5</v>
      </c>
      <c r="AC24" s="98">
        <f t="shared" si="3"/>
        <v>-0.13142812500000001</v>
      </c>
      <c r="AE24">
        <v>5</v>
      </c>
      <c r="AF24" s="98"/>
      <c r="AH24">
        <v>5</v>
      </c>
      <c r="AI24" s="98"/>
      <c r="AK24">
        <v>5</v>
      </c>
      <c r="AL24" s="98"/>
    </row>
    <row r="25" spans="1:38">
      <c r="A25">
        <v>2024</v>
      </c>
      <c r="B25" s="16">
        <f t="shared" si="4"/>
        <v>19.600000000000001</v>
      </c>
      <c r="D25">
        <v>6</v>
      </c>
      <c r="E25" s="98"/>
      <c r="G25">
        <v>6</v>
      </c>
      <c r="H25" s="98"/>
      <c r="J25">
        <v>6</v>
      </c>
      <c r="K25" s="98"/>
      <c r="M25">
        <v>6</v>
      </c>
      <c r="N25" s="98"/>
      <c r="P25">
        <v>6</v>
      </c>
      <c r="Q25" s="98"/>
      <c r="S25">
        <v>6</v>
      </c>
      <c r="T25" s="98">
        <f t="shared" si="0"/>
        <v>-0.13142812500000001</v>
      </c>
      <c r="V25">
        <v>6</v>
      </c>
      <c r="W25" s="98">
        <f t="shared" si="1"/>
        <v>-0.13142812500000001</v>
      </c>
      <c r="Y25">
        <v>6</v>
      </c>
      <c r="Z25" s="98">
        <f t="shared" si="2"/>
        <v>-0.13142812500000001</v>
      </c>
      <c r="AB25">
        <v>6</v>
      </c>
      <c r="AC25" s="98">
        <f t="shared" si="3"/>
        <v>-0.13142812500000001</v>
      </c>
      <c r="AE25">
        <v>6</v>
      </c>
      <c r="AF25" s="98"/>
      <c r="AH25">
        <v>6</v>
      </c>
      <c r="AI25" s="98"/>
      <c r="AK25">
        <v>6</v>
      </c>
      <c r="AL25" s="98"/>
    </row>
    <row r="26" spans="1:38">
      <c r="A26">
        <v>2025</v>
      </c>
      <c r="B26" s="16">
        <f t="shared" si="4"/>
        <v>19.600000000000001</v>
      </c>
      <c r="D26">
        <v>7</v>
      </c>
      <c r="E26" s="98"/>
      <c r="G26">
        <v>7</v>
      </c>
      <c r="H26" s="98"/>
      <c r="J26">
        <v>7</v>
      </c>
      <c r="K26" s="98"/>
      <c r="M26">
        <v>7</v>
      </c>
      <c r="N26" s="98"/>
      <c r="P26">
        <v>7</v>
      </c>
      <c r="Q26" s="98"/>
      <c r="S26">
        <v>7</v>
      </c>
      <c r="T26" s="98">
        <f t="shared" si="0"/>
        <v>-0.13142812500000001</v>
      </c>
      <c r="V26">
        <v>7</v>
      </c>
      <c r="W26" s="98">
        <f t="shared" si="1"/>
        <v>-0.13142812500000001</v>
      </c>
      <c r="Y26">
        <v>7</v>
      </c>
      <c r="Z26" s="98">
        <f t="shared" si="2"/>
        <v>-0.13142812500000001</v>
      </c>
      <c r="AB26">
        <v>7</v>
      </c>
      <c r="AC26" s="98">
        <f t="shared" si="3"/>
        <v>-0.13142812500000001</v>
      </c>
      <c r="AE26">
        <v>7</v>
      </c>
      <c r="AF26" s="98"/>
      <c r="AH26">
        <v>7</v>
      </c>
      <c r="AI26" s="98"/>
      <c r="AK26">
        <v>7</v>
      </c>
      <c r="AL26" s="98"/>
    </row>
    <row r="27" spans="1:38">
      <c r="A27">
        <v>2026</v>
      </c>
      <c r="B27" s="16">
        <f t="shared" si="4"/>
        <v>19.600000000000001</v>
      </c>
      <c r="D27">
        <v>8</v>
      </c>
      <c r="G27">
        <v>8</v>
      </c>
      <c r="J27">
        <v>8</v>
      </c>
      <c r="M27">
        <v>8</v>
      </c>
      <c r="P27">
        <v>8</v>
      </c>
      <c r="S27">
        <v>8</v>
      </c>
      <c r="T27">
        <v>0</v>
      </c>
      <c r="V27">
        <v>8</v>
      </c>
      <c r="W27">
        <v>0</v>
      </c>
      <c r="Y27">
        <v>8</v>
      </c>
      <c r="Z27">
        <v>0</v>
      </c>
      <c r="AB27">
        <v>8</v>
      </c>
      <c r="AC27">
        <v>0</v>
      </c>
      <c r="AE27">
        <v>8</v>
      </c>
      <c r="AH27">
        <v>8</v>
      </c>
      <c r="AK27">
        <v>8</v>
      </c>
    </row>
    <row r="28" spans="1:38">
      <c r="A28">
        <v>2027</v>
      </c>
      <c r="B28" s="16">
        <f t="shared" si="4"/>
        <v>19.600000000000001</v>
      </c>
      <c r="D28">
        <v>9</v>
      </c>
      <c r="G28">
        <v>9</v>
      </c>
      <c r="J28">
        <v>9</v>
      </c>
      <c r="M28">
        <v>9</v>
      </c>
      <c r="P28">
        <v>9</v>
      </c>
      <c r="S28">
        <v>9</v>
      </c>
      <c r="T28">
        <v>0</v>
      </c>
      <c r="V28">
        <v>9</v>
      </c>
      <c r="W28">
        <v>0</v>
      </c>
      <c r="Y28">
        <v>9</v>
      </c>
      <c r="Z28">
        <v>0</v>
      </c>
      <c r="AB28">
        <v>9</v>
      </c>
      <c r="AC28">
        <v>0</v>
      </c>
      <c r="AE28">
        <v>9</v>
      </c>
      <c r="AH28">
        <v>9</v>
      </c>
      <c r="AK28">
        <v>9</v>
      </c>
    </row>
    <row r="29" spans="1:38">
      <c r="A29">
        <v>2028</v>
      </c>
      <c r="B29">
        <v>0</v>
      </c>
      <c r="D29">
        <v>10</v>
      </c>
      <c r="G29">
        <v>10</v>
      </c>
      <c r="J29">
        <v>10</v>
      </c>
      <c r="M29">
        <v>10</v>
      </c>
      <c r="P29">
        <v>10</v>
      </c>
      <c r="S29">
        <v>10</v>
      </c>
      <c r="T29">
        <v>0</v>
      </c>
      <c r="V29">
        <v>10</v>
      </c>
      <c r="W29">
        <v>0</v>
      </c>
      <c r="Y29">
        <v>10</v>
      </c>
      <c r="Z29">
        <v>0</v>
      </c>
      <c r="AB29">
        <v>10</v>
      </c>
      <c r="AC29">
        <v>0</v>
      </c>
      <c r="AE29">
        <v>10</v>
      </c>
      <c r="AH29">
        <v>10</v>
      </c>
      <c r="AK29">
        <v>10</v>
      </c>
    </row>
    <row r="30" spans="1:38">
      <c r="A30">
        <v>2029</v>
      </c>
      <c r="B30">
        <v>0</v>
      </c>
      <c r="D30">
        <v>11</v>
      </c>
      <c r="G30">
        <v>11</v>
      </c>
      <c r="J30">
        <v>11</v>
      </c>
      <c r="M30">
        <v>11</v>
      </c>
      <c r="P30">
        <v>11</v>
      </c>
      <c r="S30">
        <v>11</v>
      </c>
      <c r="T30">
        <v>0</v>
      </c>
      <c r="V30">
        <v>11</v>
      </c>
      <c r="W30">
        <v>0</v>
      </c>
      <c r="Y30">
        <v>11</v>
      </c>
      <c r="Z30">
        <v>0</v>
      </c>
      <c r="AB30">
        <v>11</v>
      </c>
      <c r="AC30">
        <v>0</v>
      </c>
      <c r="AE30">
        <v>11</v>
      </c>
      <c r="AH30">
        <v>11</v>
      </c>
      <c r="AK30">
        <v>11</v>
      </c>
    </row>
    <row r="31" spans="1:38">
      <c r="A31">
        <v>2030</v>
      </c>
      <c r="B31">
        <v>0</v>
      </c>
      <c r="D31">
        <v>12</v>
      </c>
      <c r="E31" s="16"/>
      <c r="G31">
        <v>12</v>
      </c>
      <c r="H31" s="16"/>
      <c r="J31">
        <v>12</v>
      </c>
      <c r="K31" s="16"/>
      <c r="M31">
        <v>12</v>
      </c>
      <c r="N31" s="16"/>
      <c r="P31">
        <v>12</v>
      </c>
      <c r="Q31" s="16"/>
      <c r="S31">
        <v>12</v>
      </c>
      <c r="T31" s="16">
        <f t="shared" ref="T31:T40" si="5">(((0.5*(-1*(S31-17)^2+25)+0.5*(-1*(S32-17)^2+25)))/165)*(1-$C$5)</f>
        <v>2.587022727272727E-2</v>
      </c>
      <c r="V31">
        <v>12</v>
      </c>
      <c r="W31" s="16">
        <f t="shared" ref="W31:W40" si="6">(((0.5*(-1*(V31-17)^2+25)+0.5*(-1*(V32-17)^2+25)))/165)*(1-$C$5)</f>
        <v>2.587022727272727E-2</v>
      </c>
      <c r="Y31">
        <v>12</v>
      </c>
      <c r="Z31" s="16">
        <f t="shared" ref="Z31:Z40" si="7">(((0.5*(-1*(Y31-17)^2+25)+0.5*(-1*(Y32-17)^2+25)))/165)*(1-$C$5)</f>
        <v>2.587022727272727E-2</v>
      </c>
      <c r="AB31">
        <v>12</v>
      </c>
      <c r="AC31" s="16">
        <f t="shared" ref="AC31:AC40" si="8">(((0.5*(-1*(AB31-17)^2+25)+0.5*(-1*(AB32-17)^2+25)))/165)*(1-$C$5)</f>
        <v>2.587022727272727E-2</v>
      </c>
      <c r="AE31">
        <v>12</v>
      </c>
      <c r="AF31" s="16"/>
      <c r="AH31">
        <v>12</v>
      </c>
      <c r="AI31" s="16"/>
      <c r="AK31">
        <v>12</v>
      </c>
      <c r="AL31" s="16"/>
    </row>
    <row r="32" spans="1:38">
      <c r="A32">
        <v>2031</v>
      </c>
      <c r="B32">
        <v>0</v>
      </c>
      <c r="D32">
        <v>13</v>
      </c>
      <c r="E32" s="16"/>
      <c r="G32">
        <v>13</v>
      </c>
      <c r="H32" s="16"/>
      <c r="J32">
        <v>13</v>
      </c>
      <c r="K32" s="16"/>
      <c r="M32">
        <v>13</v>
      </c>
      <c r="N32" s="16"/>
      <c r="P32">
        <v>13</v>
      </c>
      <c r="Q32" s="16"/>
      <c r="S32">
        <v>13</v>
      </c>
      <c r="T32" s="16">
        <f t="shared" si="5"/>
        <v>7.1861742424242425E-2</v>
      </c>
      <c r="V32">
        <v>13</v>
      </c>
      <c r="W32" s="16">
        <f t="shared" si="6"/>
        <v>7.1861742424242425E-2</v>
      </c>
      <c r="Y32">
        <v>13</v>
      </c>
      <c r="Z32" s="16">
        <f t="shared" si="7"/>
        <v>7.1861742424242425E-2</v>
      </c>
      <c r="AB32">
        <v>13</v>
      </c>
      <c r="AC32" s="16">
        <f t="shared" si="8"/>
        <v>7.1861742424242425E-2</v>
      </c>
      <c r="AE32">
        <v>13</v>
      </c>
      <c r="AF32" s="16"/>
      <c r="AH32">
        <v>13</v>
      </c>
      <c r="AI32" s="16"/>
      <c r="AK32">
        <v>13</v>
      </c>
      <c r="AL32" s="16"/>
    </row>
    <row r="33" spans="1:38">
      <c r="A33">
        <v>2032</v>
      </c>
      <c r="B33">
        <v>0</v>
      </c>
      <c r="D33">
        <v>14</v>
      </c>
      <c r="E33" s="16"/>
      <c r="G33">
        <v>14</v>
      </c>
      <c r="H33" s="16"/>
      <c r="J33">
        <v>14</v>
      </c>
      <c r="K33" s="16"/>
      <c r="M33">
        <v>14</v>
      </c>
      <c r="N33" s="16"/>
      <c r="P33">
        <v>14</v>
      </c>
      <c r="Q33" s="16"/>
      <c r="S33">
        <v>14</v>
      </c>
      <c r="T33" s="16">
        <f t="shared" si="5"/>
        <v>0.10635537878787878</v>
      </c>
      <c r="V33">
        <v>14</v>
      </c>
      <c r="W33" s="16">
        <f t="shared" si="6"/>
        <v>0.10635537878787878</v>
      </c>
      <c r="Y33">
        <v>14</v>
      </c>
      <c r="Z33" s="16">
        <f t="shared" si="7"/>
        <v>0.10635537878787878</v>
      </c>
      <c r="AB33">
        <v>14</v>
      </c>
      <c r="AC33" s="16">
        <f t="shared" si="8"/>
        <v>0.10635537878787878</v>
      </c>
      <c r="AE33">
        <v>14</v>
      </c>
      <c r="AF33" s="16"/>
      <c r="AH33">
        <v>14</v>
      </c>
      <c r="AI33" s="16"/>
      <c r="AK33">
        <v>14</v>
      </c>
      <c r="AL33" s="16"/>
    </row>
    <row r="34" spans="1:38">
      <c r="A34">
        <v>2033</v>
      </c>
      <c r="B34">
        <v>0</v>
      </c>
      <c r="D34">
        <v>15</v>
      </c>
      <c r="E34" s="16"/>
      <c r="G34">
        <v>15</v>
      </c>
      <c r="H34" s="16"/>
      <c r="J34">
        <v>15</v>
      </c>
      <c r="K34" s="16"/>
      <c r="M34">
        <v>15</v>
      </c>
      <c r="N34" s="16"/>
      <c r="P34">
        <v>15</v>
      </c>
      <c r="Q34" s="16"/>
      <c r="S34">
        <v>15</v>
      </c>
      <c r="T34" s="16">
        <f t="shared" si="5"/>
        <v>0.12935113636363635</v>
      </c>
      <c r="V34">
        <v>15</v>
      </c>
      <c r="W34" s="16">
        <f t="shared" si="6"/>
        <v>0.12935113636363635</v>
      </c>
      <c r="Y34">
        <v>15</v>
      </c>
      <c r="Z34" s="16">
        <f t="shared" si="7"/>
        <v>0.12935113636363635</v>
      </c>
      <c r="AB34">
        <v>15</v>
      </c>
      <c r="AC34" s="16">
        <f t="shared" si="8"/>
        <v>0.12935113636363635</v>
      </c>
      <c r="AE34">
        <v>15</v>
      </c>
      <c r="AF34" s="16"/>
      <c r="AH34">
        <v>15</v>
      </c>
      <c r="AI34" s="16"/>
      <c r="AK34">
        <v>15</v>
      </c>
      <c r="AL34" s="16"/>
    </row>
    <row r="35" spans="1:38">
      <c r="A35">
        <v>2034</v>
      </c>
      <c r="B35">
        <v>0</v>
      </c>
      <c r="D35">
        <v>16</v>
      </c>
      <c r="E35" s="16"/>
      <c r="G35">
        <v>16</v>
      </c>
      <c r="H35" s="16"/>
      <c r="J35">
        <v>16</v>
      </c>
      <c r="K35" s="16"/>
      <c r="M35">
        <v>16</v>
      </c>
      <c r="N35" s="16"/>
      <c r="P35">
        <v>16</v>
      </c>
      <c r="Q35" s="16"/>
      <c r="S35">
        <v>16</v>
      </c>
      <c r="T35" s="16">
        <f t="shared" si="5"/>
        <v>0.14084901515151516</v>
      </c>
      <c r="V35">
        <v>16</v>
      </c>
      <c r="W35" s="16">
        <f t="shared" si="6"/>
        <v>0.14084901515151516</v>
      </c>
      <c r="Y35">
        <v>16</v>
      </c>
      <c r="Z35" s="16">
        <f t="shared" si="7"/>
        <v>0.14084901515151516</v>
      </c>
      <c r="AB35">
        <v>16</v>
      </c>
      <c r="AC35" s="16">
        <f t="shared" si="8"/>
        <v>0.14084901515151516</v>
      </c>
      <c r="AE35">
        <v>16</v>
      </c>
      <c r="AF35" s="16"/>
      <c r="AH35">
        <v>16</v>
      </c>
      <c r="AI35" s="16"/>
      <c r="AK35">
        <v>16</v>
      </c>
      <c r="AL35" s="16"/>
    </row>
    <row r="36" spans="1:38">
      <c r="D36">
        <v>17</v>
      </c>
      <c r="E36" s="16"/>
      <c r="G36">
        <v>17</v>
      </c>
      <c r="H36" s="16"/>
      <c r="J36">
        <v>17</v>
      </c>
      <c r="K36" s="16"/>
      <c r="M36">
        <v>17</v>
      </c>
      <c r="N36" s="16"/>
      <c r="P36">
        <v>17</v>
      </c>
      <c r="Q36" s="16"/>
      <c r="S36">
        <v>17</v>
      </c>
      <c r="T36" s="16">
        <f t="shared" si="5"/>
        <v>0.14084901515151516</v>
      </c>
      <c r="V36">
        <v>17</v>
      </c>
      <c r="W36" s="16">
        <f t="shared" si="6"/>
        <v>0.14084901515151516</v>
      </c>
      <c r="Y36">
        <v>17</v>
      </c>
      <c r="Z36" s="16">
        <f t="shared" si="7"/>
        <v>0.14084901515151516</v>
      </c>
      <c r="AB36">
        <v>17</v>
      </c>
      <c r="AC36" s="16">
        <f t="shared" si="8"/>
        <v>0.14084901515151516</v>
      </c>
      <c r="AE36">
        <v>17</v>
      </c>
      <c r="AF36" s="16"/>
      <c r="AH36">
        <v>17</v>
      </c>
      <c r="AI36" s="16"/>
      <c r="AK36">
        <v>17</v>
      </c>
      <c r="AL36" s="16"/>
    </row>
    <row r="37" spans="1:38">
      <c r="D37">
        <v>18</v>
      </c>
      <c r="E37" s="16"/>
      <c r="G37">
        <v>18</v>
      </c>
      <c r="H37" s="16"/>
      <c r="J37">
        <v>18</v>
      </c>
      <c r="K37" s="16"/>
      <c r="M37">
        <v>18</v>
      </c>
      <c r="N37" s="16"/>
      <c r="P37">
        <v>18</v>
      </c>
      <c r="Q37" s="16"/>
      <c r="S37">
        <v>18</v>
      </c>
      <c r="T37" s="16">
        <f t="shared" si="5"/>
        <v>0.12935113636363635</v>
      </c>
      <c r="V37">
        <v>18</v>
      </c>
      <c r="W37" s="16">
        <f t="shared" si="6"/>
        <v>0.12935113636363635</v>
      </c>
      <c r="Y37">
        <v>18</v>
      </c>
      <c r="Z37" s="16">
        <f t="shared" si="7"/>
        <v>0.12935113636363635</v>
      </c>
      <c r="AB37">
        <v>18</v>
      </c>
      <c r="AC37" s="16">
        <f t="shared" si="8"/>
        <v>0.12935113636363635</v>
      </c>
      <c r="AE37">
        <v>18</v>
      </c>
      <c r="AF37" s="16"/>
      <c r="AH37">
        <v>18</v>
      </c>
      <c r="AI37" s="16"/>
      <c r="AK37">
        <v>18</v>
      </c>
      <c r="AL37" s="16"/>
    </row>
    <row r="38" spans="1:38">
      <c r="B38" s="243" t="s">
        <v>311</v>
      </c>
      <c r="D38">
        <v>19</v>
      </c>
      <c r="E38" s="16"/>
      <c r="G38">
        <v>19</v>
      </c>
      <c r="H38" s="16"/>
      <c r="J38">
        <v>19</v>
      </c>
      <c r="K38" s="16"/>
      <c r="M38">
        <v>19</v>
      </c>
      <c r="N38" s="16"/>
      <c r="P38">
        <v>19</v>
      </c>
      <c r="Q38" s="16"/>
      <c r="S38">
        <v>19</v>
      </c>
      <c r="T38" s="16">
        <f t="shared" si="5"/>
        <v>0.10635537878787878</v>
      </c>
      <c r="V38">
        <v>19</v>
      </c>
      <c r="W38" s="16">
        <f t="shared" si="6"/>
        <v>0.10635537878787878</v>
      </c>
      <c r="Y38">
        <v>19</v>
      </c>
      <c r="Z38" s="16">
        <f t="shared" si="7"/>
        <v>0.10635537878787878</v>
      </c>
      <c r="AB38">
        <v>19</v>
      </c>
      <c r="AC38" s="16">
        <f t="shared" si="8"/>
        <v>0.10635537878787878</v>
      </c>
      <c r="AE38">
        <v>19</v>
      </c>
      <c r="AF38" s="16"/>
      <c r="AH38">
        <v>19</v>
      </c>
      <c r="AI38" s="16"/>
      <c r="AK38">
        <v>19</v>
      </c>
      <c r="AL38" s="16"/>
    </row>
    <row r="39" spans="1:38">
      <c r="B39" s="243"/>
      <c r="D39">
        <v>20</v>
      </c>
      <c r="E39" s="16"/>
      <c r="G39">
        <v>20</v>
      </c>
      <c r="H39" s="16"/>
      <c r="J39">
        <v>20</v>
      </c>
      <c r="K39" s="16"/>
      <c r="M39">
        <v>20</v>
      </c>
      <c r="N39" s="16"/>
      <c r="P39">
        <v>20</v>
      </c>
      <c r="Q39" s="16"/>
      <c r="S39">
        <v>20</v>
      </c>
      <c r="T39" s="16">
        <f t="shared" si="5"/>
        <v>7.1861742424242425E-2</v>
      </c>
      <c r="V39">
        <v>20</v>
      </c>
      <c r="W39" s="16">
        <f t="shared" si="6"/>
        <v>7.1861742424242425E-2</v>
      </c>
      <c r="Y39">
        <v>20</v>
      </c>
      <c r="Z39" s="16">
        <f t="shared" si="7"/>
        <v>7.1861742424242425E-2</v>
      </c>
      <c r="AB39">
        <v>20</v>
      </c>
      <c r="AC39" s="16">
        <f t="shared" si="8"/>
        <v>7.1861742424242425E-2</v>
      </c>
      <c r="AE39">
        <v>20</v>
      </c>
      <c r="AF39" s="16"/>
      <c r="AH39">
        <v>20</v>
      </c>
      <c r="AI39" s="16"/>
      <c r="AK39">
        <v>20</v>
      </c>
      <c r="AL39" s="16"/>
    </row>
    <row r="40" spans="1:38">
      <c r="B40" s="243"/>
      <c r="D40">
        <v>21</v>
      </c>
      <c r="E40" s="16"/>
      <c r="G40">
        <v>21</v>
      </c>
      <c r="H40" s="16"/>
      <c r="J40">
        <v>21</v>
      </c>
      <c r="K40" s="16"/>
      <c r="M40">
        <v>21</v>
      </c>
      <c r="N40" s="16"/>
      <c r="P40">
        <v>21</v>
      </c>
      <c r="Q40" s="16"/>
      <c r="S40">
        <v>21</v>
      </c>
      <c r="T40" s="16">
        <f t="shared" si="5"/>
        <v>2.587022727272727E-2</v>
      </c>
      <c r="V40">
        <v>21</v>
      </c>
      <c r="W40" s="16">
        <f t="shared" si="6"/>
        <v>2.587022727272727E-2</v>
      </c>
      <c r="Y40">
        <v>21</v>
      </c>
      <c r="Z40" s="16">
        <f t="shared" si="7"/>
        <v>2.587022727272727E-2</v>
      </c>
      <c r="AB40">
        <v>21</v>
      </c>
      <c r="AC40" s="16">
        <f t="shared" si="8"/>
        <v>2.587022727272727E-2</v>
      </c>
      <c r="AE40">
        <v>21</v>
      </c>
      <c r="AF40" s="16"/>
      <c r="AH40">
        <v>21</v>
      </c>
      <c r="AI40" s="16"/>
      <c r="AK40">
        <v>21</v>
      </c>
      <c r="AL40" s="16"/>
    </row>
    <row r="41" spans="1:38">
      <c r="D41">
        <v>22</v>
      </c>
      <c r="G41">
        <v>22</v>
      </c>
      <c r="J41">
        <v>22</v>
      </c>
      <c r="M41">
        <v>22</v>
      </c>
      <c r="P41">
        <v>22</v>
      </c>
      <c r="S41">
        <v>22</v>
      </c>
      <c r="T41">
        <v>0</v>
      </c>
      <c r="V41">
        <v>22</v>
      </c>
      <c r="W41">
        <v>0</v>
      </c>
      <c r="Y41">
        <v>22</v>
      </c>
      <c r="Z41">
        <v>0</v>
      </c>
      <c r="AB41">
        <v>22</v>
      </c>
      <c r="AC41">
        <v>0</v>
      </c>
      <c r="AE41">
        <v>22</v>
      </c>
      <c r="AH41">
        <v>22</v>
      </c>
      <c r="AK41">
        <v>22</v>
      </c>
    </row>
    <row r="42" spans="1:38">
      <c r="A42" s="94"/>
      <c r="D42">
        <v>23</v>
      </c>
      <c r="G42">
        <v>23</v>
      </c>
      <c r="J42">
        <v>23</v>
      </c>
      <c r="M42">
        <v>23</v>
      </c>
      <c r="P42">
        <v>23</v>
      </c>
      <c r="S42">
        <v>23</v>
      </c>
      <c r="T42">
        <v>0</v>
      </c>
      <c r="V42">
        <v>23</v>
      </c>
      <c r="W42">
        <v>0</v>
      </c>
      <c r="Y42">
        <v>23</v>
      </c>
      <c r="Z42">
        <v>0</v>
      </c>
      <c r="AB42">
        <v>23</v>
      </c>
      <c r="AC42">
        <v>0</v>
      </c>
      <c r="AE42">
        <v>23</v>
      </c>
      <c r="AH42">
        <v>23</v>
      </c>
      <c r="AK42">
        <v>23</v>
      </c>
    </row>
    <row r="43" spans="1:38">
      <c r="A43" s="94"/>
      <c r="D43" t="s">
        <v>312</v>
      </c>
      <c r="E43">
        <f>SUM(E19:E42)</f>
        <v>0</v>
      </c>
      <c r="G43" t="s">
        <v>312</v>
      </c>
      <c r="H43">
        <f>SUM(H19:H42)</f>
        <v>0</v>
      </c>
      <c r="J43" t="s">
        <v>312</v>
      </c>
      <c r="K43">
        <f>SUM(K19:K42)</f>
        <v>0</v>
      </c>
      <c r="M43" t="s">
        <v>312</v>
      </c>
      <c r="N43">
        <f>SUM(N19:N42)</f>
        <v>0</v>
      </c>
      <c r="P43" t="s">
        <v>312</v>
      </c>
      <c r="Q43">
        <f>SUM(Q19:Q42)</f>
        <v>0</v>
      </c>
      <c r="S43" t="s">
        <v>312</v>
      </c>
      <c r="T43" s="57">
        <f>SUM(T19:T42)</f>
        <v>-0.10284999999999987</v>
      </c>
      <c r="V43" t="s">
        <v>312</v>
      </c>
      <c r="W43" s="57">
        <f>SUM(W19:W42)</f>
        <v>-0.10284999999999987</v>
      </c>
      <c r="Y43" t="s">
        <v>312</v>
      </c>
      <c r="Z43" s="57">
        <f>SUM(Z19:Z42)</f>
        <v>-0.10284999999999987</v>
      </c>
      <c r="AB43" t="s">
        <v>312</v>
      </c>
      <c r="AC43" s="57">
        <f>SUM(AC19:AC42)</f>
        <v>-0.10284999999999987</v>
      </c>
      <c r="AE43" t="s">
        <v>312</v>
      </c>
      <c r="AF43">
        <f>SUM(AF19:AF42)</f>
        <v>0</v>
      </c>
      <c r="AH43" t="s">
        <v>312</v>
      </c>
      <c r="AI43">
        <f>SUM(AI19:AI42)</f>
        <v>0</v>
      </c>
      <c r="AK43" t="s">
        <v>312</v>
      </c>
      <c r="AL43">
        <f>SUM(AL19:AL42)</f>
        <v>0</v>
      </c>
    </row>
    <row r="44" spans="1:38">
      <c r="A44" s="94"/>
    </row>
    <row r="45" spans="1:38">
      <c r="A45" s="94" t="s">
        <v>313</v>
      </c>
    </row>
    <row r="47" spans="1:38">
      <c r="A47" s="94" t="s">
        <v>314</v>
      </c>
      <c r="B47" s="99" t="s">
        <v>315</v>
      </c>
      <c r="D47">
        <v>1</v>
      </c>
      <c r="E47" s="99" t="s">
        <v>316</v>
      </c>
      <c r="G47">
        <v>2</v>
      </c>
      <c r="H47" s="99" t="s">
        <v>316</v>
      </c>
      <c r="J47">
        <v>3</v>
      </c>
      <c r="K47" s="99" t="s">
        <v>316</v>
      </c>
      <c r="M47">
        <v>4</v>
      </c>
      <c r="N47" s="99" t="s">
        <v>316</v>
      </c>
      <c r="P47">
        <v>5</v>
      </c>
      <c r="Q47" s="99" t="s">
        <v>316</v>
      </c>
      <c r="S47">
        <v>6</v>
      </c>
      <c r="T47" s="99" t="s">
        <v>316</v>
      </c>
      <c r="V47">
        <v>7</v>
      </c>
      <c r="W47" s="99" t="s">
        <v>316</v>
      </c>
      <c r="Y47">
        <v>8</v>
      </c>
      <c r="Z47" s="99" t="s">
        <v>316</v>
      </c>
      <c r="AB47">
        <v>9</v>
      </c>
      <c r="AC47" s="99" t="s">
        <v>316</v>
      </c>
      <c r="AE47">
        <v>10</v>
      </c>
      <c r="AF47" s="99" t="s">
        <v>316</v>
      </c>
      <c r="AH47">
        <v>11</v>
      </c>
      <c r="AI47" s="99" t="s">
        <v>316</v>
      </c>
      <c r="AK47">
        <v>12</v>
      </c>
      <c r="AL47" s="99" t="s">
        <v>316</v>
      </c>
    </row>
    <row r="48" spans="1:38">
      <c r="A48" s="94" t="s">
        <v>317</v>
      </c>
      <c r="B48" s="58">
        <f>'LBMP_by_Year-Month-Hour'!B70+'LBMP_by_Year-Month-Hour'!B102+'LBMP_by_Year-Month-Hour'!B134+'LBMP_by_Year-Month-Hour'!B166+'LBMP_by_Year-Month-Hour'!B198+'LBMP_by_Year-Month-Hour'!B230+'LBMP_by_Year-Month-Hour'!B262+'LBMP_by_Year-Month-Hour'!B294+'LBMP_by_Year-Month-Hour'!B326+'LBMP_by_Year-Month-Hour'!B358+'LBMP_by_Year-Month-Hour'!B390+'LBMP_by_Year-Month-Hour'!B422+'LBMP_by_Year-Month-Hour'!B454+'LBMP_by_Year-Month-Hour'!B486+'LBMP_by_Year-Month-Hour'!B518+'LBMP_by_Year-Month-Hour'!B550+'LBMP_by_Year-Month-Hour'!B582</f>
        <v>149016</v>
      </c>
      <c r="D48" s="94" t="str">
        <f ca="1">TEXT(DATE(YEAR(TODAY()),D47,1),"mmmm")</f>
        <v>January</v>
      </c>
      <c r="E48" s="58">
        <f>'LBMP_by_Year-Month-Hour'!E70+'LBMP_by_Year-Month-Hour'!E102+'LBMP_by_Year-Month-Hour'!E134+'LBMP_by_Year-Month-Hour'!E166+'LBMP_by_Year-Month-Hour'!E198+'LBMP_by_Year-Month-Hour'!E230+'LBMP_by_Year-Month-Hour'!E262+'LBMP_by_Year-Month-Hour'!E294+'LBMP_by_Year-Month-Hour'!E326+'LBMP_by_Year-Month-Hour'!E358+'LBMP_by_Year-Month-Hour'!E390+'LBMP_by_Year-Month-Hour'!E422+'LBMP_by_Year-Month-Hour'!E454+'LBMP_by_Year-Month-Hour'!E486+'LBMP_by_Year-Month-Hour'!E518+'LBMP_by_Year-Month-Hour'!E550+'LBMP_by_Year-Month-Hour'!E582</f>
        <v>12648</v>
      </c>
      <c r="G48" s="94" t="str">
        <f ca="1">TEXT(DATE(YEAR(TODAY()),G47,1),"mmmm")</f>
        <v>February</v>
      </c>
      <c r="H48" s="58">
        <f>'LBMP_by_Year-Month-Hour'!H70+'LBMP_by_Year-Month-Hour'!H102+'LBMP_by_Year-Month-Hour'!H134+'LBMP_by_Year-Month-Hour'!H166+'LBMP_by_Year-Month-Hour'!H198+'LBMP_by_Year-Month-Hour'!H230+'LBMP_by_Year-Month-Hour'!H262+'LBMP_by_Year-Month-Hour'!H294+'LBMP_by_Year-Month-Hour'!H326+'LBMP_by_Year-Month-Hour'!H358+'LBMP_by_Year-Month-Hour'!H390+'LBMP_by_Year-Month-Hour'!H422+'LBMP_by_Year-Month-Hour'!H454+'LBMP_by_Year-Month-Hour'!H486+'LBMP_by_Year-Month-Hour'!H518+'LBMP_by_Year-Month-Hour'!H550+'LBMP_by_Year-Month-Hour'!H582</f>
        <v>11520</v>
      </c>
      <c r="J48" s="94" t="str">
        <f ca="1">TEXT(DATE(YEAR(TODAY()),J47,1),"mmmm")</f>
        <v>March</v>
      </c>
      <c r="K48" s="58">
        <f>'LBMP_by_Year-Month-Hour'!K70+'LBMP_by_Year-Month-Hour'!K102+'LBMP_by_Year-Month-Hour'!K134+'LBMP_by_Year-Month-Hour'!K166+'LBMP_by_Year-Month-Hour'!K198+'LBMP_by_Year-Month-Hour'!K230+'LBMP_by_Year-Month-Hour'!K262+'LBMP_by_Year-Month-Hour'!K294+'LBMP_by_Year-Month-Hour'!K326+'LBMP_by_Year-Month-Hour'!K358+'LBMP_by_Year-Month-Hour'!K390+'LBMP_by_Year-Month-Hour'!K422+'LBMP_by_Year-Month-Hour'!K454+'LBMP_by_Year-Month-Hour'!K486+'LBMP_by_Year-Month-Hour'!K518+'LBMP_by_Year-Month-Hour'!K550+'LBMP_by_Year-Month-Hour'!K582</f>
        <v>12631</v>
      </c>
      <c r="M48" s="94" t="str">
        <f ca="1">TEXT(DATE(YEAR(TODAY()),M47,1),"mmmm")</f>
        <v>April</v>
      </c>
      <c r="N48" s="58">
        <f>'LBMP_by_Year-Month-Hour'!N70+'LBMP_by_Year-Month-Hour'!N102+'LBMP_by_Year-Month-Hour'!N134+'LBMP_by_Year-Month-Hour'!N166+'LBMP_by_Year-Month-Hour'!N198+'LBMP_by_Year-Month-Hour'!N230+'LBMP_by_Year-Month-Hour'!N262+'LBMP_by_Year-Month-Hour'!N294+'LBMP_by_Year-Month-Hour'!N326+'LBMP_by_Year-Month-Hour'!N358+'LBMP_by_Year-Month-Hour'!N390+'LBMP_by_Year-Month-Hour'!N422+'LBMP_by_Year-Month-Hour'!N454+'LBMP_by_Year-Month-Hour'!N486+'LBMP_by_Year-Month-Hour'!N518+'LBMP_by_Year-Month-Hour'!N550+'LBMP_by_Year-Month-Hour'!N582</f>
        <v>12240</v>
      </c>
      <c r="P48" s="94" t="str">
        <f ca="1">TEXT(DATE(YEAR(TODAY()),P47,1),"mmmm")</f>
        <v>May</v>
      </c>
      <c r="Q48" s="58">
        <f>'LBMP_by_Year-Month-Hour'!Q70+'LBMP_by_Year-Month-Hour'!Q102+'LBMP_by_Year-Month-Hour'!Q134+'LBMP_by_Year-Month-Hour'!Q166+'LBMP_by_Year-Month-Hour'!Q198+'LBMP_by_Year-Month-Hour'!Q230+'LBMP_by_Year-Month-Hour'!Q262+'LBMP_by_Year-Month-Hour'!Q294+'LBMP_by_Year-Month-Hour'!Q326+'LBMP_by_Year-Month-Hour'!Q358+'LBMP_by_Year-Month-Hour'!Q390+'LBMP_by_Year-Month-Hour'!Q422+'LBMP_by_Year-Month-Hour'!Q454+'LBMP_by_Year-Month-Hour'!Q486+'LBMP_by_Year-Month-Hour'!Q518+'LBMP_by_Year-Month-Hour'!Q550+'LBMP_by_Year-Month-Hour'!Q582</f>
        <v>12648</v>
      </c>
      <c r="S48" s="94" t="str">
        <f ca="1">TEXT(DATE(YEAR(TODAY()),S47,1),"mmmm")</f>
        <v>June</v>
      </c>
      <c r="T48" s="58">
        <f>'LBMP_by_Year-Month-Hour'!T70+'LBMP_by_Year-Month-Hour'!T102+'LBMP_by_Year-Month-Hour'!T134+'LBMP_by_Year-Month-Hour'!T166+'LBMP_by_Year-Month-Hour'!T198+'LBMP_by_Year-Month-Hour'!T230+'LBMP_by_Year-Month-Hour'!T262+'LBMP_by_Year-Month-Hour'!T294+'LBMP_by_Year-Month-Hour'!T326+'LBMP_by_Year-Month-Hour'!T358+'LBMP_by_Year-Month-Hour'!T390+'LBMP_by_Year-Month-Hour'!T422+'LBMP_by_Year-Month-Hour'!T454+'LBMP_by_Year-Month-Hour'!T486+'LBMP_by_Year-Month-Hour'!T518+'LBMP_by_Year-Month-Hour'!T550+'LBMP_by_Year-Month-Hour'!T582</f>
        <v>12240</v>
      </c>
      <c r="V48" s="94" t="str">
        <f ca="1">TEXT(DATE(YEAR(TODAY()),V47,1),"mmmm")</f>
        <v>July</v>
      </c>
      <c r="W48" s="58">
        <f>'LBMP_by_Year-Month-Hour'!W70+'LBMP_by_Year-Month-Hour'!W102+'LBMP_by_Year-Month-Hour'!W134+'LBMP_by_Year-Month-Hour'!W166+'LBMP_by_Year-Month-Hour'!W198+'LBMP_by_Year-Month-Hour'!W230+'LBMP_by_Year-Month-Hour'!W262+'LBMP_by_Year-Month-Hour'!W294+'LBMP_by_Year-Month-Hour'!W326+'LBMP_by_Year-Month-Hour'!W358+'LBMP_by_Year-Month-Hour'!W390+'LBMP_by_Year-Month-Hour'!W422+'LBMP_by_Year-Month-Hour'!W454+'LBMP_by_Year-Month-Hour'!W486+'LBMP_by_Year-Month-Hour'!W518+'LBMP_by_Year-Month-Hour'!W550+'LBMP_by_Year-Month-Hour'!W582</f>
        <v>12648</v>
      </c>
      <c r="Y48" s="94" t="str">
        <f ca="1">TEXT(DATE(YEAR(TODAY()),Y47,1),"mmmm")</f>
        <v>August</v>
      </c>
      <c r="Z48" s="58">
        <f>'LBMP_by_Year-Month-Hour'!Z70+'LBMP_by_Year-Month-Hour'!Z102+'LBMP_by_Year-Month-Hour'!Z134+'LBMP_by_Year-Month-Hour'!Z166+'LBMP_by_Year-Month-Hour'!Z198+'LBMP_by_Year-Month-Hour'!Z230+'LBMP_by_Year-Month-Hour'!Z262+'LBMP_by_Year-Month-Hour'!Z294+'LBMP_by_Year-Month-Hour'!Z326+'LBMP_by_Year-Month-Hour'!Z358+'LBMP_by_Year-Month-Hour'!Z390+'LBMP_by_Year-Month-Hour'!Z422+'LBMP_by_Year-Month-Hour'!Z454+'LBMP_by_Year-Month-Hour'!Z486+'LBMP_by_Year-Month-Hour'!Z518+'LBMP_by_Year-Month-Hour'!Z550+'LBMP_by_Year-Month-Hour'!Z582</f>
        <v>12648</v>
      </c>
      <c r="AB48" s="94" t="str">
        <f ca="1">TEXT(DATE(YEAR(TODAY()),AB47,1),"mmmm")</f>
        <v>September</v>
      </c>
      <c r="AC48" s="58">
        <f>'LBMP_by_Year-Month-Hour'!AC70+'LBMP_by_Year-Month-Hour'!AC102+'LBMP_by_Year-Month-Hour'!AC134+'LBMP_by_Year-Month-Hour'!AC166+'LBMP_by_Year-Month-Hour'!AC198+'LBMP_by_Year-Month-Hour'!AC230+'LBMP_by_Year-Month-Hour'!AC262+'LBMP_by_Year-Month-Hour'!AC294+'LBMP_by_Year-Month-Hour'!AC326+'LBMP_by_Year-Month-Hour'!AC358+'LBMP_by_Year-Month-Hour'!AC390+'LBMP_by_Year-Month-Hour'!AC422+'LBMP_by_Year-Month-Hour'!AC454+'LBMP_by_Year-Month-Hour'!AC486+'LBMP_by_Year-Month-Hour'!AC518+'LBMP_by_Year-Month-Hour'!AC550+'LBMP_by_Year-Month-Hour'!AC582</f>
        <v>12240</v>
      </c>
      <c r="AE48" s="94" t="str">
        <f ca="1">TEXT(DATE(YEAR(TODAY()),AE47,1),"mmmm")</f>
        <v>October</v>
      </c>
      <c r="AF48" s="58">
        <f>'LBMP_by_Year-Month-Hour'!AF70+'LBMP_by_Year-Month-Hour'!AF102+'LBMP_by_Year-Month-Hour'!AF134+'LBMP_by_Year-Month-Hour'!AF166+'LBMP_by_Year-Month-Hour'!AF198+'LBMP_by_Year-Month-Hour'!AF230+'LBMP_by_Year-Month-Hour'!AF262+'LBMP_by_Year-Month-Hour'!AF294+'LBMP_by_Year-Month-Hour'!AF326+'LBMP_by_Year-Month-Hour'!AF358+'LBMP_by_Year-Month-Hour'!AF390+'LBMP_by_Year-Month-Hour'!AF422+'LBMP_by_Year-Month-Hour'!AF454+'LBMP_by_Year-Month-Hour'!AF486+'LBMP_by_Year-Month-Hour'!AF518+'LBMP_by_Year-Month-Hour'!AF550+'LBMP_by_Year-Month-Hour'!AF582</f>
        <v>12648</v>
      </c>
      <c r="AH48" s="94" t="str">
        <f ca="1">TEXT(DATE(YEAR(TODAY()),AH47,1),"mmmm")</f>
        <v>November</v>
      </c>
      <c r="AI48" s="58">
        <f>'LBMP_by_Year-Month-Hour'!AI70+'LBMP_by_Year-Month-Hour'!AI102+'LBMP_by_Year-Month-Hour'!AI134+'LBMP_by_Year-Month-Hour'!AI166+'LBMP_by_Year-Month-Hour'!AI198+'LBMP_by_Year-Month-Hour'!AI230+'LBMP_by_Year-Month-Hour'!AI262+'LBMP_by_Year-Month-Hour'!AI294+'LBMP_by_Year-Month-Hour'!AI326+'LBMP_by_Year-Month-Hour'!AI358+'LBMP_by_Year-Month-Hour'!AI390+'LBMP_by_Year-Month-Hour'!AI422+'LBMP_by_Year-Month-Hour'!AI454+'LBMP_by_Year-Month-Hour'!AI486+'LBMP_by_Year-Month-Hour'!AI518+'LBMP_by_Year-Month-Hour'!AI550+'LBMP_by_Year-Month-Hour'!AI582</f>
        <v>12257</v>
      </c>
      <c r="AK48" s="94" t="str">
        <f ca="1">TEXT(DATE(YEAR(TODAY()),AK47,1),"mmmm")</f>
        <v>December</v>
      </c>
      <c r="AL48" s="58">
        <f>'LBMP_by_Year-Month-Hour'!AL70+'LBMP_by_Year-Month-Hour'!AL102+'LBMP_by_Year-Month-Hour'!AL134+'LBMP_by_Year-Month-Hour'!AL166+'LBMP_by_Year-Month-Hour'!AL198+'LBMP_by_Year-Month-Hour'!AL230+'LBMP_by_Year-Month-Hour'!AL262+'LBMP_by_Year-Month-Hour'!AL294+'LBMP_by_Year-Month-Hour'!AL326+'LBMP_by_Year-Month-Hour'!AL358+'LBMP_by_Year-Month-Hour'!AL390+'LBMP_by_Year-Month-Hour'!AL422+'LBMP_by_Year-Month-Hour'!AL454+'LBMP_by_Year-Month-Hour'!AL486+'LBMP_by_Year-Month-Hour'!AL518+'LBMP_by_Year-Month-Hour'!AL550+'LBMP_by_Year-Month-Hour'!AL582</f>
        <v>12648</v>
      </c>
    </row>
    <row r="49" spans="1:38">
      <c r="A49" t="s">
        <v>293</v>
      </c>
      <c r="B49" t="s">
        <v>318</v>
      </c>
      <c r="D49" t="s">
        <v>293</v>
      </c>
      <c r="E49" t="s">
        <v>318</v>
      </c>
      <c r="G49" t="s">
        <v>293</v>
      </c>
      <c r="H49" t="s">
        <v>318</v>
      </c>
      <c r="J49" t="s">
        <v>293</v>
      </c>
      <c r="K49" t="s">
        <v>318</v>
      </c>
      <c r="M49" t="s">
        <v>293</v>
      </c>
      <c r="N49" t="s">
        <v>318</v>
      </c>
      <c r="P49" t="s">
        <v>293</v>
      </c>
      <c r="Q49" t="s">
        <v>318</v>
      </c>
      <c r="S49" t="s">
        <v>293</v>
      </c>
      <c r="T49" t="s">
        <v>318</v>
      </c>
      <c r="V49" t="s">
        <v>293</v>
      </c>
      <c r="W49" t="s">
        <v>318</v>
      </c>
      <c r="Y49" t="s">
        <v>293</v>
      </c>
      <c r="Z49" t="s">
        <v>318</v>
      </c>
      <c r="AB49" t="s">
        <v>293</v>
      </c>
      <c r="AC49" t="s">
        <v>318</v>
      </c>
      <c r="AE49" t="s">
        <v>293</v>
      </c>
      <c r="AF49" t="s">
        <v>318</v>
      </c>
      <c r="AH49" t="s">
        <v>293</v>
      </c>
      <c r="AI49" t="s">
        <v>318</v>
      </c>
      <c r="AK49" t="s">
        <v>293</v>
      </c>
      <c r="AL49" t="s">
        <v>318</v>
      </c>
    </row>
    <row r="50" spans="1:38">
      <c r="A50">
        <v>0</v>
      </c>
      <c r="B50">
        <f t="shared" ref="B50:B73" si="9">E50+H50+K50+N50+Q50+T50+W50+Z50+AC50+AF50+AI50+AL50</f>
        <v>-134250.39778276504</v>
      </c>
      <c r="D50">
        <v>0</v>
      </c>
      <c r="E50">
        <f>SUM($B$19*'LBMP_by_Year-Month-Hour'!E$70*'LBMP_by_Year-Month-Hour'!E74,$B$20*'LBMP_by_Year-Month-Hour'!E$102*'LBMP_by_Year-Month-Hour'!E106,$B$21*'LBMP_by_Year-Month-Hour'!E$134*'LBMP_by_Year-Month-Hour'!E138,$B$22*'LBMP_by_Year-Month-Hour'!E$166*'LBMP_by_Year-Month-Hour'!E170,$B$23*'LBMP_by_Year-Month-Hour'!E$198*'LBMP_by_Year-Month-Hour'!E202,$B$24*'LBMP_by_Year-Month-Hour'!E$230*'LBMP_by_Year-Month-Hour'!E234,$B$25*'LBMP_by_Year-Month-Hour'!E$262*'LBMP_by_Year-Month-Hour'!E266,$B$26*'LBMP_by_Year-Month-Hour'!E$294*'LBMP_by_Year-Month-Hour'!E298,$B$27*'LBMP_by_Year-Month-Hour'!E$326*'LBMP_by_Year-Month-Hour'!E330,$B$28*'LBMP_by_Year-Month-Hour'!E$358*'LBMP_by_Year-Month-Hour'!E362,$B$29*'LBMP_by_Year-Month-Hour'!E$390*'LBMP_by_Year-Month-Hour'!E394,$B$30*'LBMP_by_Year-Month-Hour'!E$422*'LBMP_by_Year-Month-Hour'!E426,$B$31*'LBMP_by_Year-Month-Hour'!E$454*'LBMP_by_Year-Month-Hour'!E458,$B$32*'LBMP_by_Year-Month-Hour'!E$486*'LBMP_by_Year-Month-Hour'!E490,$B$33*'LBMP_by_Year-Month-Hour'!E$518*'LBMP_by_Year-Month-Hour'!E522,$B$34*'LBMP_by_Year-Month-Hour'!E$550*'LBMP_by_Year-Month-Hour'!E554,$B$35*'LBMP_by_Year-Month-Hour'!E$582*'LBMP_by_Year-Month-Hour'!E586)*E19/$C$6/24</f>
        <v>0</v>
      </c>
      <c r="G50">
        <v>0</v>
      </c>
      <c r="H50">
        <f>SUM($B$19*'LBMP_by_Year-Month-Hour'!H$70*'LBMP_by_Year-Month-Hour'!H74,$B$20*'LBMP_by_Year-Month-Hour'!H$102*'LBMP_by_Year-Month-Hour'!H106,$B$21*'LBMP_by_Year-Month-Hour'!H$134*'LBMP_by_Year-Month-Hour'!H138,$B$22*'LBMP_by_Year-Month-Hour'!H$166*'LBMP_by_Year-Month-Hour'!H170,$B$23*'LBMP_by_Year-Month-Hour'!H$198*'LBMP_by_Year-Month-Hour'!H202,$B$24*'LBMP_by_Year-Month-Hour'!H$230*'LBMP_by_Year-Month-Hour'!H234,$B$25*'LBMP_by_Year-Month-Hour'!H$262*'LBMP_by_Year-Month-Hour'!H266,$B$26*'LBMP_by_Year-Month-Hour'!H$294*'LBMP_by_Year-Month-Hour'!H298,$B$27*'LBMP_by_Year-Month-Hour'!H$326*'LBMP_by_Year-Month-Hour'!H330,$B$28*'LBMP_by_Year-Month-Hour'!H$358*'LBMP_by_Year-Month-Hour'!H362,$B$29*'LBMP_by_Year-Month-Hour'!H$390*'LBMP_by_Year-Month-Hour'!H394,$B$30*'LBMP_by_Year-Month-Hour'!H$422*'LBMP_by_Year-Month-Hour'!H426,$B$31*'LBMP_by_Year-Month-Hour'!H$454*'LBMP_by_Year-Month-Hour'!H458,$B$32*'LBMP_by_Year-Month-Hour'!H$486*'LBMP_by_Year-Month-Hour'!H490,$B$33*'LBMP_by_Year-Month-Hour'!H$518*'LBMP_by_Year-Month-Hour'!H522,$B$34*'LBMP_by_Year-Month-Hour'!H$550*'LBMP_by_Year-Month-Hour'!H554,$B$35*'LBMP_by_Year-Month-Hour'!H$582*'LBMP_by_Year-Month-Hour'!H586)*H19/$C$6/24</f>
        <v>0</v>
      </c>
      <c r="J50">
        <v>0</v>
      </c>
      <c r="K50">
        <f>SUM($B$19*'LBMP_by_Year-Month-Hour'!K$70*'LBMP_by_Year-Month-Hour'!K74,$B$20*'LBMP_by_Year-Month-Hour'!K$102*'LBMP_by_Year-Month-Hour'!K106,$B$21*'LBMP_by_Year-Month-Hour'!K$134*'LBMP_by_Year-Month-Hour'!K138,$B$22*'LBMP_by_Year-Month-Hour'!K$166*'LBMP_by_Year-Month-Hour'!K170,$B$23*'LBMP_by_Year-Month-Hour'!K$198*'LBMP_by_Year-Month-Hour'!K202,$B$24*'LBMP_by_Year-Month-Hour'!K$230*'LBMP_by_Year-Month-Hour'!K234,$B$25*'LBMP_by_Year-Month-Hour'!K$262*'LBMP_by_Year-Month-Hour'!K266,$B$26*'LBMP_by_Year-Month-Hour'!K$294*'LBMP_by_Year-Month-Hour'!K298,$B$27*'LBMP_by_Year-Month-Hour'!K$326*'LBMP_by_Year-Month-Hour'!K330,$B$28*'LBMP_by_Year-Month-Hour'!K$358*'LBMP_by_Year-Month-Hour'!K362,$B$29*'LBMP_by_Year-Month-Hour'!K$390*'LBMP_by_Year-Month-Hour'!K394,$B$30*'LBMP_by_Year-Month-Hour'!K$422*'LBMP_by_Year-Month-Hour'!K426,$B$31*'LBMP_by_Year-Month-Hour'!K$454*'LBMP_by_Year-Month-Hour'!K458,$B$32*'LBMP_by_Year-Month-Hour'!K$486*'LBMP_by_Year-Month-Hour'!K490,$B$33*'LBMP_by_Year-Month-Hour'!K$518*'LBMP_by_Year-Month-Hour'!K522,$B$34*'LBMP_by_Year-Month-Hour'!K$550*'LBMP_by_Year-Month-Hour'!K554,$B$35*'LBMP_by_Year-Month-Hour'!K$582*'LBMP_by_Year-Month-Hour'!K586)*K19/$C$6/24</f>
        <v>0</v>
      </c>
      <c r="M50">
        <v>0</v>
      </c>
      <c r="N50">
        <f>SUM($B$19*'LBMP_by_Year-Month-Hour'!N$70*'LBMP_by_Year-Month-Hour'!N74,$B$20*'LBMP_by_Year-Month-Hour'!N$102*'LBMP_by_Year-Month-Hour'!N106,$B$21*'LBMP_by_Year-Month-Hour'!N$134*'LBMP_by_Year-Month-Hour'!N138,$B$22*'LBMP_by_Year-Month-Hour'!N$166*'LBMP_by_Year-Month-Hour'!N170,$B$23*'LBMP_by_Year-Month-Hour'!N$198*'LBMP_by_Year-Month-Hour'!N202,$B$24*'LBMP_by_Year-Month-Hour'!N$230*'LBMP_by_Year-Month-Hour'!N234,$B$25*'LBMP_by_Year-Month-Hour'!N$262*'LBMP_by_Year-Month-Hour'!N266,$B$26*'LBMP_by_Year-Month-Hour'!N$294*'LBMP_by_Year-Month-Hour'!N298,$B$27*'LBMP_by_Year-Month-Hour'!N$326*'LBMP_by_Year-Month-Hour'!N330,$B$28*'LBMP_by_Year-Month-Hour'!N$358*'LBMP_by_Year-Month-Hour'!N362,$B$29*'LBMP_by_Year-Month-Hour'!N$390*'LBMP_by_Year-Month-Hour'!N394,$B$30*'LBMP_by_Year-Month-Hour'!N$422*'LBMP_by_Year-Month-Hour'!N426,$B$31*'LBMP_by_Year-Month-Hour'!N$454*'LBMP_by_Year-Month-Hour'!N458,$B$32*'LBMP_by_Year-Month-Hour'!N$486*'LBMP_by_Year-Month-Hour'!N490,$B$33*'LBMP_by_Year-Month-Hour'!N$518*'LBMP_by_Year-Month-Hour'!N522,$B$34*'LBMP_by_Year-Month-Hour'!N$550*'LBMP_by_Year-Month-Hour'!N554,$B$35*'LBMP_by_Year-Month-Hour'!N$582*'LBMP_by_Year-Month-Hour'!N586)*N19/$C$6/24</f>
        <v>0</v>
      </c>
      <c r="P50">
        <v>0</v>
      </c>
      <c r="Q50">
        <f>SUM($B$19*'LBMP_by_Year-Month-Hour'!Q$70*'LBMP_by_Year-Month-Hour'!Q74,$B$20*'LBMP_by_Year-Month-Hour'!Q$102*'LBMP_by_Year-Month-Hour'!Q106,$B$21*'LBMP_by_Year-Month-Hour'!Q$134*'LBMP_by_Year-Month-Hour'!Q138,$B$22*'LBMP_by_Year-Month-Hour'!Q$166*'LBMP_by_Year-Month-Hour'!Q170,$B$23*'LBMP_by_Year-Month-Hour'!Q$198*'LBMP_by_Year-Month-Hour'!Q202,$B$24*'LBMP_by_Year-Month-Hour'!Q$230*'LBMP_by_Year-Month-Hour'!Q234,$B$25*'LBMP_by_Year-Month-Hour'!Q$262*'LBMP_by_Year-Month-Hour'!Q266,$B$26*'LBMP_by_Year-Month-Hour'!Q$294*'LBMP_by_Year-Month-Hour'!Q298,$B$27*'LBMP_by_Year-Month-Hour'!Q$326*'LBMP_by_Year-Month-Hour'!Q330,$B$28*'LBMP_by_Year-Month-Hour'!Q$358*'LBMP_by_Year-Month-Hour'!Q362,$B$29*'LBMP_by_Year-Month-Hour'!Q$390*'LBMP_by_Year-Month-Hour'!Q394,$B$30*'LBMP_by_Year-Month-Hour'!Q$422*'LBMP_by_Year-Month-Hour'!Q426,$B$31*'LBMP_by_Year-Month-Hour'!Q$454*'LBMP_by_Year-Month-Hour'!Q458,$B$32*'LBMP_by_Year-Month-Hour'!Q$486*'LBMP_by_Year-Month-Hour'!Q490,$B$33*'LBMP_by_Year-Month-Hour'!Q$518*'LBMP_by_Year-Month-Hour'!Q522,$B$34*'LBMP_by_Year-Month-Hour'!Q$550*'LBMP_by_Year-Month-Hour'!Q554,$B$35*'LBMP_by_Year-Month-Hour'!Q$582*'LBMP_by_Year-Month-Hour'!Q586)*Q19/$C$6/24</f>
        <v>0</v>
      </c>
      <c r="S50">
        <v>0</v>
      </c>
      <c r="T50">
        <f>SUM($B$19*'LBMP_by_Year-Month-Hour'!T$70*'LBMP_by_Year-Month-Hour'!T74,$B$20*'LBMP_by_Year-Month-Hour'!T$102*'LBMP_by_Year-Month-Hour'!T106,$B$21*'LBMP_by_Year-Month-Hour'!T$134*'LBMP_by_Year-Month-Hour'!T138,$B$22*'LBMP_by_Year-Month-Hour'!T$166*'LBMP_by_Year-Month-Hour'!T170,$B$23*'LBMP_by_Year-Month-Hour'!T$198*'LBMP_by_Year-Month-Hour'!T202,$B$24*'LBMP_by_Year-Month-Hour'!T$230*'LBMP_by_Year-Month-Hour'!T234,$B$25*'LBMP_by_Year-Month-Hour'!T$262*'LBMP_by_Year-Month-Hour'!T266,$B$26*'LBMP_by_Year-Month-Hour'!T$294*'LBMP_by_Year-Month-Hour'!T298,$B$27*'LBMP_by_Year-Month-Hour'!T$326*'LBMP_by_Year-Month-Hour'!T330,$B$28*'LBMP_by_Year-Month-Hour'!T$358*'LBMP_by_Year-Month-Hour'!T362,$B$29*'LBMP_by_Year-Month-Hour'!T$390*'LBMP_by_Year-Month-Hour'!T394,$B$30*'LBMP_by_Year-Month-Hour'!T$422*'LBMP_by_Year-Month-Hour'!T426,$B$31*'LBMP_by_Year-Month-Hour'!T$454*'LBMP_by_Year-Month-Hour'!T458,$B$32*'LBMP_by_Year-Month-Hour'!T$486*'LBMP_by_Year-Month-Hour'!T490,$B$33*'LBMP_by_Year-Month-Hour'!T$518*'LBMP_by_Year-Month-Hour'!T522,$B$34*'LBMP_by_Year-Month-Hour'!T$550*'LBMP_by_Year-Month-Hour'!T554,$B$35*'LBMP_by_Year-Month-Hour'!T$582*'LBMP_by_Year-Month-Hour'!T586)*T19/$C$6/24</f>
        <v>-32501.149143927338</v>
      </c>
      <c r="V50">
        <v>0</v>
      </c>
      <c r="W50">
        <f>SUM($B$19*'LBMP_by_Year-Month-Hour'!W$70*'LBMP_by_Year-Month-Hour'!W74,$B$20*'LBMP_by_Year-Month-Hour'!W$102*'LBMP_by_Year-Month-Hour'!W106,$B$21*'LBMP_by_Year-Month-Hour'!W$134*'LBMP_by_Year-Month-Hour'!W138,$B$22*'LBMP_by_Year-Month-Hour'!W$166*'LBMP_by_Year-Month-Hour'!W170,$B$23*'LBMP_by_Year-Month-Hour'!W$198*'LBMP_by_Year-Month-Hour'!W202,$B$24*'LBMP_by_Year-Month-Hour'!W$230*'LBMP_by_Year-Month-Hour'!W234,$B$25*'LBMP_by_Year-Month-Hour'!W$262*'LBMP_by_Year-Month-Hour'!W266,$B$26*'LBMP_by_Year-Month-Hour'!W$294*'LBMP_by_Year-Month-Hour'!W298,$B$27*'LBMP_by_Year-Month-Hour'!W$326*'LBMP_by_Year-Month-Hour'!W330,$B$28*'LBMP_by_Year-Month-Hour'!W$358*'LBMP_by_Year-Month-Hour'!W362,$B$29*'LBMP_by_Year-Month-Hour'!W$390*'LBMP_by_Year-Month-Hour'!W394,$B$30*'LBMP_by_Year-Month-Hour'!W$422*'LBMP_by_Year-Month-Hour'!W426,$B$31*'LBMP_by_Year-Month-Hour'!W$454*'LBMP_by_Year-Month-Hour'!W458,$B$32*'LBMP_by_Year-Month-Hour'!W$486*'LBMP_by_Year-Month-Hour'!W490,$B$33*'LBMP_by_Year-Month-Hour'!W$518*'LBMP_by_Year-Month-Hour'!W522,$B$34*'LBMP_by_Year-Month-Hour'!W$550*'LBMP_by_Year-Month-Hour'!W554,$B$35*'LBMP_by_Year-Month-Hour'!W$582*'LBMP_by_Year-Month-Hour'!W586)*W19/$C$6/24</f>
        <v>-36001.88129301228</v>
      </c>
      <c r="Y50">
        <v>0</v>
      </c>
      <c r="Z50">
        <f>SUM($B$19*'LBMP_by_Year-Month-Hour'!Z$70*'LBMP_by_Year-Month-Hour'!Z74,$B$20*'LBMP_by_Year-Month-Hour'!Z$102*'LBMP_by_Year-Month-Hour'!Z106,$B$21*'LBMP_by_Year-Month-Hour'!Z$134*'LBMP_by_Year-Month-Hour'!Z138,$B$22*'LBMP_by_Year-Month-Hour'!Z$166*'LBMP_by_Year-Month-Hour'!Z170,$B$23*'LBMP_by_Year-Month-Hour'!Z$198*'LBMP_by_Year-Month-Hour'!Z202,$B$24*'LBMP_by_Year-Month-Hour'!Z$230*'LBMP_by_Year-Month-Hour'!Z234,$B$25*'LBMP_by_Year-Month-Hour'!Z$262*'LBMP_by_Year-Month-Hour'!Z266,$B$26*'LBMP_by_Year-Month-Hour'!Z$294*'LBMP_by_Year-Month-Hour'!Z298,$B$27*'LBMP_by_Year-Month-Hour'!Z$326*'LBMP_by_Year-Month-Hour'!Z330,$B$28*'LBMP_by_Year-Month-Hour'!Z$358*'LBMP_by_Year-Month-Hour'!Z362,$B$29*'LBMP_by_Year-Month-Hour'!Z$390*'LBMP_by_Year-Month-Hour'!Z394,$B$30*'LBMP_by_Year-Month-Hour'!Z$422*'LBMP_by_Year-Month-Hour'!Z426,$B$31*'LBMP_by_Year-Month-Hour'!Z$454*'LBMP_by_Year-Month-Hour'!Z458,$B$32*'LBMP_by_Year-Month-Hour'!Z$486*'LBMP_by_Year-Month-Hour'!Z490,$B$33*'LBMP_by_Year-Month-Hour'!Z$518*'LBMP_by_Year-Month-Hour'!Z522,$B$34*'LBMP_by_Year-Month-Hour'!Z$550*'LBMP_by_Year-Month-Hour'!Z554,$B$35*'LBMP_by_Year-Month-Hour'!Z$582*'LBMP_by_Year-Month-Hour'!Z586)*Z19/$C$6/24</f>
        <v>-34344.376043907301</v>
      </c>
      <c r="AB50">
        <v>0</v>
      </c>
      <c r="AC50">
        <f>SUM($B$19*'LBMP_by_Year-Month-Hour'!AC$70*'LBMP_by_Year-Month-Hour'!AC74,$B$20*'LBMP_by_Year-Month-Hour'!AC$102*'LBMP_by_Year-Month-Hour'!AC106,$B$21*'LBMP_by_Year-Month-Hour'!AC$134*'LBMP_by_Year-Month-Hour'!AC138,$B$22*'LBMP_by_Year-Month-Hour'!AC$166*'LBMP_by_Year-Month-Hour'!AC170,$B$23*'LBMP_by_Year-Month-Hour'!AC$198*'LBMP_by_Year-Month-Hour'!AC202,$B$24*'LBMP_by_Year-Month-Hour'!AC$230*'LBMP_by_Year-Month-Hour'!AC234,$B$25*'LBMP_by_Year-Month-Hour'!AC$262*'LBMP_by_Year-Month-Hour'!AC266,$B$26*'LBMP_by_Year-Month-Hour'!AC$294*'LBMP_by_Year-Month-Hour'!AC298,$B$27*'LBMP_by_Year-Month-Hour'!AC$326*'LBMP_by_Year-Month-Hour'!AC330,$B$28*'LBMP_by_Year-Month-Hour'!AC$358*'LBMP_by_Year-Month-Hour'!AC362,$B$29*'LBMP_by_Year-Month-Hour'!AC$390*'LBMP_by_Year-Month-Hour'!AC394,$B$30*'LBMP_by_Year-Month-Hour'!AC$422*'LBMP_by_Year-Month-Hour'!AC426,$B$31*'LBMP_by_Year-Month-Hour'!AC$454*'LBMP_by_Year-Month-Hour'!AC458,$B$32*'LBMP_by_Year-Month-Hour'!AC$486*'LBMP_by_Year-Month-Hour'!AC490,$B$33*'LBMP_by_Year-Month-Hour'!AC$518*'LBMP_by_Year-Month-Hour'!AC522,$B$34*'LBMP_by_Year-Month-Hour'!AC$550*'LBMP_by_Year-Month-Hour'!AC554,$B$35*'LBMP_by_Year-Month-Hour'!AC$582*'LBMP_by_Year-Month-Hour'!AC586)*AC19/$C$6/24</f>
        <v>-31402.991301918115</v>
      </c>
      <c r="AE50">
        <v>0</v>
      </c>
      <c r="AF50">
        <f>SUM($B$19*'LBMP_by_Year-Month-Hour'!AF$70*'LBMP_by_Year-Month-Hour'!AF74,$B$20*'LBMP_by_Year-Month-Hour'!AF$102*'LBMP_by_Year-Month-Hour'!AF106,$B$21*'LBMP_by_Year-Month-Hour'!AF$134*'LBMP_by_Year-Month-Hour'!AF138,$B$22*'LBMP_by_Year-Month-Hour'!AF$166*'LBMP_by_Year-Month-Hour'!AF170,$B$23*'LBMP_by_Year-Month-Hour'!AF$198*'LBMP_by_Year-Month-Hour'!AF202,$B$24*'LBMP_by_Year-Month-Hour'!AF$230*'LBMP_by_Year-Month-Hour'!AF234,$B$25*'LBMP_by_Year-Month-Hour'!AF$262*'LBMP_by_Year-Month-Hour'!AF266,$B$26*'LBMP_by_Year-Month-Hour'!AF$294*'LBMP_by_Year-Month-Hour'!AF298,$B$27*'LBMP_by_Year-Month-Hour'!AF$326*'LBMP_by_Year-Month-Hour'!AF330,$B$28*'LBMP_by_Year-Month-Hour'!AF$358*'LBMP_by_Year-Month-Hour'!AF362,$B$29*'LBMP_by_Year-Month-Hour'!AF$390*'LBMP_by_Year-Month-Hour'!AF394,$B$30*'LBMP_by_Year-Month-Hour'!AF$422*'LBMP_by_Year-Month-Hour'!AF426,$B$31*'LBMP_by_Year-Month-Hour'!AF$454*'LBMP_by_Year-Month-Hour'!AF458,$B$32*'LBMP_by_Year-Month-Hour'!AF$486*'LBMP_by_Year-Month-Hour'!AF490,$B$33*'LBMP_by_Year-Month-Hour'!AF$518*'LBMP_by_Year-Month-Hour'!AF522,$B$34*'LBMP_by_Year-Month-Hour'!AF$550*'LBMP_by_Year-Month-Hour'!AF554,$B$35*'LBMP_by_Year-Month-Hour'!AF$582*'LBMP_by_Year-Month-Hour'!AF586)*AF19/$C$6/24</f>
        <v>0</v>
      </c>
      <c r="AH50">
        <v>0</v>
      </c>
      <c r="AI50">
        <f>SUM($B$19*'LBMP_by_Year-Month-Hour'!AI$70*'LBMP_by_Year-Month-Hour'!AI74,$B$20*'LBMP_by_Year-Month-Hour'!AI$102*'LBMP_by_Year-Month-Hour'!AI106,$B$21*'LBMP_by_Year-Month-Hour'!AI$134*'LBMP_by_Year-Month-Hour'!AI138,$B$22*'LBMP_by_Year-Month-Hour'!AI$166*'LBMP_by_Year-Month-Hour'!AI170,$B$23*'LBMP_by_Year-Month-Hour'!AI$198*'LBMP_by_Year-Month-Hour'!AI202,$B$24*'LBMP_by_Year-Month-Hour'!AI$230*'LBMP_by_Year-Month-Hour'!AI234,$B$25*'LBMP_by_Year-Month-Hour'!AI$262*'LBMP_by_Year-Month-Hour'!AI266,$B$26*'LBMP_by_Year-Month-Hour'!AI$294*'LBMP_by_Year-Month-Hour'!AI298,$B$27*'LBMP_by_Year-Month-Hour'!AI$326*'LBMP_by_Year-Month-Hour'!AI330,$B$28*'LBMP_by_Year-Month-Hour'!AI$358*'LBMP_by_Year-Month-Hour'!AI362,$B$29*'LBMP_by_Year-Month-Hour'!AI$390*'LBMP_by_Year-Month-Hour'!AI394,$B$30*'LBMP_by_Year-Month-Hour'!AI$422*'LBMP_by_Year-Month-Hour'!AI426,$B$31*'LBMP_by_Year-Month-Hour'!AI$454*'LBMP_by_Year-Month-Hour'!AI458,$B$32*'LBMP_by_Year-Month-Hour'!AI$486*'LBMP_by_Year-Month-Hour'!AI490,$B$33*'LBMP_by_Year-Month-Hour'!AI$518*'LBMP_by_Year-Month-Hour'!AI522,$B$34*'LBMP_by_Year-Month-Hour'!AI$550*'LBMP_by_Year-Month-Hour'!AI554,$B$35*'LBMP_by_Year-Month-Hour'!AI$582*'LBMP_by_Year-Month-Hour'!AI586)*AI19/$C$6/24</f>
        <v>0</v>
      </c>
      <c r="AK50">
        <v>0</v>
      </c>
      <c r="AL50">
        <f>SUM($B$19*'LBMP_by_Year-Month-Hour'!AL$70*'LBMP_by_Year-Month-Hour'!AL74,$B$20*'LBMP_by_Year-Month-Hour'!AL$102*'LBMP_by_Year-Month-Hour'!AL106,$B$21*'LBMP_by_Year-Month-Hour'!AL$134*'LBMP_by_Year-Month-Hour'!AL138,$B$22*'LBMP_by_Year-Month-Hour'!AL$166*'LBMP_by_Year-Month-Hour'!AL170,$B$23*'LBMP_by_Year-Month-Hour'!AL$198*'LBMP_by_Year-Month-Hour'!AL202,$B$24*'LBMP_by_Year-Month-Hour'!AL$230*'LBMP_by_Year-Month-Hour'!AL234,$B$25*'LBMP_by_Year-Month-Hour'!AL$262*'LBMP_by_Year-Month-Hour'!AL266,$B$26*'LBMP_by_Year-Month-Hour'!AL$294*'LBMP_by_Year-Month-Hour'!AL298,$B$27*'LBMP_by_Year-Month-Hour'!AL$326*'LBMP_by_Year-Month-Hour'!AL330,$B$28*'LBMP_by_Year-Month-Hour'!AL$358*'LBMP_by_Year-Month-Hour'!AL362,$B$29*'LBMP_by_Year-Month-Hour'!AL$390*'LBMP_by_Year-Month-Hour'!AL394,$B$30*'LBMP_by_Year-Month-Hour'!AL$422*'LBMP_by_Year-Month-Hour'!AL426,$B$31*'LBMP_by_Year-Month-Hour'!AL$454*'LBMP_by_Year-Month-Hour'!AL458,$B$32*'LBMP_by_Year-Month-Hour'!AL$486*'LBMP_by_Year-Month-Hour'!AL490,$B$33*'LBMP_by_Year-Month-Hour'!AL$518*'LBMP_by_Year-Month-Hour'!AL522,$B$34*'LBMP_by_Year-Month-Hour'!AL$550*'LBMP_by_Year-Month-Hour'!AL554,$B$35*'LBMP_by_Year-Month-Hour'!AL$582*'LBMP_by_Year-Month-Hour'!AL586)*AL19/$C$6/24</f>
        <v>0</v>
      </c>
    </row>
    <row r="51" spans="1:38">
      <c r="A51">
        <v>1</v>
      </c>
      <c r="B51">
        <f t="shared" si="9"/>
        <v>-127933.41592716187</v>
      </c>
      <c r="D51">
        <v>1</v>
      </c>
      <c r="E51">
        <f>SUM($B$19*'LBMP_by_Year-Month-Hour'!E$70*'LBMP_by_Year-Month-Hour'!E75,$B$20*'LBMP_by_Year-Month-Hour'!E$102*'LBMP_by_Year-Month-Hour'!E107,$B$21*'LBMP_by_Year-Month-Hour'!E$134*'LBMP_by_Year-Month-Hour'!E139,$B$22*'LBMP_by_Year-Month-Hour'!E$166*'LBMP_by_Year-Month-Hour'!E171,$B$23*'LBMP_by_Year-Month-Hour'!E$198*'LBMP_by_Year-Month-Hour'!E203,$B$24*'LBMP_by_Year-Month-Hour'!E$230*'LBMP_by_Year-Month-Hour'!E235,$B$25*'LBMP_by_Year-Month-Hour'!E$262*'LBMP_by_Year-Month-Hour'!E267,$B$26*'LBMP_by_Year-Month-Hour'!E$294*'LBMP_by_Year-Month-Hour'!E299,$B$27*'LBMP_by_Year-Month-Hour'!E$326*'LBMP_by_Year-Month-Hour'!E331,$B$28*'LBMP_by_Year-Month-Hour'!E$358*'LBMP_by_Year-Month-Hour'!E363,$B$29*'LBMP_by_Year-Month-Hour'!E$390*'LBMP_by_Year-Month-Hour'!E395,$B$30*'LBMP_by_Year-Month-Hour'!E$422*'LBMP_by_Year-Month-Hour'!E427,$B$31*'LBMP_by_Year-Month-Hour'!E$454*'LBMP_by_Year-Month-Hour'!E459,$B$32*'LBMP_by_Year-Month-Hour'!E$486*'LBMP_by_Year-Month-Hour'!E491,$B$33*'LBMP_by_Year-Month-Hour'!E$518*'LBMP_by_Year-Month-Hour'!E523,$B$34*'LBMP_by_Year-Month-Hour'!E$550*'LBMP_by_Year-Month-Hour'!E555,$B$35*'LBMP_by_Year-Month-Hour'!E$582*'LBMP_by_Year-Month-Hour'!E587)*E20/$C$6/24</f>
        <v>0</v>
      </c>
      <c r="G51">
        <v>1</v>
      </c>
      <c r="H51">
        <f>SUM($B$19*'LBMP_by_Year-Month-Hour'!H$70*'LBMP_by_Year-Month-Hour'!H75,$B$20*'LBMP_by_Year-Month-Hour'!H$102*'LBMP_by_Year-Month-Hour'!H107,$B$21*'LBMP_by_Year-Month-Hour'!H$134*'LBMP_by_Year-Month-Hour'!H139,$B$22*'LBMP_by_Year-Month-Hour'!H$166*'LBMP_by_Year-Month-Hour'!H171,$B$23*'LBMP_by_Year-Month-Hour'!H$198*'LBMP_by_Year-Month-Hour'!H203,$B$24*'LBMP_by_Year-Month-Hour'!H$230*'LBMP_by_Year-Month-Hour'!H235,$B$25*'LBMP_by_Year-Month-Hour'!H$262*'LBMP_by_Year-Month-Hour'!H267,$B$26*'LBMP_by_Year-Month-Hour'!H$294*'LBMP_by_Year-Month-Hour'!H299,$B$27*'LBMP_by_Year-Month-Hour'!H$326*'LBMP_by_Year-Month-Hour'!H331,$B$28*'LBMP_by_Year-Month-Hour'!H$358*'LBMP_by_Year-Month-Hour'!H363,$B$29*'LBMP_by_Year-Month-Hour'!H$390*'LBMP_by_Year-Month-Hour'!H395,$B$30*'LBMP_by_Year-Month-Hour'!H$422*'LBMP_by_Year-Month-Hour'!H427,$B$31*'LBMP_by_Year-Month-Hour'!H$454*'LBMP_by_Year-Month-Hour'!H459,$B$32*'LBMP_by_Year-Month-Hour'!H$486*'LBMP_by_Year-Month-Hour'!H491,$B$33*'LBMP_by_Year-Month-Hour'!H$518*'LBMP_by_Year-Month-Hour'!H523,$B$34*'LBMP_by_Year-Month-Hour'!H$550*'LBMP_by_Year-Month-Hour'!H555,$B$35*'LBMP_by_Year-Month-Hour'!H$582*'LBMP_by_Year-Month-Hour'!H587)*H20/$C$6/24</f>
        <v>0</v>
      </c>
      <c r="J51">
        <v>1</v>
      </c>
      <c r="K51">
        <f>SUM($B$19*'LBMP_by_Year-Month-Hour'!K$70*'LBMP_by_Year-Month-Hour'!K75,$B$20*'LBMP_by_Year-Month-Hour'!K$102*'LBMP_by_Year-Month-Hour'!K107,$B$21*'LBMP_by_Year-Month-Hour'!K$134*'LBMP_by_Year-Month-Hour'!K139,$B$22*'LBMP_by_Year-Month-Hour'!K$166*'LBMP_by_Year-Month-Hour'!K171,$B$23*'LBMP_by_Year-Month-Hour'!K$198*'LBMP_by_Year-Month-Hour'!K203,$B$24*'LBMP_by_Year-Month-Hour'!K$230*'LBMP_by_Year-Month-Hour'!K235,$B$25*'LBMP_by_Year-Month-Hour'!K$262*'LBMP_by_Year-Month-Hour'!K267,$B$26*'LBMP_by_Year-Month-Hour'!K$294*'LBMP_by_Year-Month-Hour'!K299,$B$27*'LBMP_by_Year-Month-Hour'!K$326*'LBMP_by_Year-Month-Hour'!K331,$B$28*'LBMP_by_Year-Month-Hour'!K$358*'LBMP_by_Year-Month-Hour'!K363,$B$29*'LBMP_by_Year-Month-Hour'!K$390*'LBMP_by_Year-Month-Hour'!K395,$B$30*'LBMP_by_Year-Month-Hour'!K$422*'LBMP_by_Year-Month-Hour'!K427,$B$31*'LBMP_by_Year-Month-Hour'!K$454*'LBMP_by_Year-Month-Hour'!K459,$B$32*'LBMP_by_Year-Month-Hour'!K$486*'LBMP_by_Year-Month-Hour'!K491,$B$33*'LBMP_by_Year-Month-Hour'!K$518*'LBMP_by_Year-Month-Hour'!K523,$B$34*'LBMP_by_Year-Month-Hour'!K$550*'LBMP_by_Year-Month-Hour'!K555,$B$35*'LBMP_by_Year-Month-Hour'!K$582*'LBMP_by_Year-Month-Hour'!K587)*K20/$C$6/24</f>
        <v>0</v>
      </c>
      <c r="M51">
        <v>1</v>
      </c>
      <c r="N51">
        <f>SUM($B$19*'LBMP_by_Year-Month-Hour'!N$70*'LBMP_by_Year-Month-Hour'!N75,$B$20*'LBMP_by_Year-Month-Hour'!N$102*'LBMP_by_Year-Month-Hour'!N107,$B$21*'LBMP_by_Year-Month-Hour'!N$134*'LBMP_by_Year-Month-Hour'!N139,$B$22*'LBMP_by_Year-Month-Hour'!N$166*'LBMP_by_Year-Month-Hour'!N171,$B$23*'LBMP_by_Year-Month-Hour'!N$198*'LBMP_by_Year-Month-Hour'!N203,$B$24*'LBMP_by_Year-Month-Hour'!N$230*'LBMP_by_Year-Month-Hour'!N235,$B$25*'LBMP_by_Year-Month-Hour'!N$262*'LBMP_by_Year-Month-Hour'!N267,$B$26*'LBMP_by_Year-Month-Hour'!N$294*'LBMP_by_Year-Month-Hour'!N299,$B$27*'LBMP_by_Year-Month-Hour'!N$326*'LBMP_by_Year-Month-Hour'!N331,$B$28*'LBMP_by_Year-Month-Hour'!N$358*'LBMP_by_Year-Month-Hour'!N363,$B$29*'LBMP_by_Year-Month-Hour'!N$390*'LBMP_by_Year-Month-Hour'!N395,$B$30*'LBMP_by_Year-Month-Hour'!N$422*'LBMP_by_Year-Month-Hour'!N427,$B$31*'LBMP_by_Year-Month-Hour'!N$454*'LBMP_by_Year-Month-Hour'!N459,$B$32*'LBMP_by_Year-Month-Hour'!N$486*'LBMP_by_Year-Month-Hour'!N491,$B$33*'LBMP_by_Year-Month-Hour'!N$518*'LBMP_by_Year-Month-Hour'!N523,$B$34*'LBMP_by_Year-Month-Hour'!N$550*'LBMP_by_Year-Month-Hour'!N555,$B$35*'LBMP_by_Year-Month-Hour'!N$582*'LBMP_by_Year-Month-Hour'!N587)*N20/$C$6/24</f>
        <v>0</v>
      </c>
      <c r="P51">
        <v>1</v>
      </c>
      <c r="Q51">
        <f>SUM($B$19*'LBMP_by_Year-Month-Hour'!Q$70*'LBMP_by_Year-Month-Hour'!Q75,$B$20*'LBMP_by_Year-Month-Hour'!Q$102*'LBMP_by_Year-Month-Hour'!Q107,$B$21*'LBMP_by_Year-Month-Hour'!Q$134*'LBMP_by_Year-Month-Hour'!Q139,$B$22*'LBMP_by_Year-Month-Hour'!Q$166*'LBMP_by_Year-Month-Hour'!Q171,$B$23*'LBMP_by_Year-Month-Hour'!Q$198*'LBMP_by_Year-Month-Hour'!Q203,$B$24*'LBMP_by_Year-Month-Hour'!Q$230*'LBMP_by_Year-Month-Hour'!Q235,$B$25*'LBMP_by_Year-Month-Hour'!Q$262*'LBMP_by_Year-Month-Hour'!Q267,$B$26*'LBMP_by_Year-Month-Hour'!Q$294*'LBMP_by_Year-Month-Hour'!Q299,$B$27*'LBMP_by_Year-Month-Hour'!Q$326*'LBMP_by_Year-Month-Hour'!Q331,$B$28*'LBMP_by_Year-Month-Hour'!Q$358*'LBMP_by_Year-Month-Hour'!Q363,$B$29*'LBMP_by_Year-Month-Hour'!Q$390*'LBMP_by_Year-Month-Hour'!Q395,$B$30*'LBMP_by_Year-Month-Hour'!Q$422*'LBMP_by_Year-Month-Hour'!Q427,$B$31*'LBMP_by_Year-Month-Hour'!Q$454*'LBMP_by_Year-Month-Hour'!Q459,$B$32*'LBMP_by_Year-Month-Hour'!Q$486*'LBMP_by_Year-Month-Hour'!Q491,$B$33*'LBMP_by_Year-Month-Hour'!Q$518*'LBMP_by_Year-Month-Hour'!Q523,$B$34*'LBMP_by_Year-Month-Hour'!Q$550*'LBMP_by_Year-Month-Hour'!Q555,$B$35*'LBMP_by_Year-Month-Hour'!Q$582*'LBMP_by_Year-Month-Hour'!Q587)*Q20/$C$6/24</f>
        <v>0</v>
      </c>
      <c r="S51">
        <v>1</v>
      </c>
      <c r="T51">
        <f>SUM($B$19*'LBMP_by_Year-Month-Hour'!T$70*'LBMP_by_Year-Month-Hour'!T75,$B$20*'LBMP_by_Year-Month-Hour'!T$102*'LBMP_by_Year-Month-Hour'!T107,$B$21*'LBMP_by_Year-Month-Hour'!T$134*'LBMP_by_Year-Month-Hour'!T139,$B$22*'LBMP_by_Year-Month-Hour'!T$166*'LBMP_by_Year-Month-Hour'!T171,$B$23*'LBMP_by_Year-Month-Hour'!T$198*'LBMP_by_Year-Month-Hour'!T203,$B$24*'LBMP_by_Year-Month-Hour'!T$230*'LBMP_by_Year-Month-Hour'!T235,$B$25*'LBMP_by_Year-Month-Hour'!T$262*'LBMP_by_Year-Month-Hour'!T267,$B$26*'LBMP_by_Year-Month-Hour'!T$294*'LBMP_by_Year-Month-Hour'!T299,$B$27*'LBMP_by_Year-Month-Hour'!T$326*'LBMP_by_Year-Month-Hour'!T331,$B$28*'LBMP_by_Year-Month-Hour'!T$358*'LBMP_by_Year-Month-Hour'!T363,$B$29*'LBMP_by_Year-Month-Hour'!T$390*'LBMP_by_Year-Month-Hour'!T395,$B$30*'LBMP_by_Year-Month-Hour'!T$422*'LBMP_by_Year-Month-Hour'!T427,$B$31*'LBMP_by_Year-Month-Hour'!T$454*'LBMP_by_Year-Month-Hour'!T459,$B$32*'LBMP_by_Year-Month-Hour'!T$486*'LBMP_by_Year-Month-Hour'!T491,$B$33*'LBMP_by_Year-Month-Hour'!T$518*'LBMP_by_Year-Month-Hour'!T523,$B$34*'LBMP_by_Year-Month-Hour'!T$550*'LBMP_by_Year-Month-Hour'!T555,$B$35*'LBMP_by_Year-Month-Hour'!T$582*'LBMP_by_Year-Month-Hour'!T587)*T20/$C$6/24</f>
        <v>-30996.83404908629</v>
      </c>
      <c r="V51">
        <v>1</v>
      </c>
      <c r="W51">
        <f>SUM($B$19*'LBMP_by_Year-Month-Hour'!W$70*'LBMP_by_Year-Month-Hour'!W75,$B$20*'LBMP_by_Year-Month-Hour'!W$102*'LBMP_by_Year-Month-Hour'!W107,$B$21*'LBMP_by_Year-Month-Hour'!W$134*'LBMP_by_Year-Month-Hour'!W139,$B$22*'LBMP_by_Year-Month-Hour'!W$166*'LBMP_by_Year-Month-Hour'!W171,$B$23*'LBMP_by_Year-Month-Hour'!W$198*'LBMP_by_Year-Month-Hour'!W203,$B$24*'LBMP_by_Year-Month-Hour'!W$230*'LBMP_by_Year-Month-Hour'!W235,$B$25*'LBMP_by_Year-Month-Hour'!W$262*'LBMP_by_Year-Month-Hour'!W267,$B$26*'LBMP_by_Year-Month-Hour'!W$294*'LBMP_by_Year-Month-Hour'!W299,$B$27*'LBMP_by_Year-Month-Hour'!W$326*'LBMP_by_Year-Month-Hour'!W331,$B$28*'LBMP_by_Year-Month-Hour'!W$358*'LBMP_by_Year-Month-Hour'!W363,$B$29*'LBMP_by_Year-Month-Hour'!W$390*'LBMP_by_Year-Month-Hour'!W395,$B$30*'LBMP_by_Year-Month-Hour'!W$422*'LBMP_by_Year-Month-Hour'!W427,$B$31*'LBMP_by_Year-Month-Hour'!W$454*'LBMP_by_Year-Month-Hour'!W459,$B$32*'LBMP_by_Year-Month-Hour'!W$486*'LBMP_by_Year-Month-Hour'!W491,$B$33*'LBMP_by_Year-Month-Hour'!W$518*'LBMP_by_Year-Month-Hour'!W523,$B$34*'LBMP_by_Year-Month-Hour'!W$550*'LBMP_by_Year-Month-Hour'!W555,$B$35*'LBMP_by_Year-Month-Hour'!W$582*'LBMP_by_Year-Month-Hour'!W587)*W20/$C$6/24</f>
        <v>-34342.697222067181</v>
      </c>
      <c r="Y51">
        <v>1</v>
      </c>
      <c r="Z51">
        <f>SUM($B$19*'LBMP_by_Year-Month-Hour'!Z$70*'LBMP_by_Year-Month-Hour'!Z75,$B$20*'LBMP_by_Year-Month-Hour'!Z$102*'LBMP_by_Year-Month-Hour'!Z107,$B$21*'LBMP_by_Year-Month-Hour'!Z$134*'LBMP_by_Year-Month-Hour'!Z139,$B$22*'LBMP_by_Year-Month-Hour'!Z$166*'LBMP_by_Year-Month-Hour'!Z171,$B$23*'LBMP_by_Year-Month-Hour'!Z$198*'LBMP_by_Year-Month-Hour'!Z203,$B$24*'LBMP_by_Year-Month-Hour'!Z$230*'LBMP_by_Year-Month-Hour'!Z235,$B$25*'LBMP_by_Year-Month-Hour'!Z$262*'LBMP_by_Year-Month-Hour'!Z267,$B$26*'LBMP_by_Year-Month-Hour'!Z$294*'LBMP_by_Year-Month-Hour'!Z299,$B$27*'LBMP_by_Year-Month-Hour'!Z$326*'LBMP_by_Year-Month-Hour'!Z331,$B$28*'LBMP_by_Year-Month-Hour'!Z$358*'LBMP_by_Year-Month-Hour'!Z363,$B$29*'LBMP_by_Year-Month-Hour'!Z$390*'LBMP_by_Year-Month-Hour'!Z395,$B$30*'LBMP_by_Year-Month-Hour'!Z$422*'LBMP_by_Year-Month-Hour'!Z427,$B$31*'LBMP_by_Year-Month-Hour'!Z$454*'LBMP_by_Year-Month-Hour'!Z459,$B$32*'LBMP_by_Year-Month-Hour'!Z$486*'LBMP_by_Year-Month-Hour'!Z491,$B$33*'LBMP_by_Year-Month-Hour'!Z$518*'LBMP_by_Year-Month-Hour'!Z523,$B$34*'LBMP_by_Year-Month-Hour'!Z$550*'LBMP_by_Year-Month-Hour'!Z555,$B$35*'LBMP_by_Year-Month-Hour'!Z$582*'LBMP_by_Year-Month-Hour'!Z587)*Z20/$C$6/24</f>
        <v>-32927.031908495526</v>
      </c>
      <c r="AB51">
        <v>1</v>
      </c>
      <c r="AC51">
        <f>SUM($B$19*'LBMP_by_Year-Month-Hour'!AC$70*'LBMP_by_Year-Month-Hour'!AC75,$B$20*'LBMP_by_Year-Month-Hour'!AC$102*'LBMP_by_Year-Month-Hour'!AC107,$B$21*'LBMP_by_Year-Month-Hour'!AC$134*'LBMP_by_Year-Month-Hour'!AC139,$B$22*'LBMP_by_Year-Month-Hour'!AC$166*'LBMP_by_Year-Month-Hour'!AC171,$B$23*'LBMP_by_Year-Month-Hour'!AC$198*'LBMP_by_Year-Month-Hour'!AC203,$B$24*'LBMP_by_Year-Month-Hour'!AC$230*'LBMP_by_Year-Month-Hour'!AC235,$B$25*'LBMP_by_Year-Month-Hour'!AC$262*'LBMP_by_Year-Month-Hour'!AC267,$B$26*'LBMP_by_Year-Month-Hour'!AC$294*'LBMP_by_Year-Month-Hour'!AC299,$B$27*'LBMP_by_Year-Month-Hour'!AC$326*'LBMP_by_Year-Month-Hour'!AC331,$B$28*'LBMP_by_Year-Month-Hour'!AC$358*'LBMP_by_Year-Month-Hour'!AC363,$B$29*'LBMP_by_Year-Month-Hour'!AC$390*'LBMP_by_Year-Month-Hour'!AC395,$B$30*'LBMP_by_Year-Month-Hour'!AC$422*'LBMP_by_Year-Month-Hour'!AC427,$B$31*'LBMP_by_Year-Month-Hour'!AC$454*'LBMP_by_Year-Month-Hour'!AC459,$B$32*'LBMP_by_Year-Month-Hour'!AC$486*'LBMP_by_Year-Month-Hour'!AC491,$B$33*'LBMP_by_Year-Month-Hour'!AC$518*'LBMP_by_Year-Month-Hour'!AC523,$B$34*'LBMP_by_Year-Month-Hour'!AC$550*'LBMP_by_Year-Month-Hour'!AC555,$B$35*'LBMP_by_Year-Month-Hour'!AC$582*'LBMP_by_Year-Month-Hour'!AC587)*AC20/$C$6/24</f>
        <v>-29666.852747512865</v>
      </c>
      <c r="AE51">
        <v>1</v>
      </c>
      <c r="AF51">
        <f>SUM($B$19*'LBMP_by_Year-Month-Hour'!AF$70*'LBMP_by_Year-Month-Hour'!AF75,$B$20*'LBMP_by_Year-Month-Hour'!AF$102*'LBMP_by_Year-Month-Hour'!AF107,$B$21*'LBMP_by_Year-Month-Hour'!AF$134*'LBMP_by_Year-Month-Hour'!AF139,$B$22*'LBMP_by_Year-Month-Hour'!AF$166*'LBMP_by_Year-Month-Hour'!AF171,$B$23*'LBMP_by_Year-Month-Hour'!AF$198*'LBMP_by_Year-Month-Hour'!AF203,$B$24*'LBMP_by_Year-Month-Hour'!AF$230*'LBMP_by_Year-Month-Hour'!AF235,$B$25*'LBMP_by_Year-Month-Hour'!AF$262*'LBMP_by_Year-Month-Hour'!AF267,$B$26*'LBMP_by_Year-Month-Hour'!AF$294*'LBMP_by_Year-Month-Hour'!AF299,$B$27*'LBMP_by_Year-Month-Hour'!AF$326*'LBMP_by_Year-Month-Hour'!AF331,$B$28*'LBMP_by_Year-Month-Hour'!AF$358*'LBMP_by_Year-Month-Hour'!AF363,$B$29*'LBMP_by_Year-Month-Hour'!AF$390*'LBMP_by_Year-Month-Hour'!AF395,$B$30*'LBMP_by_Year-Month-Hour'!AF$422*'LBMP_by_Year-Month-Hour'!AF427,$B$31*'LBMP_by_Year-Month-Hour'!AF$454*'LBMP_by_Year-Month-Hour'!AF459,$B$32*'LBMP_by_Year-Month-Hour'!AF$486*'LBMP_by_Year-Month-Hour'!AF491,$B$33*'LBMP_by_Year-Month-Hour'!AF$518*'LBMP_by_Year-Month-Hour'!AF523,$B$34*'LBMP_by_Year-Month-Hour'!AF$550*'LBMP_by_Year-Month-Hour'!AF555,$B$35*'LBMP_by_Year-Month-Hour'!AF$582*'LBMP_by_Year-Month-Hour'!AF587)*AF20/$C$6/24</f>
        <v>0</v>
      </c>
      <c r="AH51">
        <v>1</v>
      </c>
      <c r="AI51">
        <f>SUM($B$19*'LBMP_by_Year-Month-Hour'!AI$70*'LBMP_by_Year-Month-Hour'!AI75,$B$20*'LBMP_by_Year-Month-Hour'!AI$102*'LBMP_by_Year-Month-Hour'!AI107,$B$21*'LBMP_by_Year-Month-Hour'!AI$134*'LBMP_by_Year-Month-Hour'!AI139,$B$22*'LBMP_by_Year-Month-Hour'!AI$166*'LBMP_by_Year-Month-Hour'!AI171,$B$23*'LBMP_by_Year-Month-Hour'!AI$198*'LBMP_by_Year-Month-Hour'!AI203,$B$24*'LBMP_by_Year-Month-Hour'!AI$230*'LBMP_by_Year-Month-Hour'!AI235,$B$25*'LBMP_by_Year-Month-Hour'!AI$262*'LBMP_by_Year-Month-Hour'!AI267,$B$26*'LBMP_by_Year-Month-Hour'!AI$294*'LBMP_by_Year-Month-Hour'!AI299,$B$27*'LBMP_by_Year-Month-Hour'!AI$326*'LBMP_by_Year-Month-Hour'!AI331,$B$28*'LBMP_by_Year-Month-Hour'!AI$358*'LBMP_by_Year-Month-Hour'!AI363,$B$29*'LBMP_by_Year-Month-Hour'!AI$390*'LBMP_by_Year-Month-Hour'!AI395,$B$30*'LBMP_by_Year-Month-Hour'!AI$422*'LBMP_by_Year-Month-Hour'!AI427,$B$31*'LBMP_by_Year-Month-Hour'!AI$454*'LBMP_by_Year-Month-Hour'!AI459,$B$32*'LBMP_by_Year-Month-Hour'!AI$486*'LBMP_by_Year-Month-Hour'!AI491,$B$33*'LBMP_by_Year-Month-Hour'!AI$518*'LBMP_by_Year-Month-Hour'!AI523,$B$34*'LBMP_by_Year-Month-Hour'!AI$550*'LBMP_by_Year-Month-Hour'!AI555,$B$35*'LBMP_by_Year-Month-Hour'!AI$582*'LBMP_by_Year-Month-Hour'!AI587)*AI20/$C$6/24</f>
        <v>0</v>
      </c>
      <c r="AK51">
        <v>1</v>
      </c>
      <c r="AL51">
        <f>SUM($B$19*'LBMP_by_Year-Month-Hour'!AL$70*'LBMP_by_Year-Month-Hour'!AL75,$B$20*'LBMP_by_Year-Month-Hour'!AL$102*'LBMP_by_Year-Month-Hour'!AL107,$B$21*'LBMP_by_Year-Month-Hour'!AL$134*'LBMP_by_Year-Month-Hour'!AL139,$B$22*'LBMP_by_Year-Month-Hour'!AL$166*'LBMP_by_Year-Month-Hour'!AL171,$B$23*'LBMP_by_Year-Month-Hour'!AL$198*'LBMP_by_Year-Month-Hour'!AL203,$B$24*'LBMP_by_Year-Month-Hour'!AL$230*'LBMP_by_Year-Month-Hour'!AL235,$B$25*'LBMP_by_Year-Month-Hour'!AL$262*'LBMP_by_Year-Month-Hour'!AL267,$B$26*'LBMP_by_Year-Month-Hour'!AL$294*'LBMP_by_Year-Month-Hour'!AL299,$B$27*'LBMP_by_Year-Month-Hour'!AL$326*'LBMP_by_Year-Month-Hour'!AL331,$B$28*'LBMP_by_Year-Month-Hour'!AL$358*'LBMP_by_Year-Month-Hour'!AL363,$B$29*'LBMP_by_Year-Month-Hour'!AL$390*'LBMP_by_Year-Month-Hour'!AL395,$B$30*'LBMP_by_Year-Month-Hour'!AL$422*'LBMP_by_Year-Month-Hour'!AL427,$B$31*'LBMP_by_Year-Month-Hour'!AL$454*'LBMP_by_Year-Month-Hour'!AL459,$B$32*'LBMP_by_Year-Month-Hour'!AL$486*'LBMP_by_Year-Month-Hour'!AL491,$B$33*'LBMP_by_Year-Month-Hour'!AL$518*'LBMP_by_Year-Month-Hour'!AL523,$B$34*'LBMP_by_Year-Month-Hour'!AL$550*'LBMP_by_Year-Month-Hour'!AL555,$B$35*'LBMP_by_Year-Month-Hour'!AL$582*'LBMP_by_Year-Month-Hour'!AL587)*AL20/$C$6/24</f>
        <v>0</v>
      </c>
    </row>
    <row r="52" spans="1:38">
      <c r="A52">
        <v>2</v>
      </c>
      <c r="B52">
        <f t="shared" si="9"/>
        <v>-123621.79866503597</v>
      </c>
      <c r="D52">
        <v>2</v>
      </c>
      <c r="E52">
        <f>SUM($B$19*'LBMP_by_Year-Month-Hour'!E$70*'LBMP_by_Year-Month-Hour'!E76,$B$20*'LBMP_by_Year-Month-Hour'!E$102*'LBMP_by_Year-Month-Hour'!E108,$B$21*'LBMP_by_Year-Month-Hour'!E$134*'LBMP_by_Year-Month-Hour'!E140,$B$22*'LBMP_by_Year-Month-Hour'!E$166*'LBMP_by_Year-Month-Hour'!E172,$B$23*'LBMP_by_Year-Month-Hour'!E$198*'LBMP_by_Year-Month-Hour'!E204,$B$24*'LBMP_by_Year-Month-Hour'!E$230*'LBMP_by_Year-Month-Hour'!E236,$B$25*'LBMP_by_Year-Month-Hour'!E$262*'LBMP_by_Year-Month-Hour'!E268,$B$26*'LBMP_by_Year-Month-Hour'!E$294*'LBMP_by_Year-Month-Hour'!E300,$B$27*'LBMP_by_Year-Month-Hour'!E$326*'LBMP_by_Year-Month-Hour'!E332,$B$28*'LBMP_by_Year-Month-Hour'!E$358*'LBMP_by_Year-Month-Hour'!E364,$B$29*'LBMP_by_Year-Month-Hour'!E$390*'LBMP_by_Year-Month-Hour'!E396,$B$30*'LBMP_by_Year-Month-Hour'!E$422*'LBMP_by_Year-Month-Hour'!E428,$B$31*'LBMP_by_Year-Month-Hour'!E$454*'LBMP_by_Year-Month-Hour'!E460,$B$32*'LBMP_by_Year-Month-Hour'!E$486*'LBMP_by_Year-Month-Hour'!E492,$B$33*'LBMP_by_Year-Month-Hour'!E$518*'LBMP_by_Year-Month-Hour'!E524,$B$34*'LBMP_by_Year-Month-Hour'!E$550*'LBMP_by_Year-Month-Hour'!E556,$B$35*'LBMP_by_Year-Month-Hour'!E$582*'LBMP_by_Year-Month-Hour'!E588)*E21/$C$6/24</f>
        <v>0</v>
      </c>
      <c r="G52">
        <v>2</v>
      </c>
      <c r="H52">
        <f>SUM($B$19*'LBMP_by_Year-Month-Hour'!H$70*'LBMP_by_Year-Month-Hour'!H76,$B$20*'LBMP_by_Year-Month-Hour'!H$102*'LBMP_by_Year-Month-Hour'!H108,$B$21*'LBMP_by_Year-Month-Hour'!H$134*'LBMP_by_Year-Month-Hour'!H140,$B$22*'LBMP_by_Year-Month-Hour'!H$166*'LBMP_by_Year-Month-Hour'!H172,$B$23*'LBMP_by_Year-Month-Hour'!H$198*'LBMP_by_Year-Month-Hour'!H204,$B$24*'LBMP_by_Year-Month-Hour'!H$230*'LBMP_by_Year-Month-Hour'!H236,$B$25*'LBMP_by_Year-Month-Hour'!H$262*'LBMP_by_Year-Month-Hour'!H268,$B$26*'LBMP_by_Year-Month-Hour'!H$294*'LBMP_by_Year-Month-Hour'!H300,$B$27*'LBMP_by_Year-Month-Hour'!H$326*'LBMP_by_Year-Month-Hour'!H332,$B$28*'LBMP_by_Year-Month-Hour'!H$358*'LBMP_by_Year-Month-Hour'!H364,$B$29*'LBMP_by_Year-Month-Hour'!H$390*'LBMP_by_Year-Month-Hour'!H396,$B$30*'LBMP_by_Year-Month-Hour'!H$422*'LBMP_by_Year-Month-Hour'!H428,$B$31*'LBMP_by_Year-Month-Hour'!H$454*'LBMP_by_Year-Month-Hour'!H460,$B$32*'LBMP_by_Year-Month-Hour'!H$486*'LBMP_by_Year-Month-Hour'!H492,$B$33*'LBMP_by_Year-Month-Hour'!H$518*'LBMP_by_Year-Month-Hour'!H524,$B$34*'LBMP_by_Year-Month-Hour'!H$550*'LBMP_by_Year-Month-Hour'!H556,$B$35*'LBMP_by_Year-Month-Hour'!H$582*'LBMP_by_Year-Month-Hour'!H588)*H21/$C$6/24</f>
        <v>0</v>
      </c>
      <c r="J52">
        <v>2</v>
      </c>
      <c r="K52">
        <f>SUM($B$19*'LBMP_by_Year-Month-Hour'!K$70*'LBMP_by_Year-Month-Hour'!K76,$B$20*'LBMP_by_Year-Month-Hour'!K$102*'LBMP_by_Year-Month-Hour'!K108,$B$21*'LBMP_by_Year-Month-Hour'!K$134*'LBMP_by_Year-Month-Hour'!K140,$B$22*'LBMP_by_Year-Month-Hour'!K$166*'LBMP_by_Year-Month-Hour'!K172,$B$23*'LBMP_by_Year-Month-Hour'!K$198*'LBMP_by_Year-Month-Hour'!K204,$B$24*'LBMP_by_Year-Month-Hour'!K$230*'LBMP_by_Year-Month-Hour'!K236,$B$25*'LBMP_by_Year-Month-Hour'!K$262*'LBMP_by_Year-Month-Hour'!K268,$B$26*'LBMP_by_Year-Month-Hour'!K$294*'LBMP_by_Year-Month-Hour'!K300,$B$27*'LBMP_by_Year-Month-Hour'!K$326*'LBMP_by_Year-Month-Hour'!K332,$B$28*'LBMP_by_Year-Month-Hour'!K$358*'LBMP_by_Year-Month-Hour'!K364,$B$29*'LBMP_by_Year-Month-Hour'!K$390*'LBMP_by_Year-Month-Hour'!K396,$B$30*'LBMP_by_Year-Month-Hour'!K$422*'LBMP_by_Year-Month-Hour'!K428,$B$31*'LBMP_by_Year-Month-Hour'!K$454*'LBMP_by_Year-Month-Hour'!K460,$B$32*'LBMP_by_Year-Month-Hour'!K$486*'LBMP_by_Year-Month-Hour'!K492,$B$33*'LBMP_by_Year-Month-Hour'!K$518*'LBMP_by_Year-Month-Hour'!K524,$B$34*'LBMP_by_Year-Month-Hour'!K$550*'LBMP_by_Year-Month-Hour'!K556,$B$35*'LBMP_by_Year-Month-Hour'!K$582*'LBMP_by_Year-Month-Hour'!K588)*K21/$C$6/24</f>
        <v>0</v>
      </c>
      <c r="M52">
        <v>2</v>
      </c>
      <c r="N52">
        <f>SUM($B$19*'LBMP_by_Year-Month-Hour'!N$70*'LBMP_by_Year-Month-Hour'!N76,$B$20*'LBMP_by_Year-Month-Hour'!N$102*'LBMP_by_Year-Month-Hour'!N108,$B$21*'LBMP_by_Year-Month-Hour'!N$134*'LBMP_by_Year-Month-Hour'!N140,$B$22*'LBMP_by_Year-Month-Hour'!N$166*'LBMP_by_Year-Month-Hour'!N172,$B$23*'LBMP_by_Year-Month-Hour'!N$198*'LBMP_by_Year-Month-Hour'!N204,$B$24*'LBMP_by_Year-Month-Hour'!N$230*'LBMP_by_Year-Month-Hour'!N236,$B$25*'LBMP_by_Year-Month-Hour'!N$262*'LBMP_by_Year-Month-Hour'!N268,$B$26*'LBMP_by_Year-Month-Hour'!N$294*'LBMP_by_Year-Month-Hour'!N300,$B$27*'LBMP_by_Year-Month-Hour'!N$326*'LBMP_by_Year-Month-Hour'!N332,$B$28*'LBMP_by_Year-Month-Hour'!N$358*'LBMP_by_Year-Month-Hour'!N364,$B$29*'LBMP_by_Year-Month-Hour'!N$390*'LBMP_by_Year-Month-Hour'!N396,$B$30*'LBMP_by_Year-Month-Hour'!N$422*'LBMP_by_Year-Month-Hour'!N428,$B$31*'LBMP_by_Year-Month-Hour'!N$454*'LBMP_by_Year-Month-Hour'!N460,$B$32*'LBMP_by_Year-Month-Hour'!N$486*'LBMP_by_Year-Month-Hour'!N492,$B$33*'LBMP_by_Year-Month-Hour'!N$518*'LBMP_by_Year-Month-Hour'!N524,$B$34*'LBMP_by_Year-Month-Hour'!N$550*'LBMP_by_Year-Month-Hour'!N556,$B$35*'LBMP_by_Year-Month-Hour'!N$582*'LBMP_by_Year-Month-Hour'!N588)*N21/$C$6/24</f>
        <v>0</v>
      </c>
      <c r="P52">
        <v>2</v>
      </c>
      <c r="Q52">
        <f>SUM($B$19*'LBMP_by_Year-Month-Hour'!Q$70*'LBMP_by_Year-Month-Hour'!Q76,$B$20*'LBMP_by_Year-Month-Hour'!Q$102*'LBMP_by_Year-Month-Hour'!Q108,$B$21*'LBMP_by_Year-Month-Hour'!Q$134*'LBMP_by_Year-Month-Hour'!Q140,$B$22*'LBMP_by_Year-Month-Hour'!Q$166*'LBMP_by_Year-Month-Hour'!Q172,$B$23*'LBMP_by_Year-Month-Hour'!Q$198*'LBMP_by_Year-Month-Hour'!Q204,$B$24*'LBMP_by_Year-Month-Hour'!Q$230*'LBMP_by_Year-Month-Hour'!Q236,$B$25*'LBMP_by_Year-Month-Hour'!Q$262*'LBMP_by_Year-Month-Hour'!Q268,$B$26*'LBMP_by_Year-Month-Hour'!Q$294*'LBMP_by_Year-Month-Hour'!Q300,$B$27*'LBMP_by_Year-Month-Hour'!Q$326*'LBMP_by_Year-Month-Hour'!Q332,$B$28*'LBMP_by_Year-Month-Hour'!Q$358*'LBMP_by_Year-Month-Hour'!Q364,$B$29*'LBMP_by_Year-Month-Hour'!Q$390*'LBMP_by_Year-Month-Hour'!Q396,$B$30*'LBMP_by_Year-Month-Hour'!Q$422*'LBMP_by_Year-Month-Hour'!Q428,$B$31*'LBMP_by_Year-Month-Hour'!Q$454*'LBMP_by_Year-Month-Hour'!Q460,$B$32*'LBMP_by_Year-Month-Hour'!Q$486*'LBMP_by_Year-Month-Hour'!Q492,$B$33*'LBMP_by_Year-Month-Hour'!Q$518*'LBMP_by_Year-Month-Hour'!Q524,$B$34*'LBMP_by_Year-Month-Hour'!Q$550*'LBMP_by_Year-Month-Hour'!Q556,$B$35*'LBMP_by_Year-Month-Hour'!Q$582*'LBMP_by_Year-Month-Hour'!Q588)*Q21/$C$6/24</f>
        <v>0</v>
      </c>
      <c r="S52">
        <v>2</v>
      </c>
      <c r="T52">
        <f>SUM($B$19*'LBMP_by_Year-Month-Hour'!T$70*'LBMP_by_Year-Month-Hour'!T76,$B$20*'LBMP_by_Year-Month-Hour'!T$102*'LBMP_by_Year-Month-Hour'!T108,$B$21*'LBMP_by_Year-Month-Hour'!T$134*'LBMP_by_Year-Month-Hour'!T140,$B$22*'LBMP_by_Year-Month-Hour'!T$166*'LBMP_by_Year-Month-Hour'!T172,$B$23*'LBMP_by_Year-Month-Hour'!T$198*'LBMP_by_Year-Month-Hour'!T204,$B$24*'LBMP_by_Year-Month-Hour'!T$230*'LBMP_by_Year-Month-Hour'!T236,$B$25*'LBMP_by_Year-Month-Hour'!T$262*'LBMP_by_Year-Month-Hour'!T268,$B$26*'LBMP_by_Year-Month-Hour'!T$294*'LBMP_by_Year-Month-Hour'!T300,$B$27*'LBMP_by_Year-Month-Hour'!T$326*'LBMP_by_Year-Month-Hour'!T332,$B$28*'LBMP_by_Year-Month-Hour'!T$358*'LBMP_by_Year-Month-Hour'!T364,$B$29*'LBMP_by_Year-Month-Hour'!T$390*'LBMP_by_Year-Month-Hour'!T396,$B$30*'LBMP_by_Year-Month-Hour'!T$422*'LBMP_by_Year-Month-Hour'!T428,$B$31*'LBMP_by_Year-Month-Hour'!T$454*'LBMP_by_Year-Month-Hour'!T460,$B$32*'LBMP_by_Year-Month-Hour'!T$486*'LBMP_by_Year-Month-Hour'!T492,$B$33*'LBMP_by_Year-Month-Hour'!T$518*'LBMP_by_Year-Month-Hour'!T524,$B$34*'LBMP_by_Year-Month-Hour'!T$550*'LBMP_by_Year-Month-Hour'!T556,$B$35*'LBMP_by_Year-Month-Hour'!T$582*'LBMP_by_Year-Month-Hour'!T588)*T21/$C$6/24</f>
        <v>-29954.935102587668</v>
      </c>
      <c r="V52">
        <v>2</v>
      </c>
      <c r="W52">
        <f>SUM($B$19*'LBMP_by_Year-Month-Hour'!W$70*'LBMP_by_Year-Month-Hour'!W76,$B$20*'LBMP_by_Year-Month-Hour'!W$102*'LBMP_by_Year-Month-Hour'!W108,$B$21*'LBMP_by_Year-Month-Hour'!W$134*'LBMP_by_Year-Month-Hour'!W140,$B$22*'LBMP_by_Year-Month-Hour'!W$166*'LBMP_by_Year-Month-Hour'!W172,$B$23*'LBMP_by_Year-Month-Hour'!W$198*'LBMP_by_Year-Month-Hour'!W204,$B$24*'LBMP_by_Year-Month-Hour'!W$230*'LBMP_by_Year-Month-Hour'!W236,$B$25*'LBMP_by_Year-Month-Hour'!W$262*'LBMP_by_Year-Month-Hour'!W268,$B$26*'LBMP_by_Year-Month-Hour'!W$294*'LBMP_by_Year-Month-Hour'!W300,$B$27*'LBMP_by_Year-Month-Hour'!W$326*'LBMP_by_Year-Month-Hour'!W332,$B$28*'LBMP_by_Year-Month-Hour'!W$358*'LBMP_by_Year-Month-Hour'!W364,$B$29*'LBMP_by_Year-Month-Hour'!W$390*'LBMP_by_Year-Month-Hour'!W396,$B$30*'LBMP_by_Year-Month-Hour'!W$422*'LBMP_by_Year-Month-Hour'!W428,$B$31*'LBMP_by_Year-Month-Hour'!W$454*'LBMP_by_Year-Month-Hour'!W460,$B$32*'LBMP_by_Year-Month-Hour'!W$486*'LBMP_by_Year-Month-Hour'!W492,$B$33*'LBMP_by_Year-Month-Hour'!W$518*'LBMP_by_Year-Month-Hour'!W524,$B$34*'LBMP_by_Year-Month-Hour'!W$550*'LBMP_by_Year-Month-Hour'!W556,$B$35*'LBMP_by_Year-Month-Hour'!W$582*'LBMP_by_Year-Month-Hour'!W588)*W21/$C$6/24</f>
        <v>-33384.154273348802</v>
      </c>
      <c r="Y52">
        <v>2</v>
      </c>
      <c r="Z52">
        <f>SUM($B$19*'LBMP_by_Year-Month-Hour'!Z$70*'LBMP_by_Year-Month-Hour'!Z76,$B$20*'LBMP_by_Year-Month-Hour'!Z$102*'LBMP_by_Year-Month-Hour'!Z108,$B$21*'LBMP_by_Year-Month-Hour'!Z$134*'LBMP_by_Year-Month-Hour'!Z140,$B$22*'LBMP_by_Year-Month-Hour'!Z$166*'LBMP_by_Year-Month-Hour'!Z172,$B$23*'LBMP_by_Year-Month-Hour'!Z$198*'LBMP_by_Year-Month-Hour'!Z204,$B$24*'LBMP_by_Year-Month-Hour'!Z$230*'LBMP_by_Year-Month-Hour'!Z236,$B$25*'LBMP_by_Year-Month-Hour'!Z$262*'LBMP_by_Year-Month-Hour'!Z268,$B$26*'LBMP_by_Year-Month-Hour'!Z$294*'LBMP_by_Year-Month-Hour'!Z300,$B$27*'LBMP_by_Year-Month-Hour'!Z$326*'LBMP_by_Year-Month-Hour'!Z332,$B$28*'LBMP_by_Year-Month-Hour'!Z$358*'LBMP_by_Year-Month-Hour'!Z364,$B$29*'LBMP_by_Year-Month-Hour'!Z$390*'LBMP_by_Year-Month-Hour'!Z396,$B$30*'LBMP_by_Year-Month-Hour'!Z$422*'LBMP_by_Year-Month-Hour'!Z428,$B$31*'LBMP_by_Year-Month-Hour'!Z$454*'LBMP_by_Year-Month-Hour'!Z460,$B$32*'LBMP_by_Year-Month-Hour'!Z$486*'LBMP_by_Year-Month-Hour'!Z492,$B$33*'LBMP_by_Year-Month-Hour'!Z$518*'LBMP_by_Year-Month-Hour'!Z524,$B$34*'LBMP_by_Year-Month-Hour'!Z$550*'LBMP_by_Year-Month-Hour'!Z556,$B$35*'LBMP_by_Year-Month-Hour'!Z$582*'LBMP_by_Year-Month-Hour'!Z588)*Z21/$C$6/24</f>
        <v>-31780.291057128994</v>
      </c>
      <c r="AB52">
        <v>2</v>
      </c>
      <c r="AC52">
        <f>SUM($B$19*'LBMP_by_Year-Month-Hour'!AC$70*'LBMP_by_Year-Month-Hour'!AC76,$B$20*'LBMP_by_Year-Month-Hour'!AC$102*'LBMP_by_Year-Month-Hour'!AC108,$B$21*'LBMP_by_Year-Month-Hour'!AC$134*'LBMP_by_Year-Month-Hour'!AC140,$B$22*'LBMP_by_Year-Month-Hour'!AC$166*'LBMP_by_Year-Month-Hour'!AC172,$B$23*'LBMP_by_Year-Month-Hour'!AC$198*'LBMP_by_Year-Month-Hour'!AC204,$B$24*'LBMP_by_Year-Month-Hour'!AC$230*'LBMP_by_Year-Month-Hour'!AC236,$B$25*'LBMP_by_Year-Month-Hour'!AC$262*'LBMP_by_Year-Month-Hour'!AC268,$B$26*'LBMP_by_Year-Month-Hour'!AC$294*'LBMP_by_Year-Month-Hour'!AC300,$B$27*'LBMP_by_Year-Month-Hour'!AC$326*'LBMP_by_Year-Month-Hour'!AC332,$B$28*'LBMP_by_Year-Month-Hour'!AC$358*'LBMP_by_Year-Month-Hour'!AC364,$B$29*'LBMP_by_Year-Month-Hour'!AC$390*'LBMP_by_Year-Month-Hour'!AC396,$B$30*'LBMP_by_Year-Month-Hour'!AC$422*'LBMP_by_Year-Month-Hour'!AC428,$B$31*'LBMP_by_Year-Month-Hour'!AC$454*'LBMP_by_Year-Month-Hour'!AC460,$B$32*'LBMP_by_Year-Month-Hour'!AC$486*'LBMP_by_Year-Month-Hour'!AC492,$B$33*'LBMP_by_Year-Month-Hour'!AC$518*'LBMP_by_Year-Month-Hour'!AC524,$B$34*'LBMP_by_Year-Month-Hour'!AC$550*'LBMP_by_Year-Month-Hour'!AC556,$B$35*'LBMP_by_Year-Month-Hour'!AC$582*'LBMP_by_Year-Month-Hour'!AC588)*AC21/$C$6/24</f>
        <v>-28502.418231970503</v>
      </c>
      <c r="AE52">
        <v>2</v>
      </c>
      <c r="AF52">
        <f>SUM($B$19*'LBMP_by_Year-Month-Hour'!AF$70*'LBMP_by_Year-Month-Hour'!AF76,$B$20*'LBMP_by_Year-Month-Hour'!AF$102*'LBMP_by_Year-Month-Hour'!AF108,$B$21*'LBMP_by_Year-Month-Hour'!AF$134*'LBMP_by_Year-Month-Hour'!AF140,$B$22*'LBMP_by_Year-Month-Hour'!AF$166*'LBMP_by_Year-Month-Hour'!AF172,$B$23*'LBMP_by_Year-Month-Hour'!AF$198*'LBMP_by_Year-Month-Hour'!AF204,$B$24*'LBMP_by_Year-Month-Hour'!AF$230*'LBMP_by_Year-Month-Hour'!AF236,$B$25*'LBMP_by_Year-Month-Hour'!AF$262*'LBMP_by_Year-Month-Hour'!AF268,$B$26*'LBMP_by_Year-Month-Hour'!AF$294*'LBMP_by_Year-Month-Hour'!AF300,$B$27*'LBMP_by_Year-Month-Hour'!AF$326*'LBMP_by_Year-Month-Hour'!AF332,$B$28*'LBMP_by_Year-Month-Hour'!AF$358*'LBMP_by_Year-Month-Hour'!AF364,$B$29*'LBMP_by_Year-Month-Hour'!AF$390*'LBMP_by_Year-Month-Hour'!AF396,$B$30*'LBMP_by_Year-Month-Hour'!AF$422*'LBMP_by_Year-Month-Hour'!AF428,$B$31*'LBMP_by_Year-Month-Hour'!AF$454*'LBMP_by_Year-Month-Hour'!AF460,$B$32*'LBMP_by_Year-Month-Hour'!AF$486*'LBMP_by_Year-Month-Hour'!AF492,$B$33*'LBMP_by_Year-Month-Hour'!AF$518*'LBMP_by_Year-Month-Hour'!AF524,$B$34*'LBMP_by_Year-Month-Hour'!AF$550*'LBMP_by_Year-Month-Hour'!AF556,$B$35*'LBMP_by_Year-Month-Hour'!AF$582*'LBMP_by_Year-Month-Hour'!AF588)*AF21/$C$6/24</f>
        <v>0</v>
      </c>
      <c r="AH52">
        <v>2</v>
      </c>
      <c r="AI52">
        <f>SUM($B$19*'LBMP_by_Year-Month-Hour'!AI$70*'LBMP_by_Year-Month-Hour'!AI76,$B$20*'LBMP_by_Year-Month-Hour'!AI$102*'LBMP_by_Year-Month-Hour'!AI108,$B$21*'LBMP_by_Year-Month-Hour'!AI$134*'LBMP_by_Year-Month-Hour'!AI140,$B$22*'LBMP_by_Year-Month-Hour'!AI$166*'LBMP_by_Year-Month-Hour'!AI172,$B$23*'LBMP_by_Year-Month-Hour'!AI$198*'LBMP_by_Year-Month-Hour'!AI204,$B$24*'LBMP_by_Year-Month-Hour'!AI$230*'LBMP_by_Year-Month-Hour'!AI236,$B$25*'LBMP_by_Year-Month-Hour'!AI$262*'LBMP_by_Year-Month-Hour'!AI268,$B$26*'LBMP_by_Year-Month-Hour'!AI$294*'LBMP_by_Year-Month-Hour'!AI300,$B$27*'LBMP_by_Year-Month-Hour'!AI$326*'LBMP_by_Year-Month-Hour'!AI332,$B$28*'LBMP_by_Year-Month-Hour'!AI$358*'LBMP_by_Year-Month-Hour'!AI364,$B$29*'LBMP_by_Year-Month-Hour'!AI$390*'LBMP_by_Year-Month-Hour'!AI396,$B$30*'LBMP_by_Year-Month-Hour'!AI$422*'LBMP_by_Year-Month-Hour'!AI428,$B$31*'LBMP_by_Year-Month-Hour'!AI$454*'LBMP_by_Year-Month-Hour'!AI460,$B$32*'LBMP_by_Year-Month-Hour'!AI$486*'LBMP_by_Year-Month-Hour'!AI492,$B$33*'LBMP_by_Year-Month-Hour'!AI$518*'LBMP_by_Year-Month-Hour'!AI524,$B$34*'LBMP_by_Year-Month-Hour'!AI$550*'LBMP_by_Year-Month-Hour'!AI556,$B$35*'LBMP_by_Year-Month-Hour'!AI$582*'LBMP_by_Year-Month-Hour'!AI588)*AI21/$C$6/24</f>
        <v>0</v>
      </c>
      <c r="AK52">
        <v>2</v>
      </c>
      <c r="AL52">
        <f>SUM($B$19*'LBMP_by_Year-Month-Hour'!AL$70*'LBMP_by_Year-Month-Hour'!AL76,$B$20*'LBMP_by_Year-Month-Hour'!AL$102*'LBMP_by_Year-Month-Hour'!AL108,$B$21*'LBMP_by_Year-Month-Hour'!AL$134*'LBMP_by_Year-Month-Hour'!AL140,$B$22*'LBMP_by_Year-Month-Hour'!AL$166*'LBMP_by_Year-Month-Hour'!AL172,$B$23*'LBMP_by_Year-Month-Hour'!AL$198*'LBMP_by_Year-Month-Hour'!AL204,$B$24*'LBMP_by_Year-Month-Hour'!AL$230*'LBMP_by_Year-Month-Hour'!AL236,$B$25*'LBMP_by_Year-Month-Hour'!AL$262*'LBMP_by_Year-Month-Hour'!AL268,$B$26*'LBMP_by_Year-Month-Hour'!AL$294*'LBMP_by_Year-Month-Hour'!AL300,$B$27*'LBMP_by_Year-Month-Hour'!AL$326*'LBMP_by_Year-Month-Hour'!AL332,$B$28*'LBMP_by_Year-Month-Hour'!AL$358*'LBMP_by_Year-Month-Hour'!AL364,$B$29*'LBMP_by_Year-Month-Hour'!AL$390*'LBMP_by_Year-Month-Hour'!AL396,$B$30*'LBMP_by_Year-Month-Hour'!AL$422*'LBMP_by_Year-Month-Hour'!AL428,$B$31*'LBMP_by_Year-Month-Hour'!AL$454*'LBMP_by_Year-Month-Hour'!AL460,$B$32*'LBMP_by_Year-Month-Hour'!AL$486*'LBMP_by_Year-Month-Hour'!AL492,$B$33*'LBMP_by_Year-Month-Hour'!AL$518*'LBMP_by_Year-Month-Hour'!AL524,$B$34*'LBMP_by_Year-Month-Hour'!AL$550*'LBMP_by_Year-Month-Hour'!AL556,$B$35*'LBMP_by_Year-Month-Hour'!AL$582*'LBMP_by_Year-Month-Hour'!AL588)*AL21/$C$6/24</f>
        <v>0</v>
      </c>
    </row>
    <row r="53" spans="1:38">
      <c r="A53">
        <v>3</v>
      </c>
      <c r="B53">
        <f t="shared" si="9"/>
        <v>-120479.85890820927</v>
      </c>
      <c r="D53">
        <v>3</v>
      </c>
      <c r="E53">
        <f>SUM($B$19*'LBMP_by_Year-Month-Hour'!E$70*'LBMP_by_Year-Month-Hour'!E77,$B$20*'LBMP_by_Year-Month-Hour'!E$102*'LBMP_by_Year-Month-Hour'!E109,$B$21*'LBMP_by_Year-Month-Hour'!E$134*'LBMP_by_Year-Month-Hour'!E141,$B$22*'LBMP_by_Year-Month-Hour'!E$166*'LBMP_by_Year-Month-Hour'!E173,$B$23*'LBMP_by_Year-Month-Hour'!E$198*'LBMP_by_Year-Month-Hour'!E205,$B$24*'LBMP_by_Year-Month-Hour'!E$230*'LBMP_by_Year-Month-Hour'!E237,$B$25*'LBMP_by_Year-Month-Hour'!E$262*'LBMP_by_Year-Month-Hour'!E269,$B$26*'LBMP_by_Year-Month-Hour'!E$294*'LBMP_by_Year-Month-Hour'!E301,$B$27*'LBMP_by_Year-Month-Hour'!E$326*'LBMP_by_Year-Month-Hour'!E333,$B$28*'LBMP_by_Year-Month-Hour'!E$358*'LBMP_by_Year-Month-Hour'!E365,$B$29*'LBMP_by_Year-Month-Hour'!E$390*'LBMP_by_Year-Month-Hour'!E397,$B$30*'LBMP_by_Year-Month-Hour'!E$422*'LBMP_by_Year-Month-Hour'!E429,$B$31*'LBMP_by_Year-Month-Hour'!E$454*'LBMP_by_Year-Month-Hour'!E461,$B$32*'LBMP_by_Year-Month-Hour'!E$486*'LBMP_by_Year-Month-Hour'!E493,$B$33*'LBMP_by_Year-Month-Hour'!E$518*'LBMP_by_Year-Month-Hour'!E525,$B$34*'LBMP_by_Year-Month-Hour'!E$550*'LBMP_by_Year-Month-Hour'!E557,$B$35*'LBMP_by_Year-Month-Hour'!E$582*'LBMP_by_Year-Month-Hour'!E589)*E22/$C$6/24</f>
        <v>0</v>
      </c>
      <c r="G53">
        <v>3</v>
      </c>
      <c r="H53">
        <f>SUM($B$19*'LBMP_by_Year-Month-Hour'!H$70*'LBMP_by_Year-Month-Hour'!H77,$B$20*'LBMP_by_Year-Month-Hour'!H$102*'LBMP_by_Year-Month-Hour'!H109,$B$21*'LBMP_by_Year-Month-Hour'!H$134*'LBMP_by_Year-Month-Hour'!H141,$B$22*'LBMP_by_Year-Month-Hour'!H$166*'LBMP_by_Year-Month-Hour'!H173,$B$23*'LBMP_by_Year-Month-Hour'!H$198*'LBMP_by_Year-Month-Hour'!H205,$B$24*'LBMP_by_Year-Month-Hour'!H$230*'LBMP_by_Year-Month-Hour'!H237,$B$25*'LBMP_by_Year-Month-Hour'!H$262*'LBMP_by_Year-Month-Hour'!H269,$B$26*'LBMP_by_Year-Month-Hour'!H$294*'LBMP_by_Year-Month-Hour'!H301,$B$27*'LBMP_by_Year-Month-Hour'!H$326*'LBMP_by_Year-Month-Hour'!H333,$B$28*'LBMP_by_Year-Month-Hour'!H$358*'LBMP_by_Year-Month-Hour'!H365,$B$29*'LBMP_by_Year-Month-Hour'!H$390*'LBMP_by_Year-Month-Hour'!H397,$B$30*'LBMP_by_Year-Month-Hour'!H$422*'LBMP_by_Year-Month-Hour'!H429,$B$31*'LBMP_by_Year-Month-Hour'!H$454*'LBMP_by_Year-Month-Hour'!H461,$B$32*'LBMP_by_Year-Month-Hour'!H$486*'LBMP_by_Year-Month-Hour'!H493,$B$33*'LBMP_by_Year-Month-Hour'!H$518*'LBMP_by_Year-Month-Hour'!H525,$B$34*'LBMP_by_Year-Month-Hour'!H$550*'LBMP_by_Year-Month-Hour'!H557,$B$35*'LBMP_by_Year-Month-Hour'!H$582*'LBMP_by_Year-Month-Hour'!H589)*H22/$C$6/24</f>
        <v>0</v>
      </c>
      <c r="J53">
        <v>3</v>
      </c>
      <c r="K53">
        <f>SUM($B$19*'LBMP_by_Year-Month-Hour'!K$70*'LBMP_by_Year-Month-Hour'!K77,$B$20*'LBMP_by_Year-Month-Hour'!K$102*'LBMP_by_Year-Month-Hour'!K109,$B$21*'LBMP_by_Year-Month-Hour'!K$134*'LBMP_by_Year-Month-Hour'!K141,$B$22*'LBMP_by_Year-Month-Hour'!K$166*'LBMP_by_Year-Month-Hour'!K173,$B$23*'LBMP_by_Year-Month-Hour'!K$198*'LBMP_by_Year-Month-Hour'!K205,$B$24*'LBMP_by_Year-Month-Hour'!K$230*'LBMP_by_Year-Month-Hour'!K237,$B$25*'LBMP_by_Year-Month-Hour'!K$262*'LBMP_by_Year-Month-Hour'!K269,$B$26*'LBMP_by_Year-Month-Hour'!K$294*'LBMP_by_Year-Month-Hour'!K301,$B$27*'LBMP_by_Year-Month-Hour'!K$326*'LBMP_by_Year-Month-Hour'!K333,$B$28*'LBMP_by_Year-Month-Hour'!K$358*'LBMP_by_Year-Month-Hour'!K365,$B$29*'LBMP_by_Year-Month-Hour'!K$390*'LBMP_by_Year-Month-Hour'!K397,$B$30*'LBMP_by_Year-Month-Hour'!K$422*'LBMP_by_Year-Month-Hour'!K429,$B$31*'LBMP_by_Year-Month-Hour'!K$454*'LBMP_by_Year-Month-Hour'!K461,$B$32*'LBMP_by_Year-Month-Hour'!K$486*'LBMP_by_Year-Month-Hour'!K493,$B$33*'LBMP_by_Year-Month-Hour'!K$518*'LBMP_by_Year-Month-Hour'!K525,$B$34*'LBMP_by_Year-Month-Hour'!K$550*'LBMP_by_Year-Month-Hour'!K557,$B$35*'LBMP_by_Year-Month-Hour'!K$582*'LBMP_by_Year-Month-Hour'!K589)*K22/$C$6/24</f>
        <v>0</v>
      </c>
      <c r="M53">
        <v>3</v>
      </c>
      <c r="N53">
        <f>SUM($B$19*'LBMP_by_Year-Month-Hour'!N$70*'LBMP_by_Year-Month-Hour'!N77,$B$20*'LBMP_by_Year-Month-Hour'!N$102*'LBMP_by_Year-Month-Hour'!N109,$B$21*'LBMP_by_Year-Month-Hour'!N$134*'LBMP_by_Year-Month-Hour'!N141,$B$22*'LBMP_by_Year-Month-Hour'!N$166*'LBMP_by_Year-Month-Hour'!N173,$B$23*'LBMP_by_Year-Month-Hour'!N$198*'LBMP_by_Year-Month-Hour'!N205,$B$24*'LBMP_by_Year-Month-Hour'!N$230*'LBMP_by_Year-Month-Hour'!N237,$B$25*'LBMP_by_Year-Month-Hour'!N$262*'LBMP_by_Year-Month-Hour'!N269,$B$26*'LBMP_by_Year-Month-Hour'!N$294*'LBMP_by_Year-Month-Hour'!N301,$B$27*'LBMP_by_Year-Month-Hour'!N$326*'LBMP_by_Year-Month-Hour'!N333,$B$28*'LBMP_by_Year-Month-Hour'!N$358*'LBMP_by_Year-Month-Hour'!N365,$B$29*'LBMP_by_Year-Month-Hour'!N$390*'LBMP_by_Year-Month-Hour'!N397,$B$30*'LBMP_by_Year-Month-Hour'!N$422*'LBMP_by_Year-Month-Hour'!N429,$B$31*'LBMP_by_Year-Month-Hour'!N$454*'LBMP_by_Year-Month-Hour'!N461,$B$32*'LBMP_by_Year-Month-Hour'!N$486*'LBMP_by_Year-Month-Hour'!N493,$B$33*'LBMP_by_Year-Month-Hour'!N$518*'LBMP_by_Year-Month-Hour'!N525,$B$34*'LBMP_by_Year-Month-Hour'!N$550*'LBMP_by_Year-Month-Hour'!N557,$B$35*'LBMP_by_Year-Month-Hour'!N$582*'LBMP_by_Year-Month-Hour'!N589)*N22/$C$6/24</f>
        <v>0</v>
      </c>
      <c r="P53">
        <v>3</v>
      </c>
      <c r="Q53">
        <f>SUM($B$19*'LBMP_by_Year-Month-Hour'!Q$70*'LBMP_by_Year-Month-Hour'!Q77,$B$20*'LBMP_by_Year-Month-Hour'!Q$102*'LBMP_by_Year-Month-Hour'!Q109,$B$21*'LBMP_by_Year-Month-Hour'!Q$134*'LBMP_by_Year-Month-Hour'!Q141,$B$22*'LBMP_by_Year-Month-Hour'!Q$166*'LBMP_by_Year-Month-Hour'!Q173,$B$23*'LBMP_by_Year-Month-Hour'!Q$198*'LBMP_by_Year-Month-Hour'!Q205,$B$24*'LBMP_by_Year-Month-Hour'!Q$230*'LBMP_by_Year-Month-Hour'!Q237,$B$25*'LBMP_by_Year-Month-Hour'!Q$262*'LBMP_by_Year-Month-Hour'!Q269,$B$26*'LBMP_by_Year-Month-Hour'!Q$294*'LBMP_by_Year-Month-Hour'!Q301,$B$27*'LBMP_by_Year-Month-Hour'!Q$326*'LBMP_by_Year-Month-Hour'!Q333,$B$28*'LBMP_by_Year-Month-Hour'!Q$358*'LBMP_by_Year-Month-Hour'!Q365,$B$29*'LBMP_by_Year-Month-Hour'!Q$390*'LBMP_by_Year-Month-Hour'!Q397,$B$30*'LBMP_by_Year-Month-Hour'!Q$422*'LBMP_by_Year-Month-Hour'!Q429,$B$31*'LBMP_by_Year-Month-Hour'!Q$454*'LBMP_by_Year-Month-Hour'!Q461,$B$32*'LBMP_by_Year-Month-Hour'!Q$486*'LBMP_by_Year-Month-Hour'!Q493,$B$33*'LBMP_by_Year-Month-Hour'!Q$518*'LBMP_by_Year-Month-Hour'!Q525,$B$34*'LBMP_by_Year-Month-Hour'!Q$550*'LBMP_by_Year-Month-Hour'!Q557,$B$35*'LBMP_by_Year-Month-Hour'!Q$582*'LBMP_by_Year-Month-Hour'!Q589)*Q22/$C$6/24</f>
        <v>0</v>
      </c>
      <c r="S53">
        <v>3</v>
      </c>
      <c r="T53">
        <f>SUM($B$19*'LBMP_by_Year-Month-Hour'!T$70*'LBMP_by_Year-Month-Hour'!T77,$B$20*'LBMP_by_Year-Month-Hour'!T$102*'LBMP_by_Year-Month-Hour'!T109,$B$21*'LBMP_by_Year-Month-Hour'!T$134*'LBMP_by_Year-Month-Hour'!T141,$B$22*'LBMP_by_Year-Month-Hour'!T$166*'LBMP_by_Year-Month-Hour'!T173,$B$23*'LBMP_by_Year-Month-Hour'!T$198*'LBMP_by_Year-Month-Hour'!T205,$B$24*'LBMP_by_Year-Month-Hour'!T$230*'LBMP_by_Year-Month-Hour'!T237,$B$25*'LBMP_by_Year-Month-Hour'!T$262*'LBMP_by_Year-Month-Hour'!T269,$B$26*'LBMP_by_Year-Month-Hour'!T$294*'LBMP_by_Year-Month-Hour'!T301,$B$27*'LBMP_by_Year-Month-Hour'!T$326*'LBMP_by_Year-Month-Hour'!T333,$B$28*'LBMP_by_Year-Month-Hour'!T$358*'LBMP_by_Year-Month-Hour'!T365,$B$29*'LBMP_by_Year-Month-Hour'!T$390*'LBMP_by_Year-Month-Hour'!T397,$B$30*'LBMP_by_Year-Month-Hour'!T$422*'LBMP_by_Year-Month-Hour'!T429,$B$31*'LBMP_by_Year-Month-Hour'!T$454*'LBMP_by_Year-Month-Hour'!T461,$B$32*'LBMP_by_Year-Month-Hour'!T$486*'LBMP_by_Year-Month-Hour'!T493,$B$33*'LBMP_by_Year-Month-Hour'!T$518*'LBMP_by_Year-Month-Hour'!T525,$B$34*'LBMP_by_Year-Month-Hour'!T$550*'LBMP_by_Year-Month-Hour'!T557,$B$35*'LBMP_by_Year-Month-Hour'!T$582*'LBMP_by_Year-Month-Hour'!T589)*T22/$C$6/24</f>
        <v>-29317.809386172652</v>
      </c>
      <c r="V53">
        <v>3</v>
      </c>
      <c r="W53">
        <f>SUM($B$19*'LBMP_by_Year-Month-Hour'!W$70*'LBMP_by_Year-Month-Hour'!W77,$B$20*'LBMP_by_Year-Month-Hour'!W$102*'LBMP_by_Year-Month-Hour'!W109,$B$21*'LBMP_by_Year-Month-Hour'!W$134*'LBMP_by_Year-Month-Hour'!W141,$B$22*'LBMP_by_Year-Month-Hour'!W$166*'LBMP_by_Year-Month-Hour'!W173,$B$23*'LBMP_by_Year-Month-Hour'!W$198*'LBMP_by_Year-Month-Hour'!W205,$B$24*'LBMP_by_Year-Month-Hour'!W$230*'LBMP_by_Year-Month-Hour'!W237,$B$25*'LBMP_by_Year-Month-Hour'!W$262*'LBMP_by_Year-Month-Hour'!W269,$B$26*'LBMP_by_Year-Month-Hour'!W$294*'LBMP_by_Year-Month-Hour'!W301,$B$27*'LBMP_by_Year-Month-Hour'!W$326*'LBMP_by_Year-Month-Hour'!W333,$B$28*'LBMP_by_Year-Month-Hour'!W$358*'LBMP_by_Year-Month-Hour'!W365,$B$29*'LBMP_by_Year-Month-Hour'!W$390*'LBMP_by_Year-Month-Hour'!W397,$B$30*'LBMP_by_Year-Month-Hour'!W$422*'LBMP_by_Year-Month-Hour'!W429,$B$31*'LBMP_by_Year-Month-Hour'!W$454*'LBMP_by_Year-Month-Hour'!W461,$B$32*'LBMP_by_Year-Month-Hour'!W$486*'LBMP_by_Year-Month-Hour'!W493,$B$33*'LBMP_by_Year-Month-Hour'!W$518*'LBMP_by_Year-Month-Hour'!W525,$B$34*'LBMP_by_Year-Month-Hour'!W$550*'LBMP_by_Year-Month-Hour'!W557,$B$35*'LBMP_by_Year-Month-Hour'!W$582*'LBMP_by_Year-Month-Hour'!W589)*W22/$C$6/24</f>
        <v>-32594.457781572655</v>
      </c>
      <c r="Y53">
        <v>3</v>
      </c>
      <c r="Z53">
        <f>SUM($B$19*'LBMP_by_Year-Month-Hour'!Z$70*'LBMP_by_Year-Month-Hour'!Z77,$B$20*'LBMP_by_Year-Month-Hour'!Z$102*'LBMP_by_Year-Month-Hour'!Z109,$B$21*'LBMP_by_Year-Month-Hour'!Z$134*'LBMP_by_Year-Month-Hour'!Z141,$B$22*'LBMP_by_Year-Month-Hour'!Z$166*'LBMP_by_Year-Month-Hour'!Z173,$B$23*'LBMP_by_Year-Month-Hour'!Z$198*'LBMP_by_Year-Month-Hour'!Z205,$B$24*'LBMP_by_Year-Month-Hour'!Z$230*'LBMP_by_Year-Month-Hour'!Z237,$B$25*'LBMP_by_Year-Month-Hour'!Z$262*'LBMP_by_Year-Month-Hour'!Z269,$B$26*'LBMP_by_Year-Month-Hour'!Z$294*'LBMP_by_Year-Month-Hour'!Z301,$B$27*'LBMP_by_Year-Month-Hour'!Z$326*'LBMP_by_Year-Month-Hour'!Z333,$B$28*'LBMP_by_Year-Month-Hour'!Z$358*'LBMP_by_Year-Month-Hour'!Z365,$B$29*'LBMP_by_Year-Month-Hour'!Z$390*'LBMP_by_Year-Month-Hour'!Z397,$B$30*'LBMP_by_Year-Month-Hour'!Z$422*'LBMP_by_Year-Month-Hour'!Z429,$B$31*'LBMP_by_Year-Month-Hour'!Z$454*'LBMP_by_Year-Month-Hour'!Z461,$B$32*'LBMP_by_Year-Month-Hour'!Z$486*'LBMP_by_Year-Month-Hour'!Z493,$B$33*'LBMP_by_Year-Month-Hour'!Z$518*'LBMP_by_Year-Month-Hour'!Z525,$B$34*'LBMP_by_Year-Month-Hour'!Z$550*'LBMP_by_Year-Month-Hour'!Z557,$B$35*'LBMP_by_Year-Month-Hour'!Z$582*'LBMP_by_Year-Month-Hour'!Z589)*Z22/$C$6/24</f>
        <v>-30909.800495553642</v>
      </c>
      <c r="AB53">
        <v>3</v>
      </c>
      <c r="AC53">
        <f>SUM($B$19*'LBMP_by_Year-Month-Hour'!AC$70*'LBMP_by_Year-Month-Hour'!AC77,$B$20*'LBMP_by_Year-Month-Hour'!AC$102*'LBMP_by_Year-Month-Hour'!AC109,$B$21*'LBMP_by_Year-Month-Hour'!AC$134*'LBMP_by_Year-Month-Hour'!AC141,$B$22*'LBMP_by_Year-Month-Hour'!AC$166*'LBMP_by_Year-Month-Hour'!AC173,$B$23*'LBMP_by_Year-Month-Hour'!AC$198*'LBMP_by_Year-Month-Hour'!AC205,$B$24*'LBMP_by_Year-Month-Hour'!AC$230*'LBMP_by_Year-Month-Hour'!AC237,$B$25*'LBMP_by_Year-Month-Hour'!AC$262*'LBMP_by_Year-Month-Hour'!AC269,$B$26*'LBMP_by_Year-Month-Hour'!AC$294*'LBMP_by_Year-Month-Hour'!AC301,$B$27*'LBMP_by_Year-Month-Hour'!AC$326*'LBMP_by_Year-Month-Hour'!AC333,$B$28*'LBMP_by_Year-Month-Hour'!AC$358*'LBMP_by_Year-Month-Hour'!AC365,$B$29*'LBMP_by_Year-Month-Hour'!AC$390*'LBMP_by_Year-Month-Hour'!AC397,$B$30*'LBMP_by_Year-Month-Hour'!AC$422*'LBMP_by_Year-Month-Hour'!AC429,$B$31*'LBMP_by_Year-Month-Hour'!AC$454*'LBMP_by_Year-Month-Hour'!AC461,$B$32*'LBMP_by_Year-Month-Hour'!AC$486*'LBMP_by_Year-Month-Hour'!AC493,$B$33*'LBMP_by_Year-Month-Hour'!AC$518*'LBMP_by_Year-Month-Hour'!AC525,$B$34*'LBMP_by_Year-Month-Hour'!AC$550*'LBMP_by_Year-Month-Hour'!AC557,$B$35*'LBMP_by_Year-Month-Hour'!AC$582*'LBMP_by_Year-Month-Hour'!AC589)*AC22/$C$6/24</f>
        <v>-27657.791244910313</v>
      </c>
      <c r="AE53">
        <v>3</v>
      </c>
      <c r="AF53">
        <f>SUM($B$19*'LBMP_by_Year-Month-Hour'!AF$70*'LBMP_by_Year-Month-Hour'!AF77,$B$20*'LBMP_by_Year-Month-Hour'!AF$102*'LBMP_by_Year-Month-Hour'!AF109,$B$21*'LBMP_by_Year-Month-Hour'!AF$134*'LBMP_by_Year-Month-Hour'!AF141,$B$22*'LBMP_by_Year-Month-Hour'!AF$166*'LBMP_by_Year-Month-Hour'!AF173,$B$23*'LBMP_by_Year-Month-Hour'!AF$198*'LBMP_by_Year-Month-Hour'!AF205,$B$24*'LBMP_by_Year-Month-Hour'!AF$230*'LBMP_by_Year-Month-Hour'!AF237,$B$25*'LBMP_by_Year-Month-Hour'!AF$262*'LBMP_by_Year-Month-Hour'!AF269,$B$26*'LBMP_by_Year-Month-Hour'!AF$294*'LBMP_by_Year-Month-Hour'!AF301,$B$27*'LBMP_by_Year-Month-Hour'!AF$326*'LBMP_by_Year-Month-Hour'!AF333,$B$28*'LBMP_by_Year-Month-Hour'!AF$358*'LBMP_by_Year-Month-Hour'!AF365,$B$29*'LBMP_by_Year-Month-Hour'!AF$390*'LBMP_by_Year-Month-Hour'!AF397,$B$30*'LBMP_by_Year-Month-Hour'!AF$422*'LBMP_by_Year-Month-Hour'!AF429,$B$31*'LBMP_by_Year-Month-Hour'!AF$454*'LBMP_by_Year-Month-Hour'!AF461,$B$32*'LBMP_by_Year-Month-Hour'!AF$486*'LBMP_by_Year-Month-Hour'!AF493,$B$33*'LBMP_by_Year-Month-Hour'!AF$518*'LBMP_by_Year-Month-Hour'!AF525,$B$34*'LBMP_by_Year-Month-Hour'!AF$550*'LBMP_by_Year-Month-Hour'!AF557,$B$35*'LBMP_by_Year-Month-Hour'!AF$582*'LBMP_by_Year-Month-Hour'!AF589)*AF22/$C$6/24</f>
        <v>0</v>
      </c>
      <c r="AH53">
        <v>3</v>
      </c>
      <c r="AI53">
        <f>SUM($B$19*'LBMP_by_Year-Month-Hour'!AI$70*'LBMP_by_Year-Month-Hour'!AI77,$B$20*'LBMP_by_Year-Month-Hour'!AI$102*'LBMP_by_Year-Month-Hour'!AI109,$B$21*'LBMP_by_Year-Month-Hour'!AI$134*'LBMP_by_Year-Month-Hour'!AI141,$B$22*'LBMP_by_Year-Month-Hour'!AI$166*'LBMP_by_Year-Month-Hour'!AI173,$B$23*'LBMP_by_Year-Month-Hour'!AI$198*'LBMP_by_Year-Month-Hour'!AI205,$B$24*'LBMP_by_Year-Month-Hour'!AI$230*'LBMP_by_Year-Month-Hour'!AI237,$B$25*'LBMP_by_Year-Month-Hour'!AI$262*'LBMP_by_Year-Month-Hour'!AI269,$B$26*'LBMP_by_Year-Month-Hour'!AI$294*'LBMP_by_Year-Month-Hour'!AI301,$B$27*'LBMP_by_Year-Month-Hour'!AI$326*'LBMP_by_Year-Month-Hour'!AI333,$B$28*'LBMP_by_Year-Month-Hour'!AI$358*'LBMP_by_Year-Month-Hour'!AI365,$B$29*'LBMP_by_Year-Month-Hour'!AI$390*'LBMP_by_Year-Month-Hour'!AI397,$B$30*'LBMP_by_Year-Month-Hour'!AI$422*'LBMP_by_Year-Month-Hour'!AI429,$B$31*'LBMP_by_Year-Month-Hour'!AI$454*'LBMP_by_Year-Month-Hour'!AI461,$B$32*'LBMP_by_Year-Month-Hour'!AI$486*'LBMP_by_Year-Month-Hour'!AI493,$B$33*'LBMP_by_Year-Month-Hour'!AI$518*'LBMP_by_Year-Month-Hour'!AI525,$B$34*'LBMP_by_Year-Month-Hour'!AI$550*'LBMP_by_Year-Month-Hour'!AI557,$B$35*'LBMP_by_Year-Month-Hour'!AI$582*'LBMP_by_Year-Month-Hour'!AI589)*AI22/$C$6/24</f>
        <v>0</v>
      </c>
      <c r="AK53">
        <v>3</v>
      </c>
      <c r="AL53">
        <f>SUM($B$19*'LBMP_by_Year-Month-Hour'!AL$70*'LBMP_by_Year-Month-Hour'!AL77,$B$20*'LBMP_by_Year-Month-Hour'!AL$102*'LBMP_by_Year-Month-Hour'!AL109,$B$21*'LBMP_by_Year-Month-Hour'!AL$134*'LBMP_by_Year-Month-Hour'!AL141,$B$22*'LBMP_by_Year-Month-Hour'!AL$166*'LBMP_by_Year-Month-Hour'!AL173,$B$23*'LBMP_by_Year-Month-Hour'!AL$198*'LBMP_by_Year-Month-Hour'!AL205,$B$24*'LBMP_by_Year-Month-Hour'!AL$230*'LBMP_by_Year-Month-Hour'!AL237,$B$25*'LBMP_by_Year-Month-Hour'!AL$262*'LBMP_by_Year-Month-Hour'!AL269,$B$26*'LBMP_by_Year-Month-Hour'!AL$294*'LBMP_by_Year-Month-Hour'!AL301,$B$27*'LBMP_by_Year-Month-Hour'!AL$326*'LBMP_by_Year-Month-Hour'!AL333,$B$28*'LBMP_by_Year-Month-Hour'!AL$358*'LBMP_by_Year-Month-Hour'!AL365,$B$29*'LBMP_by_Year-Month-Hour'!AL$390*'LBMP_by_Year-Month-Hour'!AL397,$B$30*'LBMP_by_Year-Month-Hour'!AL$422*'LBMP_by_Year-Month-Hour'!AL429,$B$31*'LBMP_by_Year-Month-Hour'!AL$454*'LBMP_by_Year-Month-Hour'!AL461,$B$32*'LBMP_by_Year-Month-Hour'!AL$486*'LBMP_by_Year-Month-Hour'!AL493,$B$33*'LBMP_by_Year-Month-Hour'!AL$518*'LBMP_by_Year-Month-Hour'!AL525,$B$34*'LBMP_by_Year-Month-Hour'!AL$550*'LBMP_by_Year-Month-Hour'!AL557,$B$35*'LBMP_by_Year-Month-Hour'!AL$582*'LBMP_by_Year-Month-Hour'!AL589)*AL22/$C$6/24</f>
        <v>0</v>
      </c>
    </row>
    <row r="54" spans="1:38">
      <c r="A54">
        <v>4</v>
      </c>
      <c r="B54">
        <f t="shared" si="9"/>
        <v>-119780.38143141003</v>
      </c>
      <c r="D54">
        <v>4</v>
      </c>
      <c r="E54">
        <f>SUM($B$19*'LBMP_by_Year-Month-Hour'!E$70*'LBMP_by_Year-Month-Hour'!E78,$B$20*'LBMP_by_Year-Month-Hour'!E$102*'LBMP_by_Year-Month-Hour'!E110,$B$21*'LBMP_by_Year-Month-Hour'!E$134*'LBMP_by_Year-Month-Hour'!E142,$B$22*'LBMP_by_Year-Month-Hour'!E$166*'LBMP_by_Year-Month-Hour'!E174,$B$23*'LBMP_by_Year-Month-Hour'!E$198*'LBMP_by_Year-Month-Hour'!E206,$B$24*'LBMP_by_Year-Month-Hour'!E$230*'LBMP_by_Year-Month-Hour'!E238,$B$25*'LBMP_by_Year-Month-Hour'!E$262*'LBMP_by_Year-Month-Hour'!E270,$B$26*'LBMP_by_Year-Month-Hour'!E$294*'LBMP_by_Year-Month-Hour'!E302,$B$27*'LBMP_by_Year-Month-Hour'!E$326*'LBMP_by_Year-Month-Hour'!E334,$B$28*'LBMP_by_Year-Month-Hour'!E$358*'LBMP_by_Year-Month-Hour'!E366,$B$29*'LBMP_by_Year-Month-Hour'!E$390*'LBMP_by_Year-Month-Hour'!E398,$B$30*'LBMP_by_Year-Month-Hour'!E$422*'LBMP_by_Year-Month-Hour'!E430,$B$31*'LBMP_by_Year-Month-Hour'!E$454*'LBMP_by_Year-Month-Hour'!E462,$B$32*'LBMP_by_Year-Month-Hour'!E$486*'LBMP_by_Year-Month-Hour'!E494,$B$33*'LBMP_by_Year-Month-Hour'!E$518*'LBMP_by_Year-Month-Hour'!E526,$B$34*'LBMP_by_Year-Month-Hour'!E$550*'LBMP_by_Year-Month-Hour'!E558,$B$35*'LBMP_by_Year-Month-Hour'!E$582*'LBMP_by_Year-Month-Hour'!E590)*E23/$C$6/24</f>
        <v>0</v>
      </c>
      <c r="G54">
        <v>4</v>
      </c>
      <c r="H54">
        <f>SUM($B$19*'LBMP_by_Year-Month-Hour'!H$70*'LBMP_by_Year-Month-Hour'!H78,$B$20*'LBMP_by_Year-Month-Hour'!H$102*'LBMP_by_Year-Month-Hour'!H110,$B$21*'LBMP_by_Year-Month-Hour'!H$134*'LBMP_by_Year-Month-Hour'!H142,$B$22*'LBMP_by_Year-Month-Hour'!H$166*'LBMP_by_Year-Month-Hour'!H174,$B$23*'LBMP_by_Year-Month-Hour'!H$198*'LBMP_by_Year-Month-Hour'!H206,$B$24*'LBMP_by_Year-Month-Hour'!H$230*'LBMP_by_Year-Month-Hour'!H238,$B$25*'LBMP_by_Year-Month-Hour'!H$262*'LBMP_by_Year-Month-Hour'!H270,$B$26*'LBMP_by_Year-Month-Hour'!H$294*'LBMP_by_Year-Month-Hour'!H302,$B$27*'LBMP_by_Year-Month-Hour'!H$326*'LBMP_by_Year-Month-Hour'!H334,$B$28*'LBMP_by_Year-Month-Hour'!H$358*'LBMP_by_Year-Month-Hour'!H366,$B$29*'LBMP_by_Year-Month-Hour'!H$390*'LBMP_by_Year-Month-Hour'!H398,$B$30*'LBMP_by_Year-Month-Hour'!H$422*'LBMP_by_Year-Month-Hour'!H430,$B$31*'LBMP_by_Year-Month-Hour'!H$454*'LBMP_by_Year-Month-Hour'!H462,$B$32*'LBMP_by_Year-Month-Hour'!H$486*'LBMP_by_Year-Month-Hour'!H494,$B$33*'LBMP_by_Year-Month-Hour'!H$518*'LBMP_by_Year-Month-Hour'!H526,$B$34*'LBMP_by_Year-Month-Hour'!H$550*'LBMP_by_Year-Month-Hour'!H558,$B$35*'LBMP_by_Year-Month-Hour'!H$582*'LBMP_by_Year-Month-Hour'!H590)*H23/$C$6/24</f>
        <v>0</v>
      </c>
      <c r="J54">
        <v>4</v>
      </c>
      <c r="K54">
        <f>SUM($B$19*'LBMP_by_Year-Month-Hour'!K$70*'LBMP_by_Year-Month-Hour'!K78,$B$20*'LBMP_by_Year-Month-Hour'!K$102*'LBMP_by_Year-Month-Hour'!K110,$B$21*'LBMP_by_Year-Month-Hour'!K$134*'LBMP_by_Year-Month-Hour'!K142,$B$22*'LBMP_by_Year-Month-Hour'!K$166*'LBMP_by_Year-Month-Hour'!K174,$B$23*'LBMP_by_Year-Month-Hour'!K$198*'LBMP_by_Year-Month-Hour'!K206,$B$24*'LBMP_by_Year-Month-Hour'!K$230*'LBMP_by_Year-Month-Hour'!K238,$B$25*'LBMP_by_Year-Month-Hour'!K$262*'LBMP_by_Year-Month-Hour'!K270,$B$26*'LBMP_by_Year-Month-Hour'!K$294*'LBMP_by_Year-Month-Hour'!K302,$B$27*'LBMP_by_Year-Month-Hour'!K$326*'LBMP_by_Year-Month-Hour'!K334,$B$28*'LBMP_by_Year-Month-Hour'!K$358*'LBMP_by_Year-Month-Hour'!K366,$B$29*'LBMP_by_Year-Month-Hour'!K$390*'LBMP_by_Year-Month-Hour'!K398,$B$30*'LBMP_by_Year-Month-Hour'!K$422*'LBMP_by_Year-Month-Hour'!K430,$B$31*'LBMP_by_Year-Month-Hour'!K$454*'LBMP_by_Year-Month-Hour'!K462,$B$32*'LBMP_by_Year-Month-Hour'!K$486*'LBMP_by_Year-Month-Hour'!K494,$B$33*'LBMP_by_Year-Month-Hour'!K$518*'LBMP_by_Year-Month-Hour'!K526,$B$34*'LBMP_by_Year-Month-Hour'!K$550*'LBMP_by_Year-Month-Hour'!K558,$B$35*'LBMP_by_Year-Month-Hour'!K$582*'LBMP_by_Year-Month-Hour'!K590)*K23/$C$6/24</f>
        <v>0</v>
      </c>
      <c r="M54">
        <v>4</v>
      </c>
      <c r="N54">
        <f>SUM($B$19*'LBMP_by_Year-Month-Hour'!N$70*'LBMP_by_Year-Month-Hour'!N78,$B$20*'LBMP_by_Year-Month-Hour'!N$102*'LBMP_by_Year-Month-Hour'!N110,$B$21*'LBMP_by_Year-Month-Hour'!N$134*'LBMP_by_Year-Month-Hour'!N142,$B$22*'LBMP_by_Year-Month-Hour'!N$166*'LBMP_by_Year-Month-Hour'!N174,$B$23*'LBMP_by_Year-Month-Hour'!N$198*'LBMP_by_Year-Month-Hour'!N206,$B$24*'LBMP_by_Year-Month-Hour'!N$230*'LBMP_by_Year-Month-Hour'!N238,$B$25*'LBMP_by_Year-Month-Hour'!N$262*'LBMP_by_Year-Month-Hour'!N270,$B$26*'LBMP_by_Year-Month-Hour'!N$294*'LBMP_by_Year-Month-Hour'!N302,$B$27*'LBMP_by_Year-Month-Hour'!N$326*'LBMP_by_Year-Month-Hour'!N334,$B$28*'LBMP_by_Year-Month-Hour'!N$358*'LBMP_by_Year-Month-Hour'!N366,$B$29*'LBMP_by_Year-Month-Hour'!N$390*'LBMP_by_Year-Month-Hour'!N398,$B$30*'LBMP_by_Year-Month-Hour'!N$422*'LBMP_by_Year-Month-Hour'!N430,$B$31*'LBMP_by_Year-Month-Hour'!N$454*'LBMP_by_Year-Month-Hour'!N462,$B$32*'LBMP_by_Year-Month-Hour'!N$486*'LBMP_by_Year-Month-Hour'!N494,$B$33*'LBMP_by_Year-Month-Hour'!N$518*'LBMP_by_Year-Month-Hour'!N526,$B$34*'LBMP_by_Year-Month-Hour'!N$550*'LBMP_by_Year-Month-Hour'!N558,$B$35*'LBMP_by_Year-Month-Hour'!N$582*'LBMP_by_Year-Month-Hour'!N590)*N23/$C$6/24</f>
        <v>0</v>
      </c>
      <c r="P54">
        <v>4</v>
      </c>
      <c r="Q54">
        <f>SUM($B$19*'LBMP_by_Year-Month-Hour'!Q$70*'LBMP_by_Year-Month-Hour'!Q78,$B$20*'LBMP_by_Year-Month-Hour'!Q$102*'LBMP_by_Year-Month-Hour'!Q110,$B$21*'LBMP_by_Year-Month-Hour'!Q$134*'LBMP_by_Year-Month-Hour'!Q142,$B$22*'LBMP_by_Year-Month-Hour'!Q$166*'LBMP_by_Year-Month-Hour'!Q174,$B$23*'LBMP_by_Year-Month-Hour'!Q$198*'LBMP_by_Year-Month-Hour'!Q206,$B$24*'LBMP_by_Year-Month-Hour'!Q$230*'LBMP_by_Year-Month-Hour'!Q238,$B$25*'LBMP_by_Year-Month-Hour'!Q$262*'LBMP_by_Year-Month-Hour'!Q270,$B$26*'LBMP_by_Year-Month-Hour'!Q$294*'LBMP_by_Year-Month-Hour'!Q302,$B$27*'LBMP_by_Year-Month-Hour'!Q$326*'LBMP_by_Year-Month-Hour'!Q334,$B$28*'LBMP_by_Year-Month-Hour'!Q$358*'LBMP_by_Year-Month-Hour'!Q366,$B$29*'LBMP_by_Year-Month-Hour'!Q$390*'LBMP_by_Year-Month-Hour'!Q398,$B$30*'LBMP_by_Year-Month-Hour'!Q$422*'LBMP_by_Year-Month-Hour'!Q430,$B$31*'LBMP_by_Year-Month-Hour'!Q$454*'LBMP_by_Year-Month-Hour'!Q462,$B$32*'LBMP_by_Year-Month-Hour'!Q$486*'LBMP_by_Year-Month-Hour'!Q494,$B$33*'LBMP_by_Year-Month-Hour'!Q$518*'LBMP_by_Year-Month-Hour'!Q526,$B$34*'LBMP_by_Year-Month-Hour'!Q$550*'LBMP_by_Year-Month-Hour'!Q558,$B$35*'LBMP_by_Year-Month-Hour'!Q$582*'LBMP_by_Year-Month-Hour'!Q590)*Q23/$C$6/24</f>
        <v>0</v>
      </c>
      <c r="S54">
        <v>4</v>
      </c>
      <c r="T54">
        <f>SUM($B$19*'LBMP_by_Year-Month-Hour'!T$70*'LBMP_by_Year-Month-Hour'!T78,$B$20*'LBMP_by_Year-Month-Hour'!T$102*'LBMP_by_Year-Month-Hour'!T110,$B$21*'LBMP_by_Year-Month-Hour'!T$134*'LBMP_by_Year-Month-Hour'!T142,$B$22*'LBMP_by_Year-Month-Hour'!T$166*'LBMP_by_Year-Month-Hour'!T174,$B$23*'LBMP_by_Year-Month-Hour'!T$198*'LBMP_by_Year-Month-Hour'!T206,$B$24*'LBMP_by_Year-Month-Hour'!T$230*'LBMP_by_Year-Month-Hour'!T238,$B$25*'LBMP_by_Year-Month-Hour'!T$262*'LBMP_by_Year-Month-Hour'!T270,$B$26*'LBMP_by_Year-Month-Hour'!T$294*'LBMP_by_Year-Month-Hour'!T302,$B$27*'LBMP_by_Year-Month-Hour'!T$326*'LBMP_by_Year-Month-Hour'!T334,$B$28*'LBMP_by_Year-Month-Hour'!T$358*'LBMP_by_Year-Month-Hour'!T366,$B$29*'LBMP_by_Year-Month-Hour'!T$390*'LBMP_by_Year-Month-Hour'!T398,$B$30*'LBMP_by_Year-Month-Hour'!T$422*'LBMP_by_Year-Month-Hour'!T430,$B$31*'LBMP_by_Year-Month-Hour'!T$454*'LBMP_by_Year-Month-Hour'!T462,$B$32*'LBMP_by_Year-Month-Hour'!T$486*'LBMP_by_Year-Month-Hour'!T494,$B$33*'LBMP_by_Year-Month-Hour'!T$518*'LBMP_by_Year-Month-Hour'!T526,$B$34*'LBMP_by_Year-Month-Hour'!T$550*'LBMP_by_Year-Month-Hour'!T558,$B$35*'LBMP_by_Year-Month-Hour'!T$582*'LBMP_by_Year-Month-Hour'!T590)*T23/$C$6/24</f>
        <v>-29338.305235849741</v>
      </c>
      <c r="V54">
        <v>4</v>
      </c>
      <c r="W54">
        <f>SUM($B$19*'LBMP_by_Year-Month-Hour'!W$70*'LBMP_by_Year-Month-Hour'!W78,$B$20*'LBMP_by_Year-Month-Hour'!W$102*'LBMP_by_Year-Month-Hour'!W110,$B$21*'LBMP_by_Year-Month-Hour'!W$134*'LBMP_by_Year-Month-Hour'!W142,$B$22*'LBMP_by_Year-Month-Hour'!W$166*'LBMP_by_Year-Month-Hour'!W174,$B$23*'LBMP_by_Year-Month-Hour'!W$198*'LBMP_by_Year-Month-Hour'!W206,$B$24*'LBMP_by_Year-Month-Hour'!W$230*'LBMP_by_Year-Month-Hour'!W238,$B$25*'LBMP_by_Year-Month-Hour'!W$262*'LBMP_by_Year-Month-Hour'!W270,$B$26*'LBMP_by_Year-Month-Hour'!W$294*'LBMP_by_Year-Month-Hour'!W302,$B$27*'LBMP_by_Year-Month-Hour'!W$326*'LBMP_by_Year-Month-Hour'!W334,$B$28*'LBMP_by_Year-Month-Hour'!W$358*'LBMP_by_Year-Month-Hour'!W366,$B$29*'LBMP_by_Year-Month-Hour'!W$390*'LBMP_by_Year-Month-Hour'!W398,$B$30*'LBMP_by_Year-Month-Hour'!W$422*'LBMP_by_Year-Month-Hour'!W430,$B$31*'LBMP_by_Year-Month-Hour'!W$454*'LBMP_by_Year-Month-Hour'!W462,$B$32*'LBMP_by_Year-Month-Hour'!W$486*'LBMP_by_Year-Month-Hour'!W494,$B$33*'LBMP_by_Year-Month-Hour'!W$518*'LBMP_by_Year-Month-Hour'!W526,$B$34*'LBMP_by_Year-Month-Hour'!W$550*'LBMP_by_Year-Month-Hour'!W558,$B$35*'LBMP_by_Year-Month-Hour'!W$582*'LBMP_by_Year-Month-Hour'!W590)*W23/$C$6/24</f>
        <v>-32395.559491882261</v>
      </c>
      <c r="Y54">
        <v>4</v>
      </c>
      <c r="Z54">
        <f>SUM($B$19*'LBMP_by_Year-Month-Hour'!Z$70*'LBMP_by_Year-Month-Hour'!Z78,$B$20*'LBMP_by_Year-Month-Hour'!Z$102*'LBMP_by_Year-Month-Hour'!Z110,$B$21*'LBMP_by_Year-Month-Hour'!Z$134*'LBMP_by_Year-Month-Hour'!Z142,$B$22*'LBMP_by_Year-Month-Hour'!Z$166*'LBMP_by_Year-Month-Hour'!Z174,$B$23*'LBMP_by_Year-Month-Hour'!Z$198*'LBMP_by_Year-Month-Hour'!Z206,$B$24*'LBMP_by_Year-Month-Hour'!Z$230*'LBMP_by_Year-Month-Hour'!Z238,$B$25*'LBMP_by_Year-Month-Hour'!Z$262*'LBMP_by_Year-Month-Hour'!Z270,$B$26*'LBMP_by_Year-Month-Hour'!Z$294*'LBMP_by_Year-Month-Hour'!Z302,$B$27*'LBMP_by_Year-Month-Hour'!Z$326*'LBMP_by_Year-Month-Hour'!Z334,$B$28*'LBMP_by_Year-Month-Hour'!Z$358*'LBMP_by_Year-Month-Hour'!Z366,$B$29*'LBMP_by_Year-Month-Hour'!Z$390*'LBMP_by_Year-Month-Hour'!Z398,$B$30*'LBMP_by_Year-Month-Hour'!Z$422*'LBMP_by_Year-Month-Hour'!Z430,$B$31*'LBMP_by_Year-Month-Hour'!Z$454*'LBMP_by_Year-Month-Hour'!Z462,$B$32*'LBMP_by_Year-Month-Hour'!Z$486*'LBMP_by_Year-Month-Hour'!Z494,$B$33*'LBMP_by_Year-Month-Hour'!Z$518*'LBMP_by_Year-Month-Hour'!Z526,$B$34*'LBMP_by_Year-Month-Hour'!Z$550*'LBMP_by_Year-Month-Hour'!Z558,$B$35*'LBMP_by_Year-Month-Hour'!Z$582*'LBMP_by_Year-Month-Hour'!Z590)*Z23/$C$6/24</f>
        <v>-30499.806828261364</v>
      </c>
      <c r="AB54">
        <v>4</v>
      </c>
      <c r="AC54">
        <f>SUM($B$19*'LBMP_by_Year-Month-Hour'!AC$70*'LBMP_by_Year-Month-Hour'!AC78,$B$20*'LBMP_by_Year-Month-Hour'!AC$102*'LBMP_by_Year-Month-Hour'!AC110,$B$21*'LBMP_by_Year-Month-Hour'!AC$134*'LBMP_by_Year-Month-Hour'!AC142,$B$22*'LBMP_by_Year-Month-Hour'!AC$166*'LBMP_by_Year-Month-Hour'!AC174,$B$23*'LBMP_by_Year-Month-Hour'!AC$198*'LBMP_by_Year-Month-Hour'!AC206,$B$24*'LBMP_by_Year-Month-Hour'!AC$230*'LBMP_by_Year-Month-Hour'!AC238,$B$25*'LBMP_by_Year-Month-Hour'!AC$262*'LBMP_by_Year-Month-Hour'!AC270,$B$26*'LBMP_by_Year-Month-Hour'!AC$294*'LBMP_by_Year-Month-Hour'!AC302,$B$27*'LBMP_by_Year-Month-Hour'!AC$326*'LBMP_by_Year-Month-Hour'!AC334,$B$28*'LBMP_by_Year-Month-Hour'!AC$358*'LBMP_by_Year-Month-Hour'!AC366,$B$29*'LBMP_by_Year-Month-Hour'!AC$390*'LBMP_by_Year-Month-Hour'!AC398,$B$30*'LBMP_by_Year-Month-Hour'!AC$422*'LBMP_by_Year-Month-Hour'!AC430,$B$31*'LBMP_by_Year-Month-Hour'!AC$454*'LBMP_by_Year-Month-Hour'!AC462,$B$32*'LBMP_by_Year-Month-Hour'!AC$486*'LBMP_by_Year-Month-Hour'!AC494,$B$33*'LBMP_by_Year-Month-Hour'!AC$518*'LBMP_by_Year-Month-Hour'!AC526,$B$34*'LBMP_by_Year-Month-Hour'!AC$550*'LBMP_by_Year-Month-Hour'!AC558,$B$35*'LBMP_by_Year-Month-Hour'!AC$582*'LBMP_by_Year-Month-Hour'!AC590)*AC23/$C$6/24</f>
        <v>-27546.709875416669</v>
      </c>
      <c r="AE54">
        <v>4</v>
      </c>
      <c r="AF54">
        <f>SUM($B$19*'LBMP_by_Year-Month-Hour'!AF$70*'LBMP_by_Year-Month-Hour'!AF78,$B$20*'LBMP_by_Year-Month-Hour'!AF$102*'LBMP_by_Year-Month-Hour'!AF110,$B$21*'LBMP_by_Year-Month-Hour'!AF$134*'LBMP_by_Year-Month-Hour'!AF142,$B$22*'LBMP_by_Year-Month-Hour'!AF$166*'LBMP_by_Year-Month-Hour'!AF174,$B$23*'LBMP_by_Year-Month-Hour'!AF$198*'LBMP_by_Year-Month-Hour'!AF206,$B$24*'LBMP_by_Year-Month-Hour'!AF$230*'LBMP_by_Year-Month-Hour'!AF238,$B$25*'LBMP_by_Year-Month-Hour'!AF$262*'LBMP_by_Year-Month-Hour'!AF270,$B$26*'LBMP_by_Year-Month-Hour'!AF$294*'LBMP_by_Year-Month-Hour'!AF302,$B$27*'LBMP_by_Year-Month-Hour'!AF$326*'LBMP_by_Year-Month-Hour'!AF334,$B$28*'LBMP_by_Year-Month-Hour'!AF$358*'LBMP_by_Year-Month-Hour'!AF366,$B$29*'LBMP_by_Year-Month-Hour'!AF$390*'LBMP_by_Year-Month-Hour'!AF398,$B$30*'LBMP_by_Year-Month-Hour'!AF$422*'LBMP_by_Year-Month-Hour'!AF430,$B$31*'LBMP_by_Year-Month-Hour'!AF$454*'LBMP_by_Year-Month-Hour'!AF462,$B$32*'LBMP_by_Year-Month-Hour'!AF$486*'LBMP_by_Year-Month-Hour'!AF494,$B$33*'LBMP_by_Year-Month-Hour'!AF$518*'LBMP_by_Year-Month-Hour'!AF526,$B$34*'LBMP_by_Year-Month-Hour'!AF$550*'LBMP_by_Year-Month-Hour'!AF558,$B$35*'LBMP_by_Year-Month-Hour'!AF$582*'LBMP_by_Year-Month-Hour'!AF590)*AF23/$C$6/24</f>
        <v>0</v>
      </c>
      <c r="AH54">
        <v>4</v>
      </c>
      <c r="AI54">
        <f>SUM($B$19*'LBMP_by_Year-Month-Hour'!AI$70*'LBMP_by_Year-Month-Hour'!AI78,$B$20*'LBMP_by_Year-Month-Hour'!AI$102*'LBMP_by_Year-Month-Hour'!AI110,$B$21*'LBMP_by_Year-Month-Hour'!AI$134*'LBMP_by_Year-Month-Hour'!AI142,$B$22*'LBMP_by_Year-Month-Hour'!AI$166*'LBMP_by_Year-Month-Hour'!AI174,$B$23*'LBMP_by_Year-Month-Hour'!AI$198*'LBMP_by_Year-Month-Hour'!AI206,$B$24*'LBMP_by_Year-Month-Hour'!AI$230*'LBMP_by_Year-Month-Hour'!AI238,$B$25*'LBMP_by_Year-Month-Hour'!AI$262*'LBMP_by_Year-Month-Hour'!AI270,$B$26*'LBMP_by_Year-Month-Hour'!AI$294*'LBMP_by_Year-Month-Hour'!AI302,$B$27*'LBMP_by_Year-Month-Hour'!AI$326*'LBMP_by_Year-Month-Hour'!AI334,$B$28*'LBMP_by_Year-Month-Hour'!AI$358*'LBMP_by_Year-Month-Hour'!AI366,$B$29*'LBMP_by_Year-Month-Hour'!AI$390*'LBMP_by_Year-Month-Hour'!AI398,$B$30*'LBMP_by_Year-Month-Hour'!AI$422*'LBMP_by_Year-Month-Hour'!AI430,$B$31*'LBMP_by_Year-Month-Hour'!AI$454*'LBMP_by_Year-Month-Hour'!AI462,$B$32*'LBMP_by_Year-Month-Hour'!AI$486*'LBMP_by_Year-Month-Hour'!AI494,$B$33*'LBMP_by_Year-Month-Hour'!AI$518*'LBMP_by_Year-Month-Hour'!AI526,$B$34*'LBMP_by_Year-Month-Hour'!AI$550*'LBMP_by_Year-Month-Hour'!AI558,$B$35*'LBMP_by_Year-Month-Hour'!AI$582*'LBMP_by_Year-Month-Hour'!AI590)*AI23/$C$6/24</f>
        <v>0</v>
      </c>
      <c r="AK54">
        <v>4</v>
      </c>
      <c r="AL54">
        <f>SUM($B$19*'LBMP_by_Year-Month-Hour'!AL$70*'LBMP_by_Year-Month-Hour'!AL78,$B$20*'LBMP_by_Year-Month-Hour'!AL$102*'LBMP_by_Year-Month-Hour'!AL110,$B$21*'LBMP_by_Year-Month-Hour'!AL$134*'LBMP_by_Year-Month-Hour'!AL142,$B$22*'LBMP_by_Year-Month-Hour'!AL$166*'LBMP_by_Year-Month-Hour'!AL174,$B$23*'LBMP_by_Year-Month-Hour'!AL$198*'LBMP_by_Year-Month-Hour'!AL206,$B$24*'LBMP_by_Year-Month-Hour'!AL$230*'LBMP_by_Year-Month-Hour'!AL238,$B$25*'LBMP_by_Year-Month-Hour'!AL$262*'LBMP_by_Year-Month-Hour'!AL270,$B$26*'LBMP_by_Year-Month-Hour'!AL$294*'LBMP_by_Year-Month-Hour'!AL302,$B$27*'LBMP_by_Year-Month-Hour'!AL$326*'LBMP_by_Year-Month-Hour'!AL334,$B$28*'LBMP_by_Year-Month-Hour'!AL$358*'LBMP_by_Year-Month-Hour'!AL366,$B$29*'LBMP_by_Year-Month-Hour'!AL$390*'LBMP_by_Year-Month-Hour'!AL398,$B$30*'LBMP_by_Year-Month-Hour'!AL$422*'LBMP_by_Year-Month-Hour'!AL430,$B$31*'LBMP_by_Year-Month-Hour'!AL$454*'LBMP_by_Year-Month-Hour'!AL462,$B$32*'LBMP_by_Year-Month-Hour'!AL$486*'LBMP_by_Year-Month-Hour'!AL494,$B$33*'LBMP_by_Year-Month-Hour'!AL$518*'LBMP_by_Year-Month-Hour'!AL526,$B$34*'LBMP_by_Year-Month-Hour'!AL$550*'LBMP_by_Year-Month-Hour'!AL558,$B$35*'LBMP_by_Year-Month-Hour'!AL$582*'LBMP_by_Year-Month-Hour'!AL590)*AL23/$C$6/24</f>
        <v>0</v>
      </c>
    </row>
    <row r="55" spans="1:38">
      <c r="A55">
        <v>5</v>
      </c>
      <c r="B55">
        <f t="shared" si="9"/>
        <v>-124163.56389866972</v>
      </c>
      <c r="D55">
        <v>5</v>
      </c>
      <c r="E55">
        <f>SUM($B$19*'LBMP_by_Year-Month-Hour'!E$70*'LBMP_by_Year-Month-Hour'!E79,$B$20*'LBMP_by_Year-Month-Hour'!E$102*'LBMP_by_Year-Month-Hour'!E111,$B$21*'LBMP_by_Year-Month-Hour'!E$134*'LBMP_by_Year-Month-Hour'!E143,$B$22*'LBMP_by_Year-Month-Hour'!E$166*'LBMP_by_Year-Month-Hour'!E175,$B$23*'LBMP_by_Year-Month-Hour'!E$198*'LBMP_by_Year-Month-Hour'!E207,$B$24*'LBMP_by_Year-Month-Hour'!E$230*'LBMP_by_Year-Month-Hour'!E239,$B$25*'LBMP_by_Year-Month-Hour'!E$262*'LBMP_by_Year-Month-Hour'!E271,$B$26*'LBMP_by_Year-Month-Hour'!E$294*'LBMP_by_Year-Month-Hour'!E303,$B$27*'LBMP_by_Year-Month-Hour'!E$326*'LBMP_by_Year-Month-Hour'!E335,$B$28*'LBMP_by_Year-Month-Hour'!E$358*'LBMP_by_Year-Month-Hour'!E367,$B$29*'LBMP_by_Year-Month-Hour'!E$390*'LBMP_by_Year-Month-Hour'!E399,$B$30*'LBMP_by_Year-Month-Hour'!E$422*'LBMP_by_Year-Month-Hour'!E431,$B$31*'LBMP_by_Year-Month-Hour'!E$454*'LBMP_by_Year-Month-Hour'!E463,$B$32*'LBMP_by_Year-Month-Hour'!E$486*'LBMP_by_Year-Month-Hour'!E495,$B$33*'LBMP_by_Year-Month-Hour'!E$518*'LBMP_by_Year-Month-Hour'!E527,$B$34*'LBMP_by_Year-Month-Hour'!E$550*'LBMP_by_Year-Month-Hour'!E559,$B$35*'LBMP_by_Year-Month-Hour'!E$582*'LBMP_by_Year-Month-Hour'!E591)*E24/$C$6/24</f>
        <v>0</v>
      </c>
      <c r="G55">
        <v>5</v>
      </c>
      <c r="H55">
        <f>SUM($B$19*'LBMP_by_Year-Month-Hour'!H$70*'LBMP_by_Year-Month-Hour'!H79,$B$20*'LBMP_by_Year-Month-Hour'!H$102*'LBMP_by_Year-Month-Hour'!H111,$B$21*'LBMP_by_Year-Month-Hour'!H$134*'LBMP_by_Year-Month-Hour'!H143,$B$22*'LBMP_by_Year-Month-Hour'!H$166*'LBMP_by_Year-Month-Hour'!H175,$B$23*'LBMP_by_Year-Month-Hour'!H$198*'LBMP_by_Year-Month-Hour'!H207,$B$24*'LBMP_by_Year-Month-Hour'!H$230*'LBMP_by_Year-Month-Hour'!H239,$B$25*'LBMP_by_Year-Month-Hour'!H$262*'LBMP_by_Year-Month-Hour'!H271,$B$26*'LBMP_by_Year-Month-Hour'!H$294*'LBMP_by_Year-Month-Hour'!H303,$B$27*'LBMP_by_Year-Month-Hour'!H$326*'LBMP_by_Year-Month-Hour'!H335,$B$28*'LBMP_by_Year-Month-Hour'!H$358*'LBMP_by_Year-Month-Hour'!H367,$B$29*'LBMP_by_Year-Month-Hour'!H$390*'LBMP_by_Year-Month-Hour'!H399,$B$30*'LBMP_by_Year-Month-Hour'!H$422*'LBMP_by_Year-Month-Hour'!H431,$B$31*'LBMP_by_Year-Month-Hour'!H$454*'LBMP_by_Year-Month-Hour'!H463,$B$32*'LBMP_by_Year-Month-Hour'!H$486*'LBMP_by_Year-Month-Hour'!H495,$B$33*'LBMP_by_Year-Month-Hour'!H$518*'LBMP_by_Year-Month-Hour'!H527,$B$34*'LBMP_by_Year-Month-Hour'!H$550*'LBMP_by_Year-Month-Hour'!H559,$B$35*'LBMP_by_Year-Month-Hour'!H$582*'LBMP_by_Year-Month-Hour'!H591)*H24/$C$6/24</f>
        <v>0</v>
      </c>
      <c r="J55">
        <v>5</v>
      </c>
      <c r="K55">
        <f>SUM($B$19*'LBMP_by_Year-Month-Hour'!K$70*'LBMP_by_Year-Month-Hour'!K79,$B$20*'LBMP_by_Year-Month-Hour'!K$102*'LBMP_by_Year-Month-Hour'!K111,$B$21*'LBMP_by_Year-Month-Hour'!K$134*'LBMP_by_Year-Month-Hour'!K143,$B$22*'LBMP_by_Year-Month-Hour'!K$166*'LBMP_by_Year-Month-Hour'!K175,$B$23*'LBMP_by_Year-Month-Hour'!K$198*'LBMP_by_Year-Month-Hour'!K207,$B$24*'LBMP_by_Year-Month-Hour'!K$230*'LBMP_by_Year-Month-Hour'!K239,$B$25*'LBMP_by_Year-Month-Hour'!K$262*'LBMP_by_Year-Month-Hour'!K271,$B$26*'LBMP_by_Year-Month-Hour'!K$294*'LBMP_by_Year-Month-Hour'!K303,$B$27*'LBMP_by_Year-Month-Hour'!K$326*'LBMP_by_Year-Month-Hour'!K335,$B$28*'LBMP_by_Year-Month-Hour'!K$358*'LBMP_by_Year-Month-Hour'!K367,$B$29*'LBMP_by_Year-Month-Hour'!K$390*'LBMP_by_Year-Month-Hour'!K399,$B$30*'LBMP_by_Year-Month-Hour'!K$422*'LBMP_by_Year-Month-Hour'!K431,$B$31*'LBMP_by_Year-Month-Hour'!K$454*'LBMP_by_Year-Month-Hour'!K463,$B$32*'LBMP_by_Year-Month-Hour'!K$486*'LBMP_by_Year-Month-Hour'!K495,$B$33*'LBMP_by_Year-Month-Hour'!K$518*'LBMP_by_Year-Month-Hour'!K527,$B$34*'LBMP_by_Year-Month-Hour'!K$550*'LBMP_by_Year-Month-Hour'!K559,$B$35*'LBMP_by_Year-Month-Hour'!K$582*'LBMP_by_Year-Month-Hour'!K591)*K24/$C$6/24</f>
        <v>0</v>
      </c>
      <c r="M55">
        <v>5</v>
      </c>
      <c r="N55">
        <f>SUM($B$19*'LBMP_by_Year-Month-Hour'!N$70*'LBMP_by_Year-Month-Hour'!N79,$B$20*'LBMP_by_Year-Month-Hour'!N$102*'LBMP_by_Year-Month-Hour'!N111,$B$21*'LBMP_by_Year-Month-Hour'!N$134*'LBMP_by_Year-Month-Hour'!N143,$B$22*'LBMP_by_Year-Month-Hour'!N$166*'LBMP_by_Year-Month-Hour'!N175,$B$23*'LBMP_by_Year-Month-Hour'!N$198*'LBMP_by_Year-Month-Hour'!N207,$B$24*'LBMP_by_Year-Month-Hour'!N$230*'LBMP_by_Year-Month-Hour'!N239,$B$25*'LBMP_by_Year-Month-Hour'!N$262*'LBMP_by_Year-Month-Hour'!N271,$B$26*'LBMP_by_Year-Month-Hour'!N$294*'LBMP_by_Year-Month-Hour'!N303,$B$27*'LBMP_by_Year-Month-Hour'!N$326*'LBMP_by_Year-Month-Hour'!N335,$B$28*'LBMP_by_Year-Month-Hour'!N$358*'LBMP_by_Year-Month-Hour'!N367,$B$29*'LBMP_by_Year-Month-Hour'!N$390*'LBMP_by_Year-Month-Hour'!N399,$B$30*'LBMP_by_Year-Month-Hour'!N$422*'LBMP_by_Year-Month-Hour'!N431,$B$31*'LBMP_by_Year-Month-Hour'!N$454*'LBMP_by_Year-Month-Hour'!N463,$B$32*'LBMP_by_Year-Month-Hour'!N$486*'LBMP_by_Year-Month-Hour'!N495,$B$33*'LBMP_by_Year-Month-Hour'!N$518*'LBMP_by_Year-Month-Hour'!N527,$B$34*'LBMP_by_Year-Month-Hour'!N$550*'LBMP_by_Year-Month-Hour'!N559,$B$35*'LBMP_by_Year-Month-Hour'!N$582*'LBMP_by_Year-Month-Hour'!N591)*N24/$C$6/24</f>
        <v>0</v>
      </c>
      <c r="P55">
        <v>5</v>
      </c>
      <c r="Q55">
        <f>SUM($B$19*'LBMP_by_Year-Month-Hour'!Q$70*'LBMP_by_Year-Month-Hour'!Q79,$B$20*'LBMP_by_Year-Month-Hour'!Q$102*'LBMP_by_Year-Month-Hour'!Q111,$B$21*'LBMP_by_Year-Month-Hour'!Q$134*'LBMP_by_Year-Month-Hour'!Q143,$B$22*'LBMP_by_Year-Month-Hour'!Q$166*'LBMP_by_Year-Month-Hour'!Q175,$B$23*'LBMP_by_Year-Month-Hour'!Q$198*'LBMP_by_Year-Month-Hour'!Q207,$B$24*'LBMP_by_Year-Month-Hour'!Q$230*'LBMP_by_Year-Month-Hour'!Q239,$B$25*'LBMP_by_Year-Month-Hour'!Q$262*'LBMP_by_Year-Month-Hour'!Q271,$B$26*'LBMP_by_Year-Month-Hour'!Q$294*'LBMP_by_Year-Month-Hour'!Q303,$B$27*'LBMP_by_Year-Month-Hour'!Q$326*'LBMP_by_Year-Month-Hour'!Q335,$B$28*'LBMP_by_Year-Month-Hour'!Q$358*'LBMP_by_Year-Month-Hour'!Q367,$B$29*'LBMP_by_Year-Month-Hour'!Q$390*'LBMP_by_Year-Month-Hour'!Q399,$B$30*'LBMP_by_Year-Month-Hour'!Q$422*'LBMP_by_Year-Month-Hour'!Q431,$B$31*'LBMP_by_Year-Month-Hour'!Q$454*'LBMP_by_Year-Month-Hour'!Q463,$B$32*'LBMP_by_Year-Month-Hour'!Q$486*'LBMP_by_Year-Month-Hour'!Q495,$B$33*'LBMP_by_Year-Month-Hour'!Q$518*'LBMP_by_Year-Month-Hour'!Q527,$B$34*'LBMP_by_Year-Month-Hour'!Q$550*'LBMP_by_Year-Month-Hour'!Q559,$B$35*'LBMP_by_Year-Month-Hour'!Q$582*'LBMP_by_Year-Month-Hour'!Q591)*Q24/$C$6/24</f>
        <v>0</v>
      </c>
      <c r="S55">
        <v>5</v>
      </c>
      <c r="T55">
        <f>SUM($B$19*'LBMP_by_Year-Month-Hour'!T$70*'LBMP_by_Year-Month-Hour'!T79,$B$20*'LBMP_by_Year-Month-Hour'!T$102*'LBMP_by_Year-Month-Hour'!T111,$B$21*'LBMP_by_Year-Month-Hour'!T$134*'LBMP_by_Year-Month-Hour'!T143,$B$22*'LBMP_by_Year-Month-Hour'!T$166*'LBMP_by_Year-Month-Hour'!T175,$B$23*'LBMP_by_Year-Month-Hour'!T$198*'LBMP_by_Year-Month-Hour'!T207,$B$24*'LBMP_by_Year-Month-Hour'!T$230*'LBMP_by_Year-Month-Hour'!T239,$B$25*'LBMP_by_Year-Month-Hour'!T$262*'LBMP_by_Year-Month-Hour'!T271,$B$26*'LBMP_by_Year-Month-Hour'!T$294*'LBMP_by_Year-Month-Hour'!T303,$B$27*'LBMP_by_Year-Month-Hour'!T$326*'LBMP_by_Year-Month-Hour'!T335,$B$28*'LBMP_by_Year-Month-Hour'!T$358*'LBMP_by_Year-Month-Hour'!T367,$B$29*'LBMP_by_Year-Month-Hour'!T$390*'LBMP_by_Year-Month-Hour'!T399,$B$30*'LBMP_by_Year-Month-Hour'!T$422*'LBMP_by_Year-Month-Hour'!T431,$B$31*'LBMP_by_Year-Month-Hour'!T$454*'LBMP_by_Year-Month-Hour'!T463,$B$32*'LBMP_by_Year-Month-Hour'!T$486*'LBMP_by_Year-Month-Hour'!T495,$B$33*'LBMP_by_Year-Month-Hour'!T$518*'LBMP_by_Year-Month-Hour'!T527,$B$34*'LBMP_by_Year-Month-Hour'!T$550*'LBMP_by_Year-Month-Hour'!T559,$B$35*'LBMP_by_Year-Month-Hour'!T$582*'LBMP_by_Year-Month-Hour'!T591)*T24/$C$6/24</f>
        <v>-29959.798460513321</v>
      </c>
      <c r="V55">
        <v>5</v>
      </c>
      <c r="W55">
        <f>SUM($B$19*'LBMP_by_Year-Month-Hour'!W$70*'LBMP_by_Year-Month-Hour'!W79,$B$20*'LBMP_by_Year-Month-Hour'!W$102*'LBMP_by_Year-Month-Hour'!W111,$B$21*'LBMP_by_Year-Month-Hour'!W$134*'LBMP_by_Year-Month-Hour'!W143,$B$22*'LBMP_by_Year-Month-Hour'!W$166*'LBMP_by_Year-Month-Hour'!W175,$B$23*'LBMP_by_Year-Month-Hour'!W$198*'LBMP_by_Year-Month-Hour'!W207,$B$24*'LBMP_by_Year-Month-Hour'!W$230*'LBMP_by_Year-Month-Hour'!W239,$B$25*'LBMP_by_Year-Month-Hour'!W$262*'LBMP_by_Year-Month-Hour'!W271,$B$26*'LBMP_by_Year-Month-Hour'!W$294*'LBMP_by_Year-Month-Hour'!W303,$B$27*'LBMP_by_Year-Month-Hour'!W$326*'LBMP_by_Year-Month-Hour'!W335,$B$28*'LBMP_by_Year-Month-Hour'!W$358*'LBMP_by_Year-Month-Hour'!W367,$B$29*'LBMP_by_Year-Month-Hour'!W$390*'LBMP_by_Year-Month-Hour'!W399,$B$30*'LBMP_by_Year-Month-Hour'!W$422*'LBMP_by_Year-Month-Hour'!W431,$B$31*'LBMP_by_Year-Month-Hour'!W$454*'LBMP_by_Year-Month-Hour'!W463,$B$32*'LBMP_by_Year-Month-Hour'!W$486*'LBMP_by_Year-Month-Hour'!W495,$B$33*'LBMP_by_Year-Month-Hour'!W$518*'LBMP_by_Year-Month-Hour'!W527,$B$34*'LBMP_by_Year-Month-Hour'!W$550*'LBMP_by_Year-Month-Hour'!W559,$B$35*'LBMP_by_Year-Month-Hour'!W$582*'LBMP_by_Year-Month-Hour'!W591)*W24/$C$6/24</f>
        <v>-33001.23467808545</v>
      </c>
      <c r="Y55">
        <v>5</v>
      </c>
      <c r="Z55">
        <f>SUM($B$19*'LBMP_by_Year-Month-Hour'!Z$70*'LBMP_by_Year-Month-Hour'!Z79,$B$20*'LBMP_by_Year-Month-Hour'!Z$102*'LBMP_by_Year-Month-Hour'!Z111,$B$21*'LBMP_by_Year-Month-Hour'!Z$134*'LBMP_by_Year-Month-Hour'!Z143,$B$22*'LBMP_by_Year-Month-Hour'!Z$166*'LBMP_by_Year-Month-Hour'!Z175,$B$23*'LBMP_by_Year-Month-Hour'!Z$198*'LBMP_by_Year-Month-Hour'!Z207,$B$24*'LBMP_by_Year-Month-Hour'!Z$230*'LBMP_by_Year-Month-Hour'!Z239,$B$25*'LBMP_by_Year-Month-Hour'!Z$262*'LBMP_by_Year-Month-Hour'!Z271,$B$26*'LBMP_by_Year-Month-Hour'!Z$294*'LBMP_by_Year-Month-Hour'!Z303,$B$27*'LBMP_by_Year-Month-Hour'!Z$326*'LBMP_by_Year-Month-Hour'!Z335,$B$28*'LBMP_by_Year-Month-Hour'!Z$358*'LBMP_by_Year-Month-Hour'!Z367,$B$29*'LBMP_by_Year-Month-Hour'!Z$390*'LBMP_by_Year-Month-Hour'!Z399,$B$30*'LBMP_by_Year-Month-Hour'!Z$422*'LBMP_by_Year-Month-Hour'!Z431,$B$31*'LBMP_by_Year-Month-Hour'!Z$454*'LBMP_by_Year-Month-Hour'!Z463,$B$32*'LBMP_by_Year-Month-Hour'!Z$486*'LBMP_by_Year-Month-Hour'!Z495,$B$33*'LBMP_by_Year-Month-Hour'!Z$518*'LBMP_by_Year-Month-Hour'!Z527,$B$34*'LBMP_by_Year-Month-Hour'!Z$550*'LBMP_by_Year-Month-Hour'!Z559,$B$35*'LBMP_by_Year-Month-Hour'!Z$582*'LBMP_by_Year-Month-Hour'!Z591)*Z24/$C$6/24</f>
        <v>-31379.134120774233</v>
      </c>
      <c r="AB55">
        <v>5</v>
      </c>
      <c r="AC55">
        <f>SUM($B$19*'LBMP_by_Year-Month-Hour'!AC$70*'LBMP_by_Year-Month-Hour'!AC79,$B$20*'LBMP_by_Year-Month-Hour'!AC$102*'LBMP_by_Year-Month-Hour'!AC111,$B$21*'LBMP_by_Year-Month-Hour'!AC$134*'LBMP_by_Year-Month-Hour'!AC143,$B$22*'LBMP_by_Year-Month-Hour'!AC$166*'LBMP_by_Year-Month-Hour'!AC175,$B$23*'LBMP_by_Year-Month-Hour'!AC$198*'LBMP_by_Year-Month-Hour'!AC207,$B$24*'LBMP_by_Year-Month-Hour'!AC$230*'LBMP_by_Year-Month-Hour'!AC239,$B$25*'LBMP_by_Year-Month-Hour'!AC$262*'LBMP_by_Year-Month-Hour'!AC271,$B$26*'LBMP_by_Year-Month-Hour'!AC$294*'LBMP_by_Year-Month-Hour'!AC303,$B$27*'LBMP_by_Year-Month-Hour'!AC$326*'LBMP_by_Year-Month-Hour'!AC335,$B$28*'LBMP_by_Year-Month-Hour'!AC$358*'LBMP_by_Year-Month-Hour'!AC367,$B$29*'LBMP_by_Year-Month-Hour'!AC$390*'LBMP_by_Year-Month-Hour'!AC399,$B$30*'LBMP_by_Year-Month-Hour'!AC$422*'LBMP_by_Year-Month-Hour'!AC431,$B$31*'LBMP_by_Year-Month-Hour'!AC$454*'LBMP_by_Year-Month-Hour'!AC463,$B$32*'LBMP_by_Year-Month-Hour'!AC$486*'LBMP_by_Year-Month-Hour'!AC495,$B$33*'LBMP_by_Year-Month-Hour'!AC$518*'LBMP_by_Year-Month-Hour'!AC527,$B$34*'LBMP_by_Year-Month-Hour'!AC$550*'LBMP_by_Year-Month-Hour'!AC559,$B$35*'LBMP_by_Year-Month-Hour'!AC$582*'LBMP_by_Year-Month-Hour'!AC591)*AC24/$C$6/24</f>
        <v>-29823.396639296716</v>
      </c>
      <c r="AE55">
        <v>5</v>
      </c>
      <c r="AF55">
        <f>SUM($B$19*'LBMP_by_Year-Month-Hour'!AF$70*'LBMP_by_Year-Month-Hour'!AF79,$B$20*'LBMP_by_Year-Month-Hour'!AF$102*'LBMP_by_Year-Month-Hour'!AF111,$B$21*'LBMP_by_Year-Month-Hour'!AF$134*'LBMP_by_Year-Month-Hour'!AF143,$B$22*'LBMP_by_Year-Month-Hour'!AF$166*'LBMP_by_Year-Month-Hour'!AF175,$B$23*'LBMP_by_Year-Month-Hour'!AF$198*'LBMP_by_Year-Month-Hour'!AF207,$B$24*'LBMP_by_Year-Month-Hour'!AF$230*'LBMP_by_Year-Month-Hour'!AF239,$B$25*'LBMP_by_Year-Month-Hour'!AF$262*'LBMP_by_Year-Month-Hour'!AF271,$B$26*'LBMP_by_Year-Month-Hour'!AF$294*'LBMP_by_Year-Month-Hour'!AF303,$B$27*'LBMP_by_Year-Month-Hour'!AF$326*'LBMP_by_Year-Month-Hour'!AF335,$B$28*'LBMP_by_Year-Month-Hour'!AF$358*'LBMP_by_Year-Month-Hour'!AF367,$B$29*'LBMP_by_Year-Month-Hour'!AF$390*'LBMP_by_Year-Month-Hour'!AF399,$B$30*'LBMP_by_Year-Month-Hour'!AF$422*'LBMP_by_Year-Month-Hour'!AF431,$B$31*'LBMP_by_Year-Month-Hour'!AF$454*'LBMP_by_Year-Month-Hour'!AF463,$B$32*'LBMP_by_Year-Month-Hour'!AF$486*'LBMP_by_Year-Month-Hour'!AF495,$B$33*'LBMP_by_Year-Month-Hour'!AF$518*'LBMP_by_Year-Month-Hour'!AF527,$B$34*'LBMP_by_Year-Month-Hour'!AF$550*'LBMP_by_Year-Month-Hour'!AF559,$B$35*'LBMP_by_Year-Month-Hour'!AF$582*'LBMP_by_Year-Month-Hour'!AF591)*AF24/$C$6/24</f>
        <v>0</v>
      </c>
      <c r="AH55">
        <v>5</v>
      </c>
      <c r="AI55">
        <f>SUM($B$19*'LBMP_by_Year-Month-Hour'!AI$70*'LBMP_by_Year-Month-Hour'!AI79,$B$20*'LBMP_by_Year-Month-Hour'!AI$102*'LBMP_by_Year-Month-Hour'!AI111,$B$21*'LBMP_by_Year-Month-Hour'!AI$134*'LBMP_by_Year-Month-Hour'!AI143,$B$22*'LBMP_by_Year-Month-Hour'!AI$166*'LBMP_by_Year-Month-Hour'!AI175,$B$23*'LBMP_by_Year-Month-Hour'!AI$198*'LBMP_by_Year-Month-Hour'!AI207,$B$24*'LBMP_by_Year-Month-Hour'!AI$230*'LBMP_by_Year-Month-Hour'!AI239,$B$25*'LBMP_by_Year-Month-Hour'!AI$262*'LBMP_by_Year-Month-Hour'!AI271,$B$26*'LBMP_by_Year-Month-Hour'!AI$294*'LBMP_by_Year-Month-Hour'!AI303,$B$27*'LBMP_by_Year-Month-Hour'!AI$326*'LBMP_by_Year-Month-Hour'!AI335,$B$28*'LBMP_by_Year-Month-Hour'!AI$358*'LBMP_by_Year-Month-Hour'!AI367,$B$29*'LBMP_by_Year-Month-Hour'!AI$390*'LBMP_by_Year-Month-Hour'!AI399,$B$30*'LBMP_by_Year-Month-Hour'!AI$422*'LBMP_by_Year-Month-Hour'!AI431,$B$31*'LBMP_by_Year-Month-Hour'!AI$454*'LBMP_by_Year-Month-Hour'!AI463,$B$32*'LBMP_by_Year-Month-Hour'!AI$486*'LBMP_by_Year-Month-Hour'!AI495,$B$33*'LBMP_by_Year-Month-Hour'!AI$518*'LBMP_by_Year-Month-Hour'!AI527,$B$34*'LBMP_by_Year-Month-Hour'!AI$550*'LBMP_by_Year-Month-Hour'!AI559,$B$35*'LBMP_by_Year-Month-Hour'!AI$582*'LBMP_by_Year-Month-Hour'!AI591)*AI24/$C$6/24</f>
        <v>0</v>
      </c>
      <c r="AK55">
        <v>5</v>
      </c>
      <c r="AL55">
        <f>SUM($B$19*'LBMP_by_Year-Month-Hour'!AL$70*'LBMP_by_Year-Month-Hour'!AL79,$B$20*'LBMP_by_Year-Month-Hour'!AL$102*'LBMP_by_Year-Month-Hour'!AL111,$B$21*'LBMP_by_Year-Month-Hour'!AL$134*'LBMP_by_Year-Month-Hour'!AL143,$B$22*'LBMP_by_Year-Month-Hour'!AL$166*'LBMP_by_Year-Month-Hour'!AL175,$B$23*'LBMP_by_Year-Month-Hour'!AL$198*'LBMP_by_Year-Month-Hour'!AL207,$B$24*'LBMP_by_Year-Month-Hour'!AL$230*'LBMP_by_Year-Month-Hour'!AL239,$B$25*'LBMP_by_Year-Month-Hour'!AL$262*'LBMP_by_Year-Month-Hour'!AL271,$B$26*'LBMP_by_Year-Month-Hour'!AL$294*'LBMP_by_Year-Month-Hour'!AL303,$B$27*'LBMP_by_Year-Month-Hour'!AL$326*'LBMP_by_Year-Month-Hour'!AL335,$B$28*'LBMP_by_Year-Month-Hour'!AL$358*'LBMP_by_Year-Month-Hour'!AL367,$B$29*'LBMP_by_Year-Month-Hour'!AL$390*'LBMP_by_Year-Month-Hour'!AL399,$B$30*'LBMP_by_Year-Month-Hour'!AL$422*'LBMP_by_Year-Month-Hour'!AL431,$B$31*'LBMP_by_Year-Month-Hour'!AL$454*'LBMP_by_Year-Month-Hour'!AL463,$B$32*'LBMP_by_Year-Month-Hour'!AL$486*'LBMP_by_Year-Month-Hour'!AL495,$B$33*'LBMP_by_Year-Month-Hour'!AL$518*'LBMP_by_Year-Month-Hour'!AL527,$B$34*'LBMP_by_Year-Month-Hour'!AL$550*'LBMP_by_Year-Month-Hour'!AL559,$B$35*'LBMP_by_Year-Month-Hour'!AL$582*'LBMP_by_Year-Month-Hour'!AL591)*AL24/$C$6/24</f>
        <v>0</v>
      </c>
    </row>
    <row r="56" spans="1:38">
      <c r="A56">
        <v>6</v>
      </c>
      <c r="B56">
        <f t="shared" si="9"/>
        <v>-132459.65855385642</v>
      </c>
      <c r="D56">
        <v>6</v>
      </c>
      <c r="E56">
        <f>SUM($B$19*'LBMP_by_Year-Month-Hour'!E$70*'LBMP_by_Year-Month-Hour'!E80,$B$20*'LBMP_by_Year-Month-Hour'!E$102*'LBMP_by_Year-Month-Hour'!E112,$B$21*'LBMP_by_Year-Month-Hour'!E$134*'LBMP_by_Year-Month-Hour'!E144,$B$22*'LBMP_by_Year-Month-Hour'!E$166*'LBMP_by_Year-Month-Hour'!E176,$B$23*'LBMP_by_Year-Month-Hour'!E$198*'LBMP_by_Year-Month-Hour'!E208,$B$24*'LBMP_by_Year-Month-Hour'!E$230*'LBMP_by_Year-Month-Hour'!E240,$B$25*'LBMP_by_Year-Month-Hour'!E$262*'LBMP_by_Year-Month-Hour'!E272,$B$26*'LBMP_by_Year-Month-Hour'!E$294*'LBMP_by_Year-Month-Hour'!E304,$B$27*'LBMP_by_Year-Month-Hour'!E$326*'LBMP_by_Year-Month-Hour'!E336,$B$28*'LBMP_by_Year-Month-Hour'!E$358*'LBMP_by_Year-Month-Hour'!E368,$B$29*'LBMP_by_Year-Month-Hour'!E$390*'LBMP_by_Year-Month-Hour'!E400,$B$30*'LBMP_by_Year-Month-Hour'!E$422*'LBMP_by_Year-Month-Hour'!E432,$B$31*'LBMP_by_Year-Month-Hour'!E$454*'LBMP_by_Year-Month-Hour'!E464,$B$32*'LBMP_by_Year-Month-Hour'!E$486*'LBMP_by_Year-Month-Hour'!E496,$B$33*'LBMP_by_Year-Month-Hour'!E$518*'LBMP_by_Year-Month-Hour'!E528,$B$34*'LBMP_by_Year-Month-Hour'!E$550*'LBMP_by_Year-Month-Hour'!E560,$B$35*'LBMP_by_Year-Month-Hour'!E$582*'LBMP_by_Year-Month-Hour'!E592)*E25/$C$6/24</f>
        <v>0</v>
      </c>
      <c r="G56">
        <v>6</v>
      </c>
      <c r="H56">
        <f>SUM($B$19*'LBMP_by_Year-Month-Hour'!H$70*'LBMP_by_Year-Month-Hour'!H80,$B$20*'LBMP_by_Year-Month-Hour'!H$102*'LBMP_by_Year-Month-Hour'!H112,$B$21*'LBMP_by_Year-Month-Hour'!H$134*'LBMP_by_Year-Month-Hour'!H144,$B$22*'LBMP_by_Year-Month-Hour'!H$166*'LBMP_by_Year-Month-Hour'!H176,$B$23*'LBMP_by_Year-Month-Hour'!H$198*'LBMP_by_Year-Month-Hour'!H208,$B$24*'LBMP_by_Year-Month-Hour'!H$230*'LBMP_by_Year-Month-Hour'!H240,$B$25*'LBMP_by_Year-Month-Hour'!H$262*'LBMP_by_Year-Month-Hour'!H272,$B$26*'LBMP_by_Year-Month-Hour'!H$294*'LBMP_by_Year-Month-Hour'!H304,$B$27*'LBMP_by_Year-Month-Hour'!H$326*'LBMP_by_Year-Month-Hour'!H336,$B$28*'LBMP_by_Year-Month-Hour'!H$358*'LBMP_by_Year-Month-Hour'!H368,$B$29*'LBMP_by_Year-Month-Hour'!H$390*'LBMP_by_Year-Month-Hour'!H400,$B$30*'LBMP_by_Year-Month-Hour'!H$422*'LBMP_by_Year-Month-Hour'!H432,$B$31*'LBMP_by_Year-Month-Hour'!H$454*'LBMP_by_Year-Month-Hour'!H464,$B$32*'LBMP_by_Year-Month-Hour'!H$486*'LBMP_by_Year-Month-Hour'!H496,$B$33*'LBMP_by_Year-Month-Hour'!H$518*'LBMP_by_Year-Month-Hour'!H528,$B$34*'LBMP_by_Year-Month-Hour'!H$550*'LBMP_by_Year-Month-Hour'!H560,$B$35*'LBMP_by_Year-Month-Hour'!H$582*'LBMP_by_Year-Month-Hour'!H592)*H25/$C$6/24</f>
        <v>0</v>
      </c>
      <c r="J56">
        <v>6</v>
      </c>
      <c r="K56">
        <f>SUM($B$19*'LBMP_by_Year-Month-Hour'!K$70*'LBMP_by_Year-Month-Hour'!K80,$B$20*'LBMP_by_Year-Month-Hour'!K$102*'LBMP_by_Year-Month-Hour'!K112,$B$21*'LBMP_by_Year-Month-Hour'!K$134*'LBMP_by_Year-Month-Hour'!K144,$B$22*'LBMP_by_Year-Month-Hour'!K$166*'LBMP_by_Year-Month-Hour'!K176,$B$23*'LBMP_by_Year-Month-Hour'!K$198*'LBMP_by_Year-Month-Hour'!K208,$B$24*'LBMP_by_Year-Month-Hour'!K$230*'LBMP_by_Year-Month-Hour'!K240,$B$25*'LBMP_by_Year-Month-Hour'!K$262*'LBMP_by_Year-Month-Hour'!K272,$B$26*'LBMP_by_Year-Month-Hour'!K$294*'LBMP_by_Year-Month-Hour'!K304,$B$27*'LBMP_by_Year-Month-Hour'!K$326*'LBMP_by_Year-Month-Hour'!K336,$B$28*'LBMP_by_Year-Month-Hour'!K$358*'LBMP_by_Year-Month-Hour'!K368,$B$29*'LBMP_by_Year-Month-Hour'!K$390*'LBMP_by_Year-Month-Hour'!K400,$B$30*'LBMP_by_Year-Month-Hour'!K$422*'LBMP_by_Year-Month-Hour'!K432,$B$31*'LBMP_by_Year-Month-Hour'!K$454*'LBMP_by_Year-Month-Hour'!K464,$B$32*'LBMP_by_Year-Month-Hour'!K$486*'LBMP_by_Year-Month-Hour'!K496,$B$33*'LBMP_by_Year-Month-Hour'!K$518*'LBMP_by_Year-Month-Hour'!K528,$B$34*'LBMP_by_Year-Month-Hour'!K$550*'LBMP_by_Year-Month-Hour'!K560,$B$35*'LBMP_by_Year-Month-Hour'!K$582*'LBMP_by_Year-Month-Hour'!K592)*K25/$C$6/24</f>
        <v>0</v>
      </c>
      <c r="M56">
        <v>6</v>
      </c>
      <c r="N56">
        <f>SUM($B$19*'LBMP_by_Year-Month-Hour'!N$70*'LBMP_by_Year-Month-Hour'!N80,$B$20*'LBMP_by_Year-Month-Hour'!N$102*'LBMP_by_Year-Month-Hour'!N112,$B$21*'LBMP_by_Year-Month-Hour'!N$134*'LBMP_by_Year-Month-Hour'!N144,$B$22*'LBMP_by_Year-Month-Hour'!N$166*'LBMP_by_Year-Month-Hour'!N176,$B$23*'LBMP_by_Year-Month-Hour'!N$198*'LBMP_by_Year-Month-Hour'!N208,$B$24*'LBMP_by_Year-Month-Hour'!N$230*'LBMP_by_Year-Month-Hour'!N240,$B$25*'LBMP_by_Year-Month-Hour'!N$262*'LBMP_by_Year-Month-Hour'!N272,$B$26*'LBMP_by_Year-Month-Hour'!N$294*'LBMP_by_Year-Month-Hour'!N304,$B$27*'LBMP_by_Year-Month-Hour'!N$326*'LBMP_by_Year-Month-Hour'!N336,$B$28*'LBMP_by_Year-Month-Hour'!N$358*'LBMP_by_Year-Month-Hour'!N368,$B$29*'LBMP_by_Year-Month-Hour'!N$390*'LBMP_by_Year-Month-Hour'!N400,$B$30*'LBMP_by_Year-Month-Hour'!N$422*'LBMP_by_Year-Month-Hour'!N432,$B$31*'LBMP_by_Year-Month-Hour'!N$454*'LBMP_by_Year-Month-Hour'!N464,$B$32*'LBMP_by_Year-Month-Hour'!N$486*'LBMP_by_Year-Month-Hour'!N496,$B$33*'LBMP_by_Year-Month-Hour'!N$518*'LBMP_by_Year-Month-Hour'!N528,$B$34*'LBMP_by_Year-Month-Hour'!N$550*'LBMP_by_Year-Month-Hour'!N560,$B$35*'LBMP_by_Year-Month-Hour'!N$582*'LBMP_by_Year-Month-Hour'!N592)*N25/$C$6/24</f>
        <v>0</v>
      </c>
      <c r="P56">
        <v>6</v>
      </c>
      <c r="Q56">
        <f>SUM($B$19*'LBMP_by_Year-Month-Hour'!Q$70*'LBMP_by_Year-Month-Hour'!Q80,$B$20*'LBMP_by_Year-Month-Hour'!Q$102*'LBMP_by_Year-Month-Hour'!Q112,$B$21*'LBMP_by_Year-Month-Hour'!Q$134*'LBMP_by_Year-Month-Hour'!Q144,$B$22*'LBMP_by_Year-Month-Hour'!Q$166*'LBMP_by_Year-Month-Hour'!Q176,$B$23*'LBMP_by_Year-Month-Hour'!Q$198*'LBMP_by_Year-Month-Hour'!Q208,$B$24*'LBMP_by_Year-Month-Hour'!Q$230*'LBMP_by_Year-Month-Hour'!Q240,$B$25*'LBMP_by_Year-Month-Hour'!Q$262*'LBMP_by_Year-Month-Hour'!Q272,$B$26*'LBMP_by_Year-Month-Hour'!Q$294*'LBMP_by_Year-Month-Hour'!Q304,$B$27*'LBMP_by_Year-Month-Hour'!Q$326*'LBMP_by_Year-Month-Hour'!Q336,$B$28*'LBMP_by_Year-Month-Hour'!Q$358*'LBMP_by_Year-Month-Hour'!Q368,$B$29*'LBMP_by_Year-Month-Hour'!Q$390*'LBMP_by_Year-Month-Hour'!Q400,$B$30*'LBMP_by_Year-Month-Hour'!Q$422*'LBMP_by_Year-Month-Hour'!Q432,$B$31*'LBMP_by_Year-Month-Hour'!Q$454*'LBMP_by_Year-Month-Hour'!Q464,$B$32*'LBMP_by_Year-Month-Hour'!Q$486*'LBMP_by_Year-Month-Hour'!Q496,$B$33*'LBMP_by_Year-Month-Hour'!Q$518*'LBMP_by_Year-Month-Hour'!Q528,$B$34*'LBMP_by_Year-Month-Hour'!Q$550*'LBMP_by_Year-Month-Hour'!Q560,$B$35*'LBMP_by_Year-Month-Hour'!Q$582*'LBMP_by_Year-Month-Hour'!Q592)*Q25/$C$6/24</f>
        <v>0</v>
      </c>
      <c r="S56">
        <v>6</v>
      </c>
      <c r="T56">
        <f>SUM($B$19*'LBMP_by_Year-Month-Hour'!T$70*'LBMP_by_Year-Month-Hour'!T80,$B$20*'LBMP_by_Year-Month-Hour'!T$102*'LBMP_by_Year-Month-Hour'!T112,$B$21*'LBMP_by_Year-Month-Hour'!T$134*'LBMP_by_Year-Month-Hour'!T144,$B$22*'LBMP_by_Year-Month-Hour'!T$166*'LBMP_by_Year-Month-Hour'!T176,$B$23*'LBMP_by_Year-Month-Hour'!T$198*'LBMP_by_Year-Month-Hour'!T208,$B$24*'LBMP_by_Year-Month-Hour'!T$230*'LBMP_by_Year-Month-Hour'!T240,$B$25*'LBMP_by_Year-Month-Hour'!T$262*'LBMP_by_Year-Month-Hour'!T272,$B$26*'LBMP_by_Year-Month-Hour'!T$294*'LBMP_by_Year-Month-Hour'!T304,$B$27*'LBMP_by_Year-Month-Hour'!T$326*'LBMP_by_Year-Month-Hour'!T336,$B$28*'LBMP_by_Year-Month-Hour'!T$358*'LBMP_by_Year-Month-Hour'!T368,$B$29*'LBMP_by_Year-Month-Hour'!T$390*'LBMP_by_Year-Month-Hour'!T400,$B$30*'LBMP_by_Year-Month-Hour'!T$422*'LBMP_by_Year-Month-Hour'!T432,$B$31*'LBMP_by_Year-Month-Hour'!T$454*'LBMP_by_Year-Month-Hour'!T464,$B$32*'LBMP_by_Year-Month-Hour'!T$486*'LBMP_by_Year-Month-Hour'!T496,$B$33*'LBMP_by_Year-Month-Hour'!T$518*'LBMP_by_Year-Month-Hour'!T528,$B$34*'LBMP_by_Year-Month-Hour'!T$550*'LBMP_by_Year-Month-Hour'!T560,$B$35*'LBMP_by_Year-Month-Hour'!T$582*'LBMP_by_Year-Month-Hour'!T592)*T25/$C$6/24</f>
        <v>-31722.317078818491</v>
      </c>
      <c r="V56">
        <v>6</v>
      </c>
      <c r="W56">
        <f>SUM($B$19*'LBMP_by_Year-Month-Hour'!W$70*'LBMP_by_Year-Month-Hour'!W80,$B$20*'LBMP_by_Year-Month-Hour'!W$102*'LBMP_by_Year-Month-Hour'!W112,$B$21*'LBMP_by_Year-Month-Hour'!W$134*'LBMP_by_Year-Month-Hour'!W144,$B$22*'LBMP_by_Year-Month-Hour'!W$166*'LBMP_by_Year-Month-Hour'!W176,$B$23*'LBMP_by_Year-Month-Hour'!W$198*'LBMP_by_Year-Month-Hour'!W208,$B$24*'LBMP_by_Year-Month-Hour'!W$230*'LBMP_by_Year-Month-Hour'!W240,$B$25*'LBMP_by_Year-Month-Hour'!W$262*'LBMP_by_Year-Month-Hour'!W272,$B$26*'LBMP_by_Year-Month-Hour'!W$294*'LBMP_by_Year-Month-Hour'!W304,$B$27*'LBMP_by_Year-Month-Hour'!W$326*'LBMP_by_Year-Month-Hour'!W336,$B$28*'LBMP_by_Year-Month-Hour'!W$358*'LBMP_by_Year-Month-Hour'!W368,$B$29*'LBMP_by_Year-Month-Hour'!W$390*'LBMP_by_Year-Month-Hour'!W400,$B$30*'LBMP_by_Year-Month-Hour'!W$422*'LBMP_by_Year-Month-Hour'!W432,$B$31*'LBMP_by_Year-Month-Hour'!W$454*'LBMP_by_Year-Month-Hour'!W464,$B$32*'LBMP_by_Year-Month-Hour'!W$486*'LBMP_by_Year-Month-Hour'!W496,$B$33*'LBMP_by_Year-Month-Hour'!W$518*'LBMP_by_Year-Month-Hour'!W528,$B$34*'LBMP_by_Year-Month-Hour'!W$550*'LBMP_by_Year-Month-Hour'!W560,$B$35*'LBMP_by_Year-Month-Hour'!W$582*'LBMP_by_Year-Month-Hour'!W592)*W25/$C$6/24</f>
        <v>-34945.256051196651</v>
      </c>
      <c r="Y56">
        <v>6</v>
      </c>
      <c r="Z56">
        <f>SUM($B$19*'LBMP_by_Year-Month-Hour'!Z$70*'LBMP_by_Year-Month-Hour'!Z80,$B$20*'LBMP_by_Year-Month-Hour'!Z$102*'LBMP_by_Year-Month-Hour'!Z112,$B$21*'LBMP_by_Year-Month-Hour'!Z$134*'LBMP_by_Year-Month-Hour'!Z144,$B$22*'LBMP_by_Year-Month-Hour'!Z$166*'LBMP_by_Year-Month-Hour'!Z176,$B$23*'LBMP_by_Year-Month-Hour'!Z$198*'LBMP_by_Year-Month-Hour'!Z208,$B$24*'LBMP_by_Year-Month-Hour'!Z$230*'LBMP_by_Year-Month-Hour'!Z240,$B$25*'LBMP_by_Year-Month-Hour'!Z$262*'LBMP_by_Year-Month-Hour'!Z272,$B$26*'LBMP_by_Year-Month-Hour'!Z$294*'LBMP_by_Year-Month-Hour'!Z304,$B$27*'LBMP_by_Year-Month-Hour'!Z$326*'LBMP_by_Year-Month-Hour'!Z336,$B$28*'LBMP_by_Year-Month-Hour'!Z$358*'LBMP_by_Year-Month-Hour'!Z368,$B$29*'LBMP_by_Year-Month-Hour'!Z$390*'LBMP_by_Year-Month-Hour'!Z400,$B$30*'LBMP_by_Year-Month-Hour'!Z$422*'LBMP_by_Year-Month-Hour'!Z432,$B$31*'LBMP_by_Year-Month-Hour'!Z$454*'LBMP_by_Year-Month-Hour'!Z464,$B$32*'LBMP_by_Year-Month-Hour'!Z$486*'LBMP_by_Year-Month-Hour'!Z496,$B$33*'LBMP_by_Year-Month-Hour'!Z$518*'LBMP_by_Year-Month-Hour'!Z528,$B$34*'LBMP_by_Year-Month-Hour'!Z$550*'LBMP_by_Year-Month-Hour'!Z560,$B$35*'LBMP_by_Year-Month-Hour'!Z$582*'LBMP_by_Year-Month-Hour'!Z592)*Z25/$C$6/24</f>
        <v>-33474.805826655167</v>
      </c>
      <c r="AB56">
        <v>6</v>
      </c>
      <c r="AC56">
        <f>SUM($B$19*'LBMP_by_Year-Month-Hour'!AC$70*'LBMP_by_Year-Month-Hour'!AC80,$B$20*'LBMP_by_Year-Month-Hour'!AC$102*'LBMP_by_Year-Month-Hour'!AC112,$B$21*'LBMP_by_Year-Month-Hour'!AC$134*'LBMP_by_Year-Month-Hour'!AC144,$B$22*'LBMP_by_Year-Month-Hour'!AC$166*'LBMP_by_Year-Month-Hour'!AC176,$B$23*'LBMP_by_Year-Month-Hour'!AC$198*'LBMP_by_Year-Month-Hour'!AC208,$B$24*'LBMP_by_Year-Month-Hour'!AC$230*'LBMP_by_Year-Month-Hour'!AC240,$B$25*'LBMP_by_Year-Month-Hour'!AC$262*'LBMP_by_Year-Month-Hour'!AC272,$B$26*'LBMP_by_Year-Month-Hour'!AC$294*'LBMP_by_Year-Month-Hour'!AC304,$B$27*'LBMP_by_Year-Month-Hour'!AC$326*'LBMP_by_Year-Month-Hour'!AC336,$B$28*'LBMP_by_Year-Month-Hour'!AC$358*'LBMP_by_Year-Month-Hour'!AC368,$B$29*'LBMP_by_Year-Month-Hour'!AC$390*'LBMP_by_Year-Month-Hour'!AC400,$B$30*'LBMP_by_Year-Month-Hour'!AC$422*'LBMP_by_Year-Month-Hour'!AC432,$B$31*'LBMP_by_Year-Month-Hour'!AC$454*'LBMP_by_Year-Month-Hour'!AC464,$B$32*'LBMP_by_Year-Month-Hour'!AC$486*'LBMP_by_Year-Month-Hour'!AC496,$B$33*'LBMP_by_Year-Month-Hour'!AC$518*'LBMP_by_Year-Month-Hour'!AC528,$B$34*'LBMP_by_Year-Month-Hour'!AC$550*'LBMP_by_Year-Month-Hour'!AC560,$B$35*'LBMP_by_Year-Month-Hour'!AC$582*'LBMP_by_Year-Month-Hour'!AC592)*AC25/$C$6/24</f>
        <v>-32317.279597186134</v>
      </c>
      <c r="AE56">
        <v>6</v>
      </c>
      <c r="AF56">
        <f>SUM($B$19*'LBMP_by_Year-Month-Hour'!AF$70*'LBMP_by_Year-Month-Hour'!AF80,$B$20*'LBMP_by_Year-Month-Hour'!AF$102*'LBMP_by_Year-Month-Hour'!AF112,$B$21*'LBMP_by_Year-Month-Hour'!AF$134*'LBMP_by_Year-Month-Hour'!AF144,$B$22*'LBMP_by_Year-Month-Hour'!AF$166*'LBMP_by_Year-Month-Hour'!AF176,$B$23*'LBMP_by_Year-Month-Hour'!AF$198*'LBMP_by_Year-Month-Hour'!AF208,$B$24*'LBMP_by_Year-Month-Hour'!AF$230*'LBMP_by_Year-Month-Hour'!AF240,$B$25*'LBMP_by_Year-Month-Hour'!AF$262*'LBMP_by_Year-Month-Hour'!AF272,$B$26*'LBMP_by_Year-Month-Hour'!AF$294*'LBMP_by_Year-Month-Hour'!AF304,$B$27*'LBMP_by_Year-Month-Hour'!AF$326*'LBMP_by_Year-Month-Hour'!AF336,$B$28*'LBMP_by_Year-Month-Hour'!AF$358*'LBMP_by_Year-Month-Hour'!AF368,$B$29*'LBMP_by_Year-Month-Hour'!AF$390*'LBMP_by_Year-Month-Hour'!AF400,$B$30*'LBMP_by_Year-Month-Hour'!AF$422*'LBMP_by_Year-Month-Hour'!AF432,$B$31*'LBMP_by_Year-Month-Hour'!AF$454*'LBMP_by_Year-Month-Hour'!AF464,$B$32*'LBMP_by_Year-Month-Hour'!AF$486*'LBMP_by_Year-Month-Hour'!AF496,$B$33*'LBMP_by_Year-Month-Hour'!AF$518*'LBMP_by_Year-Month-Hour'!AF528,$B$34*'LBMP_by_Year-Month-Hour'!AF$550*'LBMP_by_Year-Month-Hour'!AF560,$B$35*'LBMP_by_Year-Month-Hour'!AF$582*'LBMP_by_Year-Month-Hour'!AF592)*AF25/$C$6/24</f>
        <v>0</v>
      </c>
      <c r="AH56">
        <v>6</v>
      </c>
      <c r="AI56">
        <f>SUM($B$19*'LBMP_by_Year-Month-Hour'!AI$70*'LBMP_by_Year-Month-Hour'!AI80,$B$20*'LBMP_by_Year-Month-Hour'!AI$102*'LBMP_by_Year-Month-Hour'!AI112,$B$21*'LBMP_by_Year-Month-Hour'!AI$134*'LBMP_by_Year-Month-Hour'!AI144,$B$22*'LBMP_by_Year-Month-Hour'!AI$166*'LBMP_by_Year-Month-Hour'!AI176,$B$23*'LBMP_by_Year-Month-Hour'!AI$198*'LBMP_by_Year-Month-Hour'!AI208,$B$24*'LBMP_by_Year-Month-Hour'!AI$230*'LBMP_by_Year-Month-Hour'!AI240,$B$25*'LBMP_by_Year-Month-Hour'!AI$262*'LBMP_by_Year-Month-Hour'!AI272,$B$26*'LBMP_by_Year-Month-Hour'!AI$294*'LBMP_by_Year-Month-Hour'!AI304,$B$27*'LBMP_by_Year-Month-Hour'!AI$326*'LBMP_by_Year-Month-Hour'!AI336,$B$28*'LBMP_by_Year-Month-Hour'!AI$358*'LBMP_by_Year-Month-Hour'!AI368,$B$29*'LBMP_by_Year-Month-Hour'!AI$390*'LBMP_by_Year-Month-Hour'!AI400,$B$30*'LBMP_by_Year-Month-Hour'!AI$422*'LBMP_by_Year-Month-Hour'!AI432,$B$31*'LBMP_by_Year-Month-Hour'!AI$454*'LBMP_by_Year-Month-Hour'!AI464,$B$32*'LBMP_by_Year-Month-Hour'!AI$486*'LBMP_by_Year-Month-Hour'!AI496,$B$33*'LBMP_by_Year-Month-Hour'!AI$518*'LBMP_by_Year-Month-Hour'!AI528,$B$34*'LBMP_by_Year-Month-Hour'!AI$550*'LBMP_by_Year-Month-Hour'!AI560,$B$35*'LBMP_by_Year-Month-Hour'!AI$582*'LBMP_by_Year-Month-Hour'!AI592)*AI25/$C$6/24</f>
        <v>0</v>
      </c>
      <c r="AK56">
        <v>6</v>
      </c>
      <c r="AL56">
        <f>SUM($B$19*'LBMP_by_Year-Month-Hour'!AL$70*'LBMP_by_Year-Month-Hour'!AL80,$B$20*'LBMP_by_Year-Month-Hour'!AL$102*'LBMP_by_Year-Month-Hour'!AL112,$B$21*'LBMP_by_Year-Month-Hour'!AL$134*'LBMP_by_Year-Month-Hour'!AL144,$B$22*'LBMP_by_Year-Month-Hour'!AL$166*'LBMP_by_Year-Month-Hour'!AL176,$B$23*'LBMP_by_Year-Month-Hour'!AL$198*'LBMP_by_Year-Month-Hour'!AL208,$B$24*'LBMP_by_Year-Month-Hour'!AL$230*'LBMP_by_Year-Month-Hour'!AL240,$B$25*'LBMP_by_Year-Month-Hour'!AL$262*'LBMP_by_Year-Month-Hour'!AL272,$B$26*'LBMP_by_Year-Month-Hour'!AL$294*'LBMP_by_Year-Month-Hour'!AL304,$B$27*'LBMP_by_Year-Month-Hour'!AL$326*'LBMP_by_Year-Month-Hour'!AL336,$B$28*'LBMP_by_Year-Month-Hour'!AL$358*'LBMP_by_Year-Month-Hour'!AL368,$B$29*'LBMP_by_Year-Month-Hour'!AL$390*'LBMP_by_Year-Month-Hour'!AL400,$B$30*'LBMP_by_Year-Month-Hour'!AL$422*'LBMP_by_Year-Month-Hour'!AL432,$B$31*'LBMP_by_Year-Month-Hour'!AL$454*'LBMP_by_Year-Month-Hour'!AL464,$B$32*'LBMP_by_Year-Month-Hour'!AL$486*'LBMP_by_Year-Month-Hour'!AL496,$B$33*'LBMP_by_Year-Month-Hour'!AL$518*'LBMP_by_Year-Month-Hour'!AL528,$B$34*'LBMP_by_Year-Month-Hour'!AL$550*'LBMP_by_Year-Month-Hour'!AL560,$B$35*'LBMP_by_Year-Month-Hour'!AL$582*'LBMP_by_Year-Month-Hour'!AL592)*AL25/$C$6/24</f>
        <v>0</v>
      </c>
    </row>
    <row r="57" spans="1:38">
      <c r="A57">
        <v>7</v>
      </c>
      <c r="B57">
        <f t="shared" si="9"/>
        <v>-140609.47560459987</v>
      </c>
      <c r="D57">
        <v>7</v>
      </c>
      <c r="E57">
        <f>SUM($B$19*'LBMP_by_Year-Month-Hour'!E$70*'LBMP_by_Year-Month-Hour'!E81,$B$20*'LBMP_by_Year-Month-Hour'!E$102*'LBMP_by_Year-Month-Hour'!E113,$B$21*'LBMP_by_Year-Month-Hour'!E$134*'LBMP_by_Year-Month-Hour'!E145,$B$22*'LBMP_by_Year-Month-Hour'!E$166*'LBMP_by_Year-Month-Hour'!E177,$B$23*'LBMP_by_Year-Month-Hour'!E$198*'LBMP_by_Year-Month-Hour'!E209,$B$24*'LBMP_by_Year-Month-Hour'!E$230*'LBMP_by_Year-Month-Hour'!E241,$B$25*'LBMP_by_Year-Month-Hour'!E$262*'LBMP_by_Year-Month-Hour'!E273,$B$26*'LBMP_by_Year-Month-Hour'!E$294*'LBMP_by_Year-Month-Hour'!E305,$B$27*'LBMP_by_Year-Month-Hour'!E$326*'LBMP_by_Year-Month-Hour'!E337,$B$28*'LBMP_by_Year-Month-Hour'!E$358*'LBMP_by_Year-Month-Hour'!E369,$B$29*'LBMP_by_Year-Month-Hour'!E$390*'LBMP_by_Year-Month-Hour'!E401,$B$30*'LBMP_by_Year-Month-Hour'!E$422*'LBMP_by_Year-Month-Hour'!E433,$B$31*'LBMP_by_Year-Month-Hour'!E$454*'LBMP_by_Year-Month-Hour'!E465,$B$32*'LBMP_by_Year-Month-Hour'!E$486*'LBMP_by_Year-Month-Hour'!E497,$B$33*'LBMP_by_Year-Month-Hour'!E$518*'LBMP_by_Year-Month-Hour'!E529,$B$34*'LBMP_by_Year-Month-Hour'!E$550*'LBMP_by_Year-Month-Hour'!E561,$B$35*'LBMP_by_Year-Month-Hour'!E$582*'LBMP_by_Year-Month-Hour'!E593)*E26/$C$6/24</f>
        <v>0</v>
      </c>
      <c r="G57">
        <v>7</v>
      </c>
      <c r="H57">
        <f>SUM($B$19*'LBMP_by_Year-Month-Hour'!H$70*'LBMP_by_Year-Month-Hour'!H81,$B$20*'LBMP_by_Year-Month-Hour'!H$102*'LBMP_by_Year-Month-Hour'!H113,$B$21*'LBMP_by_Year-Month-Hour'!H$134*'LBMP_by_Year-Month-Hour'!H145,$B$22*'LBMP_by_Year-Month-Hour'!H$166*'LBMP_by_Year-Month-Hour'!H177,$B$23*'LBMP_by_Year-Month-Hour'!H$198*'LBMP_by_Year-Month-Hour'!H209,$B$24*'LBMP_by_Year-Month-Hour'!H$230*'LBMP_by_Year-Month-Hour'!H241,$B$25*'LBMP_by_Year-Month-Hour'!H$262*'LBMP_by_Year-Month-Hour'!H273,$B$26*'LBMP_by_Year-Month-Hour'!H$294*'LBMP_by_Year-Month-Hour'!H305,$B$27*'LBMP_by_Year-Month-Hour'!H$326*'LBMP_by_Year-Month-Hour'!H337,$B$28*'LBMP_by_Year-Month-Hour'!H$358*'LBMP_by_Year-Month-Hour'!H369,$B$29*'LBMP_by_Year-Month-Hour'!H$390*'LBMP_by_Year-Month-Hour'!H401,$B$30*'LBMP_by_Year-Month-Hour'!H$422*'LBMP_by_Year-Month-Hour'!H433,$B$31*'LBMP_by_Year-Month-Hour'!H$454*'LBMP_by_Year-Month-Hour'!H465,$B$32*'LBMP_by_Year-Month-Hour'!H$486*'LBMP_by_Year-Month-Hour'!H497,$B$33*'LBMP_by_Year-Month-Hour'!H$518*'LBMP_by_Year-Month-Hour'!H529,$B$34*'LBMP_by_Year-Month-Hour'!H$550*'LBMP_by_Year-Month-Hour'!H561,$B$35*'LBMP_by_Year-Month-Hour'!H$582*'LBMP_by_Year-Month-Hour'!H593)*H26/$C$6/24</f>
        <v>0</v>
      </c>
      <c r="J57">
        <v>7</v>
      </c>
      <c r="K57">
        <f>SUM($B$19*'LBMP_by_Year-Month-Hour'!K$70*'LBMP_by_Year-Month-Hour'!K81,$B$20*'LBMP_by_Year-Month-Hour'!K$102*'LBMP_by_Year-Month-Hour'!K113,$B$21*'LBMP_by_Year-Month-Hour'!K$134*'LBMP_by_Year-Month-Hour'!K145,$B$22*'LBMP_by_Year-Month-Hour'!K$166*'LBMP_by_Year-Month-Hour'!K177,$B$23*'LBMP_by_Year-Month-Hour'!K$198*'LBMP_by_Year-Month-Hour'!K209,$B$24*'LBMP_by_Year-Month-Hour'!K$230*'LBMP_by_Year-Month-Hour'!K241,$B$25*'LBMP_by_Year-Month-Hour'!K$262*'LBMP_by_Year-Month-Hour'!K273,$B$26*'LBMP_by_Year-Month-Hour'!K$294*'LBMP_by_Year-Month-Hour'!K305,$B$27*'LBMP_by_Year-Month-Hour'!K$326*'LBMP_by_Year-Month-Hour'!K337,$B$28*'LBMP_by_Year-Month-Hour'!K$358*'LBMP_by_Year-Month-Hour'!K369,$B$29*'LBMP_by_Year-Month-Hour'!K$390*'LBMP_by_Year-Month-Hour'!K401,$B$30*'LBMP_by_Year-Month-Hour'!K$422*'LBMP_by_Year-Month-Hour'!K433,$B$31*'LBMP_by_Year-Month-Hour'!K$454*'LBMP_by_Year-Month-Hour'!K465,$B$32*'LBMP_by_Year-Month-Hour'!K$486*'LBMP_by_Year-Month-Hour'!K497,$B$33*'LBMP_by_Year-Month-Hour'!K$518*'LBMP_by_Year-Month-Hour'!K529,$B$34*'LBMP_by_Year-Month-Hour'!K$550*'LBMP_by_Year-Month-Hour'!K561,$B$35*'LBMP_by_Year-Month-Hour'!K$582*'LBMP_by_Year-Month-Hour'!K593)*K26/$C$6/24</f>
        <v>0</v>
      </c>
      <c r="M57">
        <v>7</v>
      </c>
      <c r="N57">
        <f>SUM($B$19*'LBMP_by_Year-Month-Hour'!N$70*'LBMP_by_Year-Month-Hour'!N81,$B$20*'LBMP_by_Year-Month-Hour'!N$102*'LBMP_by_Year-Month-Hour'!N113,$B$21*'LBMP_by_Year-Month-Hour'!N$134*'LBMP_by_Year-Month-Hour'!N145,$B$22*'LBMP_by_Year-Month-Hour'!N$166*'LBMP_by_Year-Month-Hour'!N177,$B$23*'LBMP_by_Year-Month-Hour'!N$198*'LBMP_by_Year-Month-Hour'!N209,$B$24*'LBMP_by_Year-Month-Hour'!N$230*'LBMP_by_Year-Month-Hour'!N241,$B$25*'LBMP_by_Year-Month-Hour'!N$262*'LBMP_by_Year-Month-Hour'!N273,$B$26*'LBMP_by_Year-Month-Hour'!N$294*'LBMP_by_Year-Month-Hour'!N305,$B$27*'LBMP_by_Year-Month-Hour'!N$326*'LBMP_by_Year-Month-Hour'!N337,$B$28*'LBMP_by_Year-Month-Hour'!N$358*'LBMP_by_Year-Month-Hour'!N369,$B$29*'LBMP_by_Year-Month-Hour'!N$390*'LBMP_by_Year-Month-Hour'!N401,$B$30*'LBMP_by_Year-Month-Hour'!N$422*'LBMP_by_Year-Month-Hour'!N433,$B$31*'LBMP_by_Year-Month-Hour'!N$454*'LBMP_by_Year-Month-Hour'!N465,$B$32*'LBMP_by_Year-Month-Hour'!N$486*'LBMP_by_Year-Month-Hour'!N497,$B$33*'LBMP_by_Year-Month-Hour'!N$518*'LBMP_by_Year-Month-Hour'!N529,$B$34*'LBMP_by_Year-Month-Hour'!N$550*'LBMP_by_Year-Month-Hour'!N561,$B$35*'LBMP_by_Year-Month-Hour'!N$582*'LBMP_by_Year-Month-Hour'!N593)*N26/$C$6/24</f>
        <v>0</v>
      </c>
      <c r="P57">
        <v>7</v>
      </c>
      <c r="Q57">
        <f>SUM($B$19*'LBMP_by_Year-Month-Hour'!Q$70*'LBMP_by_Year-Month-Hour'!Q81,$B$20*'LBMP_by_Year-Month-Hour'!Q$102*'LBMP_by_Year-Month-Hour'!Q113,$B$21*'LBMP_by_Year-Month-Hour'!Q$134*'LBMP_by_Year-Month-Hour'!Q145,$B$22*'LBMP_by_Year-Month-Hour'!Q$166*'LBMP_by_Year-Month-Hour'!Q177,$B$23*'LBMP_by_Year-Month-Hour'!Q$198*'LBMP_by_Year-Month-Hour'!Q209,$B$24*'LBMP_by_Year-Month-Hour'!Q$230*'LBMP_by_Year-Month-Hour'!Q241,$B$25*'LBMP_by_Year-Month-Hour'!Q$262*'LBMP_by_Year-Month-Hour'!Q273,$B$26*'LBMP_by_Year-Month-Hour'!Q$294*'LBMP_by_Year-Month-Hour'!Q305,$B$27*'LBMP_by_Year-Month-Hour'!Q$326*'LBMP_by_Year-Month-Hour'!Q337,$B$28*'LBMP_by_Year-Month-Hour'!Q$358*'LBMP_by_Year-Month-Hour'!Q369,$B$29*'LBMP_by_Year-Month-Hour'!Q$390*'LBMP_by_Year-Month-Hour'!Q401,$B$30*'LBMP_by_Year-Month-Hour'!Q$422*'LBMP_by_Year-Month-Hour'!Q433,$B$31*'LBMP_by_Year-Month-Hour'!Q$454*'LBMP_by_Year-Month-Hour'!Q465,$B$32*'LBMP_by_Year-Month-Hour'!Q$486*'LBMP_by_Year-Month-Hour'!Q497,$B$33*'LBMP_by_Year-Month-Hour'!Q$518*'LBMP_by_Year-Month-Hour'!Q529,$B$34*'LBMP_by_Year-Month-Hour'!Q$550*'LBMP_by_Year-Month-Hour'!Q561,$B$35*'LBMP_by_Year-Month-Hour'!Q$582*'LBMP_by_Year-Month-Hour'!Q593)*Q26/$C$6/24</f>
        <v>0</v>
      </c>
      <c r="S57">
        <v>7</v>
      </c>
      <c r="T57">
        <f>SUM($B$19*'LBMP_by_Year-Month-Hour'!T$70*'LBMP_by_Year-Month-Hour'!T81,$B$20*'LBMP_by_Year-Month-Hour'!T$102*'LBMP_by_Year-Month-Hour'!T113,$B$21*'LBMP_by_Year-Month-Hour'!T$134*'LBMP_by_Year-Month-Hour'!T145,$B$22*'LBMP_by_Year-Month-Hour'!T$166*'LBMP_by_Year-Month-Hour'!T177,$B$23*'LBMP_by_Year-Month-Hour'!T$198*'LBMP_by_Year-Month-Hour'!T209,$B$24*'LBMP_by_Year-Month-Hour'!T$230*'LBMP_by_Year-Month-Hour'!T241,$B$25*'LBMP_by_Year-Month-Hour'!T$262*'LBMP_by_Year-Month-Hour'!T273,$B$26*'LBMP_by_Year-Month-Hour'!T$294*'LBMP_by_Year-Month-Hour'!T305,$B$27*'LBMP_by_Year-Month-Hour'!T$326*'LBMP_by_Year-Month-Hour'!T337,$B$28*'LBMP_by_Year-Month-Hour'!T$358*'LBMP_by_Year-Month-Hour'!T369,$B$29*'LBMP_by_Year-Month-Hour'!T$390*'LBMP_by_Year-Month-Hour'!T401,$B$30*'LBMP_by_Year-Month-Hour'!T$422*'LBMP_by_Year-Month-Hour'!T433,$B$31*'LBMP_by_Year-Month-Hour'!T$454*'LBMP_by_Year-Month-Hour'!T465,$B$32*'LBMP_by_Year-Month-Hour'!T$486*'LBMP_by_Year-Month-Hour'!T497,$B$33*'LBMP_by_Year-Month-Hour'!T$518*'LBMP_by_Year-Month-Hour'!T529,$B$34*'LBMP_by_Year-Month-Hour'!T$550*'LBMP_by_Year-Month-Hour'!T561,$B$35*'LBMP_by_Year-Month-Hour'!T$582*'LBMP_by_Year-Month-Hour'!T593)*T26/$C$6/24</f>
        <v>-33039.71680729284</v>
      </c>
      <c r="V57">
        <v>7</v>
      </c>
      <c r="W57">
        <f>SUM($B$19*'LBMP_by_Year-Month-Hour'!W$70*'LBMP_by_Year-Month-Hour'!W81,$B$20*'LBMP_by_Year-Month-Hour'!W$102*'LBMP_by_Year-Month-Hour'!W113,$B$21*'LBMP_by_Year-Month-Hour'!W$134*'LBMP_by_Year-Month-Hour'!W145,$B$22*'LBMP_by_Year-Month-Hour'!W$166*'LBMP_by_Year-Month-Hour'!W177,$B$23*'LBMP_by_Year-Month-Hour'!W$198*'LBMP_by_Year-Month-Hour'!W209,$B$24*'LBMP_by_Year-Month-Hour'!W$230*'LBMP_by_Year-Month-Hour'!W241,$B$25*'LBMP_by_Year-Month-Hour'!W$262*'LBMP_by_Year-Month-Hour'!W273,$B$26*'LBMP_by_Year-Month-Hour'!W$294*'LBMP_by_Year-Month-Hour'!W305,$B$27*'LBMP_by_Year-Month-Hour'!W$326*'LBMP_by_Year-Month-Hour'!W337,$B$28*'LBMP_by_Year-Month-Hour'!W$358*'LBMP_by_Year-Month-Hour'!W369,$B$29*'LBMP_by_Year-Month-Hour'!W$390*'LBMP_by_Year-Month-Hour'!W401,$B$30*'LBMP_by_Year-Month-Hour'!W$422*'LBMP_by_Year-Month-Hour'!W433,$B$31*'LBMP_by_Year-Month-Hour'!W$454*'LBMP_by_Year-Month-Hour'!W465,$B$32*'LBMP_by_Year-Month-Hour'!W$486*'LBMP_by_Year-Month-Hour'!W497,$B$33*'LBMP_by_Year-Month-Hour'!W$518*'LBMP_by_Year-Month-Hour'!W529,$B$34*'LBMP_by_Year-Month-Hour'!W$550*'LBMP_by_Year-Month-Hour'!W561,$B$35*'LBMP_by_Year-Month-Hour'!W$582*'LBMP_by_Year-Month-Hour'!W593)*W26/$C$6/24</f>
        <v>-37221.160458391161</v>
      </c>
      <c r="Y57">
        <v>7</v>
      </c>
      <c r="Z57">
        <f>SUM($B$19*'LBMP_by_Year-Month-Hour'!Z$70*'LBMP_by_Year-Month-Hour'!Z81,$B$20*'LBMP_by_Year-Month-Hour'!Z$102*'LBMP_by_Year-Month-Hour'!Z113,$B$21*'LBMP_by_Year-Month-Hour'!Z$134*'LBMP_by_Year-Month-Hour'!Z145,$B$22*'LBMP_by_Year-Month-Hour'!Z$166*'LBMP_by_Year-Month-Hour'!Z177,$B$23*'LBMP_by_Year-Month-Hour'!Z$198*'LBMP_by_Year-Month-Hour'!Z209,$B$24*'LBMP_by_Year-Month-Hour'!Z$230*'LBMP_by_Year-Month-Hour'!Z241,$B$25*'LBMP_by_Year-Month-Hour'!Z$262*'LBMP_by_Year-Month-Hour'!Z273,$B$26*'LBMP_by_Year-Month-Hour'!Z$294*'LBMP_by_Year-Month-Hour'!Z305,$B$27*'LBMP_by_Year-Month-Hour'!Z$326*'LBMP_by_Year-Month-Hour'!Z337,$B$28*'LBMP_by_Year-Month-Hour'!Z$358*'LBMP_by_Year-Month-Hour'!Z369,$B$29*'LBMP_by_Year-Month-Hour'!Z$390*'LBMP_by_Year-Month-Hour'!Z401,$B$30*'LBMP_by_Year-Month-Hour'!Z$422*'LBMP_by_Year-Month-Hour'!Z433,$B$31*'LBMP_by_Year-Month-Hour'!Z$454*'LBMP_by_Year-Month-Hour'!Z465,$B$32*'LBMP_by_Year-Month-Hour'!Z$486*'LBMP_by_Year-Month-Hour'!Z497,$B$33*'LBMP_by_Year-Month-Hour'!Z$518*'LBMP_by_Year-Month-Hour'!Z529,$B$34*'LBMP_by_Year-Month-Hour'!Z$550*'LBMP_by_Year-Month-Hour'!Z561,$B$35*'LBMP_by_Year-Month-Hour'!Z$582*'LBMP_by_Year-Month-Hour'!Z593)*Z26/$C$6/24</f>
        <v>-36052.004759877331</v>
      </c>
      <c r="AB57">
        <v>7</v>
      </c>
      <c r="AC57">
        <f>SUM($B$19*'LBMP_by_Year-Month-Hour'!AC$70*'LBMP_by_Year-Month-Hour'!AC81,$B$20*'LBMP_by_Year-Month-Hour'!AC$102*'LBMP_by_Year-Month-Hour'!AC113,$B$21*'LBMP_by_Year-Month-Hour'!AC$134*'LBMP_by_Year-Month-Hour'!AC145,$B$22*'LBMP_by_Year-Month-Hour'!AC$166*'LBMP_by_Year-Month-Hour'!AC177,$B$23*'LBMP_by_Year-Month-Hour'!AC$198*'LBMP_by_Year-Month-Hour'!AC209,$B$24*'LBMP_by_Year-Month-Hour'!AC$230*'LBMP_by_Year-Month-Hour'!AC241,$B$25*'LBMP_by_Year-Month-Hour'!AC$262*'LBMP_by_Year-Month-Hour'!AC273,$B$26*'LBMP_by_Year-Month-Hour'!AC$294*'LBMP_by_Year-Month-Hour'!AC305,$B$27*'LBMP_by_Year-Month-Hour'!AC$326*'LBMP_by_Year-Month-Hour'!AC337,$B$28*'LBMP_by_Year-Month-Hour'!AC$358*'LBMP_by_Year-Month-Hour'!AC369,$B$29*'LBMP_by_Year-Month-Hour'!AC$390*'LBMP_by_Year-Month-Hour'!AC401,$B$30*'LBMP_by_Year-Month-Hour'!AC$422*'LBMP_by_Year-Month-Hour'!AC433,$B$31*'LBMP_by_Year-Month-Hour'!AC$454*'LBMP_by_Year-Month-Hour'!AC465,$B$32*'LBMP_by_Year-Month-Hour'!AC$486*'LBMP_by_Year-Month-Hour'!AC497,$B$33*'LBMP_by_Year-Month-Hour'!AC$518*'LBMP_by_Year-Month-Hour'!AC529,$B$34*'LBMP_by_Year-Month-Hour'!AC$550*'LBMP_by_Year-Month-Hour'!AC561,$B$35*'LBMP_by_Year-Month-Hour'!AC$582*'LBMP_by_Year-Month-Hour'!AC593)*AC26/$C$6/24</f>
        <v>-34296.593579038534</v>
      </c>
      <c r="AE57">
        <v>7</v>
      </c>
      <c r="AF57">
        <f>SUM($B$19*'LBMP_by_Year-Month-Hour'!AF$70*'LBMP_by_Year-Month-Hour'!AF81,$B$20*'LBMP_by_Year-Month-Hour'!AF$102*'LBMP_by_Year-Month-Hour'!AF113,$B$21*'LBMP_by_Year-Month-Hour'!AF$134*'LBMP_by_Year-Month-Hour'!AF145,$B$22*'LBMP_by_Year-Month-Hour'!AF$166*'LBMP_by_Year-Month-Hour'!AF177,$B$23*'LBMP_by_Year-Month-Hour'!AF$198*'LBMP_by_Year-Month-Hour'!AF209,$B$24*'LBMP_by_Year-Month-Hour'!AF$230*'LBMP_by_Year-Month-Hour'!AF241,$B$25*'LBMP_by_Year-Month-Hour'!AF$262*'LBMP_by_Year-Month-Hour'!AF273,$B$26*'LBMP_by_Year-Month-Hour'!AF$294*'LBMP_by_Year-Month-Hour'!AF305,$B$27*'LBMP_by_Year-Month-Hour'!AF$326*'LBMP_by_Year-Month-Hour'!AF337,$B$28*'LBMP_by_Year-Month-Hour'!AF$358*'LBMP_by_Year-Month-Hour'!AF369,$B$29*'LBMP_by_Year-Month-Hour'!AF$390*'LBMP_by_Year-Month-Hour'!AF401,$B$30*'LBMP_by_Year-Month-Hour'!AF$422*'LBMP_by_Year-Month-Hour'!AF433,$B$31*'LBMP_by_Year-Month-Hour'!AF$454*'LBMP_by_Year-Month-Hour'!AF465,$B$32*'LBMP_by_Year-Month-Hour'!AF$486*'LBMP_by_Year-Month-Hour'!AF497,$B$33*'LBMP_by_Year-Month-Hour'!AF$518*'LBMP_by_Year-Month-Hour'!AF529,$B$34*'LBMP_by_Year-Month-Hour'!AF$550*'LBMP_by_Year-Month-Hour'!AF561,$B$35*'LBMP_by_Year-Month-Hour'!AF$582*'LBMP_by_Year-Month-Hour'!AF593)*AF26/$C$6/24</f>
        <v>0</v>
      </c>
      <c r="AH57">
        <v>7</v>
      </c>
      <c r="AI57">
        <f>SUM($B$19*'LBMP_by_Year-Month-Hour'!AI$70*'LBMP_by_Year-Month-Hour'!AI81,$B$20*'LBMP_by_Year-Month-Hour'!AI$102*'LBMP_by_Year-Month-Hour'!AI113,$B$21*'LBMP_by_Year-Month-Hour'!AI$134*'LBMP_by_Year-Month-Hour'!AI145,$B$22*'LBMP_by_Year-Month-Hour'!AI$166*'LBMP_by_Year-Month-Hour'!AI177,$B$23*'LBMP_by_Year-Month-Hour'!AI$198*'LBMP_by_Year-Month-Hour'!AI209,$B$24*'LBMP_by_Year-Month-Hour'!AI$230*'LBMP_by_Year-Month-Hour'!AI241,$B$25*'LBMP_by_Year-Month-Hour'!AI$262*'LBMP_by_Year-Month-Hour'!AI273,$B$26*'LBMP_by_Year-Month-Hour'!AI$294*'LBMP_by_Year-Month-Hour'!AI305,$B$27*'LBMP_by_Year-Month-Hour'!AI$326*'LBMP_by_Year-Month-Hour'!AI337,$B$28*'LBMP_by_Year-Month-Hour'!AI$358*'LBMP_by_Year-Month-Hour'!AI369,$B$29*'LBMP_by_Year-Month-Hour'!AI$390*'LBMP_by_Year-Month-Hour'!AI401,$B$30*'LBMP_by_Year-Month-Hour'!AI$422*'LBMP_by_Year-Month-Hour'!AI433,$B$31*'LBMP_by_Year-Month-Hour'!AI$454*'LBMP_by_Year-Month-Hour'!AI465,$B$32*'LBMP_by_Year-Month-Hour'!AI$486*'LBMP_by_Year-Month-Hour'!AI497,$B$33*'LBMP_by_Year-Month-Hour'!AI$518*'LBMP_by_Year-Month-Hour'!AI529,$B$34*'LBMP_by_Year-Month-Hour'!AI$550*'LBMP_by_Year-Month-Hour'!AI561,$B$35*'LBMP_by_Year-Month-Hour'!AI$582*'LBMP_by_Year-Month-Hour'!AI593)*AI26/$C$6/24</f>
        <v>0</v>
      </c>
      <c r="AK57">
        <v>7</v>
      </c>
      <c r="AL57">
        <f>SUM($B$19*'LBMP_by_Year-Month-Hour'!AL$70*'LBMP_by_Year-Month-Hour'!AL81,$B$20*'LBMP_by_Year-Month-Hour'!AL$102*'LBMP_by_Year-Month-Hour'!AL113,$B$21*'LBMP_by_Year-Month-Hour'!AL$134*'LBMP_by_Year-Month-Hour'!AL145,$B$22*'LBMP_by_Year-Month-Hour'!AL$166*'LBMP_by_Year-Month-Hour'!AL177,$B$23*'LBMP_by_Year-Month-Hour'!AL$198*'LBMP_by_Year-Month-Hour'!AL209,$B$24*'LBMP_by_Year-Month-Hour'!AL$230*'LBMP_by_Year-Month-Hour'!AL241,$B$25*'LBMP_by_Year-Month-Hour'!AL$262*'LBMP_by_Year-Month-Hour'!AL273,$B$26*'LBMP_by_Year-Month-Hour'!AL$294*'LBMP_by_Year-Month-Hour'!AL305,$B$27*'LBMP_by_Year-Month-Hour'!AL$326*'LBMP_by_Year-Month-Hour'!AL337,$B$28*'LBMP_by_Year-Month-Hour'!AL$358*'LBMP_by_Year-Month-Hour'!AL369,$B$29*'LBMP_by_Year-Month-Hour'!AL$390*'LBMP_by_Year-Month-Hour'!AL401,$B$30*'LBMP_by_Year-Month-Hour'!AL$422*'LBMP_by_Year-Month-Hour'!AL433,$B$31*'LBMP_by_Year-Month-Hour'!AL$454*'LBMP_by_Year-Month-Hour'!AL465,$B$32*'LBMP_by_Year-Month-Hour'!AL$486*'LBMP_by_Year-Month-Hour'!AL497,$B$33*'LBMP_by_Year-Month-Hour'!AL$518*'LBMP_by_Year-Month-Hour'!AL529,$B$34*'LBMP_by_Year-Month-Hour'!AL$550*'LBMP_by_Year-Month-Hour'!AL561,$B$35*'LBMP_by_Year-Month-Hour'!AL$582*'LBMP_by_Year-Month-Hour'!AL593)*AL26/$C$6/24</f>
        <v>0</v>
      </c>
    </row>
    <row r="58" spans="1:38">
      <c r="A58">
        <v>8</v>
      </c>
      <c r="B58">
        <f t="shared" si="9"/>
        <v>0</v>
      </c>
      <c r="D58">
        <v>8</v>
      </c>
      <c r="E58">
        <f>SUM($B$19*'LBMP_by_Year-Month-Hour'!E$70*'LBMP_by_Year-Month-Hour'!E82,$B$20*'LBMP_by_Year-Month-Hour'!E$102*'LBMP_by_Year-Month-Hour'!E114,$B$21*'LBMP_by_Year-Month-Hour'!E$134*'LBMP_by_Year-Month-Hour'!E146,$B$22*'LBMP_by_Year-Month-Hour'!E$166*'LBMP_by_Year-Month-Hour'!E178,$B$23*'LBMP_by_Year-Month-Hour'!E$198*'LBMP_by_Year-Month-Hour'!E210,$B$24*'LBMP_by_Year-Month-Hour'!E$230*'LBMP_by_Year-Month-Hour'!E242,$B$25*'LBMP_by_Year-Month-Hour'!E$262*'LBMP_by_Year-Month-Hour'!E274,$B$26*'LBMP_by_Year-Month-Hour'!E$294*'LBMP_by_Year-Month-Hour'!E306,$B$27*'LBMP_by_Year-Month-Hour'!E$326*'LBMP_by_Year-Month-Hour'!E338,$B$28*'LBMP_by_Year-Month-Hour'!E$358*'LBMP_by_Year-Month-Hour'!E370,$B$29*'LBMP_by_Year-Month-Hour'!E$390*'LBMP_by_Year-Month-Hour'!E402,$B$30*'LBMP_by_Year-Month-Hour'!E$422*'LBMP_by_Year-Month-Hour'!E434,$B$31*'LBMP_by_Year-Month-Hour'!E$454*'LBMP_by_Year-Month-Hour'!E466,$B$32*'LBMP_by_Year-Month-Hour'!E$486*'LBMP_by_Year-Month-Hour'!E498,$B$33*'LBMP_by_Year-Month-Hour'!E$518*'LBMP_by_Year-Month-Hour'!E530,$B$34*'LBMP_by_Year-Month-Hour'!E$550*'LBMP_by_Year-Month-Hour'!E562,$B$35*'LBMP_by_Year-Month-Hour'!E$582*'LBMP_by_Year-Month-Hour'!E594)*E27/$C$6/24</f>
        <v>0</v>
      </c>
      <c r="G58">
        <v>8</v>
      </c>
      <c r="H58">
        <f>SUM($B$19*'LBMP_by_Year-Month-Hour'!H$70*'LBMP_by_Year-Month-Hour'!H82,$B$20*'LBMP_by_Year-Month-Hour'!H$102*'LBMP_by_Year-Month-Hour'!H114,$B$21*'LBMP_by_Year-Month-Hour'!H$134*'LBMP_by_Year-Month-Hour'!H146,$B$22*'LBMP_by_Year-Month-Hour'!H$166*'LBMP_by_Year-Month-Hour'!H178,$B$23*'LBMP_by_Year-Month-Hour'!H$198*'LBMP_by_Year-Month-Hour'!H210,$B$24*'LBMP_by_Year-Month-Hour'!H$230*'LBMP_by_Year-Month-Hour'!H242,$B$25*'LBMP_by_Year-Month-Hour'!H$262*'LBMP_by_Year-Month-Hour'!H274,$B$26*'LBMP_by_Year-Month-Hour'!H$294*'LBMP_by_Year-Month-Hour'!H306,$B$27*'LBMP_by_Year-Month-Hour'!H$326*'LBMP_by_Year-Month-Hour'!H338,$B$28*'LBMP_by_Year-Month-Hour'!H$358*'LBMP_by_Year-Month-Hour'!H370,$B$29*'LBMP_by_Year-Month-Hour'!H$390*'LBMP_by_Year-Month-Hour'!H402,$B$30*'LBMP_by_Year-Month-Hour'!H$422*'LBMP_by_Year-Month-Hour'!H434,$B$31*'LBMP_by_Year-Month-Hour'!H$454*'LBMP_by_Year-Month-Hour'!H466,$B$32*'LBMP_by_Year-Month-Hour'!H$486*'LBMP_by_Year-Month-Hour'!H498,$B$33*'LBMP_by_Year-Month-Hour'!H$518*'LBMP_by_Year-Month-Hour'!H530,$B$34*'LBMP_by_Year-Month-Hour'!H$550*'LBMP_by_Year-Month-Hour'!H562,$B$35*'LBMP_by_Year-Month-Hour'!H$582*'LBMP_by_Year-Month-Hour'!H594)*H27/$C$6/24</f>
        <v>0</v>
      </c>
      <c r="J58">
        <v>8</v>
      </c>
      <c r="K58">
        <f>SUM($B$19*'LBMP_by_Year-Month-Hour'!K$70*'LBMP_by_Year-Month-Hour'!K82,$B$20*'LBMP_by_Year-Month-Hour'!K$102*'LBMP_by_Year-Month-Hour'!K114,$B$21*'LBMP_by_Year-Month-Hour'!K$134*'LBMP_by_Year-Month-Hour'!K146,$B$22*'LBMP_by_Year-Month-Hour'!K$166*'LBMP_by_Year-Month-Hour'!K178,$B$23*'LBMP_by_Year-Month-Hour'!K$198*'LBMP_by_Year-Month-Hour'!K210,$B$24*'LBMP_by_Year-Month-Hour'!K$230*'LBMP_by_Year-Month-Hour'!K242,$B$25*'LBMP_by_Year-Month-Hour'!K$262*'LBMP_by_Year-Month-Hour'!K274,$B$26*'LBMP_by_Year-Month-Hour'!K$294*'LBMP_by_Year-Month-Hour'!K306,$B$27*'LBMP_by_Year-Month-Hour'!K$326*'LBMP_by_Year-Month-Hour'!K338,$B$28*'LBMP_by_Year-Month-Hour'!K$358*'LBMP_by_Year-Month-Hour'!K370,$B$29*'LBMP_by_Year-Month-Hour'!K$390*'LBMP_by_Year-Month-Hour'!K402,$B$30*'LBMP_by_Year-Month-Hour'!K$422*'LBMP_by_Year-Month-Hour'!K434,$B$31*'LBMP_by_Year-Month-Hour'!K$454*'LBMP_by_Year-Month-Hour'!K466,$B$32*'LBMP_by_Year-Month-Hour'!K$486*'LBMP_by_Year-Month-Hour'!K498,$B$33*'LBMP_by_Year-Month-Hour'!K$518*'LBMP_by_Year-Month-Hour'!K530,$B$34*'LBMP_by_Year-Month-Hour'!K$550*'LBMP_by_Year-Month-Hour'!K562,$B$35*'LBMP_by_Year-Month-Hour'!K$582*'LBMP_by_Year-Month-Hour'!K594)*K27/$C$6/24</f>
        <v>0</v>
      </c>
      <c r="M58">
        <v>8</v>
      </c>
      <c r="N58">
        <f>SUM($B$19*'LBMP_by_Year-Month-Hour'!N$70*'LBMP_by_Year-Month-Hour'!N82,$B$20*'LBMP_by_Year-Month-Hour'!N$102*'LBMP_by_Year-Month-Hour'!N114,$B$21*'LBMP_by_Year-Month-Hour'!N$134*'LBMP_by_Year-Month-Hour'!N146,$B$22*'LBMP_by_Year-Month-Hour'!N$166*'LBMP_by_Year-Month-Hour'!N178,$B$23*'LBMP_by_Year-Month-Hour'!N$198*'LBMP_by_Year-Month-Hour'!N210,$B$24*'LBMP_by_Year-Month-Hour'!N$230*'LBMP_by_Year-Month-Hour'!N242,$B$25*'LBMP_by_Year-Month-Hour'!N$262*'LBMP_by_Year-Month-Hour'!N274,$B$26*'LBMP_by_Year-Month-Hour'!N$294*'LBMP_by_Year-Month-Hour'!N306,$B$27*'LBMP_by_Year-Month-Hour'!N$326*'LBMP_by_Year-Month-Hour'!N338,$B$28*'LBMP_by_Year-Month-Hour'!N$358*'LBMP_by_Year-Month-Hour'!N370,$B$29*'LBMP_by_Year-Month-Hour'!N$390*'LBMP_by_Year-Month-Hour'!N402,$B$30*'LBMP_by_Year-Month-Hour'!N$422*'LBMP_by_Year-Month-Hour'!N434,$B$31*'LBMP_by_Year-Month-Hour'!N$454*'LBMP_by_Year-Month-Hour'!N466,$B$32*'LBMP_by_Year-Month-Hour'!N$486*'LBMP_by_Year-Month-Hour'!N498,$B$33*'LBMP_by_Year-Month-Hour'!N$518*'LBMP_by_Year-Month-Hour'!N530,$B$34*'LBMP_by_Year-Month-Hour'!N$550*'LBMP_by_Year-Month-Hour'!N562,$B$35*'LBMP_by_Year-Month-Hour'!N$582*'LBMP_by_Year-Month-Hour'!N594)*N27/$C$6/24</f>
        <v>0</v>
      </c>
      <c r="P58">
        <v>8</v>
      </c>
      <c r="Q58">
        <f>SUM($B$19*'LBMP_by_Year-Month-Hour'!Q$70*'LBMP_by_Year-Month-Hour'!Q82,$B$20*'LBMP_by_Year-Month-Hour'!Q$102*'LBMP_by_Year-Month-Hour'!Q114,$B$21*'LBMP_by_Year-Month-Hour'!Q$134*'LBMP_by_Year-Month-Hour'!Q146,$B$22*'LBMP_by_Year-Month-Hour'!Q$166*'LBMP_by_Year-Month-Hour'!Q178,$B$23*'LBMP_by_Year-Month-Hour'!Q$198*'LBMP_by_Year-Month-Hour'!Q210,$B$24*'LBMP_by_Year-Month-Hour'!Q$230*'LBMP_by_Year-Month-Hour'!Q242,$B$25*'LBMP_by_Year-Month-Hour'!Q$262*'LBMP_by_Year-Month-Hour'!Q274,$B$26*'LBMP_by_Year-Month-Hour'!Q$294*'LBMP_by_Year-Month-Hour'!Q306,$B$27*'LBMP_by_Year-Month-Hour'!Q$326*'LBMP_by_Year-Month-Hour'!Q338,$B$28*'LBMP_by_Year-Month-Hour'!Q$358*'LBMP_by_Year-Month-Hour'!Q370,$B$29*'LBMP_by_Year-Month-Hour'!Q$390*'LBMP_by_Year-Month-Hour'!Q402,$B$30*'LBMP_by_Year-Month-Hour'!Q$422*'LBMP_by_Year-Month-Hour'!Q434,$B$31*'LBMP_by_Year-Month-Hour'!Q$454*'LBMP_by_Year-Month-Hour'!Q466,$B$32*'LBMP_by_Year-Month-Hour'!Q$486*'LBMP_by_Year-Month-Hour'!Q498,$B$33*'LBMP_by_Year-Month-Hour'!Q$518*'LBMP_by_Year-Month-Hour'!Q530,$B$34*'LBMP_by_Year-Month-Hour'!Q$550*'LBMP_by_Year-Month-Hour'!Q562,$B$35*'LBMP_by_Year-Month-Hour'!Q$582*'LBMP_by_Year-Month-Hour'!Q594)*Q27/$C$6/24</f>
        <v>0</v>
      </c>
      <c r="S58">
        <v>8</v>
      </c>
      <c r="T58">
        <f>SUM($B$19*'LBMP_by_Year-Month-Hour'!T$70*'LBMP_by_Year-Month-Hour'!T82,$B$20*'LBMP_by_Year-Month-Hour'!T$102*'LBMP_by_Year-Month-Hour'!T114,$B$21*'LBMP_by_Year-Month-Hour'!T$134*'LBMP_by_Year-Month-Hour'!T146,$B$22*'LBMP_by_Year-Month-Hour'!T$166*'LBMP_by_Year-Month-Hour'!T178,$B$23*'LBMP_by_Year-Month-Hour'!T$198*'LBMP_by_Year-Month-Hour'!T210,$B$24*'LBMP_by_Year-Month-Hour'!T$230*'LBMP_by_Year-Month-Hour'!T242,$B$25*'LBMP_by_Year-Month-Hour'!T$262*'LBMP_by_Year-Month-Hour'!T274,$B$26*'LBMP_by_Year-Month-Hour'!T$294*'LBMP_by_Year-Month-Hour'!T306,$B$27*'LBMP_by_Year-Month-Hour'!T$326*'LBMP_by_Year-Month-Hour'!T338,$B$28*'LBMP_by_Year-Month-Hour'!T$358*'LBMP_by_Year-Month-Hour'!T370,$B$29*'LBMP_by_Year-Month-Hour'!T$390*'LBMP_by_Year-Month-Hour'!T402,$B$30*'LBMP_by_Year-Month-Hour'!T$422*'LBMP_by_Year-Month-Hour'!T434,$B$31*'LBMP_by_Year-Month-Hour'!T$454*'LBMP_by_Year-Month-Hour'!T466,$B$32*'LBMP_by_Year-Month-Hour'!T$486*'LBMP_by_Year-Month-Hour'!T498,$B$33*'LBMP_by_Year-Month-Hour'!T$518*'LBMP_by_Year-Month-Hour'!T530,$B$34*'LBMP_by_Year-Month-Hour'!T$550*'LBMP_by_Year-Month-Hour'!T562,$B$35*'LBMP_by_Year-Month-Hour'!T$582*'LBMP_by_Year-Month-Hour'!T594)*T27/$C$6/24</f>
        <v>0</v>
      </c>
      <c r="V58">
        <v>8</v>
      </c>
      <c r="W58">
        <f>SUM($B$19*'LBMP_by_Year-Month-Hour'!W$70*'LBMP_by_Year-Month-Hour'!W82,$B$20*'LBMP_by_Year-Month-Hour'!W$102*'LBMP_by_Year-Month-Hour'!W114,$B$21*'LBMP_by_Year-Month-Hour'!W$134*'LBMP_by_Year-Month-Hour'!W146,$B$22*'LBMP_by_Year-Month-Hour'!W$166*'LBMP_by_Year-Month-Hour'!W178,$B$23*'LBMP_by_Year-Month-Hour'!W$198*'LBMP_by_Year-Month-Hour'!W210,$B$24*'LBMP_by_Year-Month-Hour'!W$230*'LBMP_by_Year-Month-Hour'!W242,$B$25*'LBMP_by_Year-Month-Hour'!W$262*'LBMP_by_Year-Month-Hour'!W274,$B$26*'LBMP_by_Year-Month-Hour'!W$294*'LBMP_by_Year-Month-Hour'!W306,$B$27*'LBMP_by_Year-Month-Hour'!W$326*'LBMP_by_Year-Month-Hour'!W338,$B$28*'LBMP_by_Year-Month-Hour'!W$358*'LBMP_by_Year-Month-Hour'!W370,$B$29*'LBMP_by_Year-Month-Hour'!W$390*'LBMP_by_Year-Month-Hour'!W402,$B$30*'LBMP_by_Year-Month-Hour'!W$422*'LBMP_by_Year-Month-Hour'!W434,$B$31*'LBMP_by_Year-Month-Hour'!W$454*'LBMP_by_Year-Month-Hour'!W466,$B$32*'LBMP_by_Year-Month-Hour'!W$486*'LBMP_by_Year-Month-Hour'!W498,$B$33*'LBMP_by_Year-Month-Hour'!W$518*'LBMP_by_Year-Month-Hour'!W530,$B$34*'LBMP_by_Year-Month-Hour'!W$550*'LBMP_by_Year-Month-Hour'!W562,$B$35*'LBMP_by_Year-Month-Hour'!W$582*'LBMP_by_Year-Month-Hour'!W594)*W27/$C$6/24</f>
        <v>0</v>
      </c>
      <c r="Y58">
        <v>8</v>
      </c>
      <c r="Z58">
        <f>SUM($B$19*'LBMP_by_Year-Month-Hour'!Z$70*'LBMP_by_Year-Month-Hour'!Z82,$B$20*'LBMP_by_Year-Month-Hour'!Z$102*'LBMP_by_Year-Month-Hour'!Z114,$B$21*'LBMP_by_Year-Month-Hour'!Z$134*'LBMP_by_Year-Month-Hour'!Z146,$B$22*'LBMP_by_Year-Month-Hour'!Z$166*'LBMP_by_Year-Month-Hour'!Z178,$B$23*'LBMP_by_Year-Month-Hour'!Z$198*'LBMP_by_Year-Month-Hour'!Z210,$B$24*'LBMP_by_Year-Month-Hour'!Z$230*'LBMP_by_Year-Month-Hour'!Z242,$B$25*'LBMP_by_Year-Month-Hour'!Z$262*'LBMP_by_Year-Month-Hour'!Z274,$B$26*'LBMP_by_Year-Month-Hour'!Z$294*'LBMP_by_Year-Month-Hour'!Z306,$B$27*'LBMP_by_Year-Month-Hour'!Z$326*'LBMP_by_Year-Month-Hour'!Z338,$B$28*'LBMP_by_Year-Month-Hour'!Z$358*'LBMP_by_Year-Month-Hour'!Z370,$B$29*'LBMP_by_Year-Month-Hour'!Z$390*'LBMP_by_Year-Month-Hour'!Z402,$B$30*'LBMP_by_Year-Month-Hour'!Z$422*'LBMP_by_Year-Month-Hour'!Z434,$B$31*'LBMP_by_Year-Month-Hour'!Z$454*'LBMP_by_Year-Month-Hour'!Z466,$B$32*'LBMP_by_Year-Month-Hour'!Z$486*'LBMP_by_Year-Month-Hour'!Z498,$B$33*'LBMP_by_Year-Month-Hour'!Z$518*'LBMP_by_Year-Month-Hour'!Z530,$B$34*'LBMP_by_Year-Month-Hour'!Z$550*'LBMP_by_Year-Month-Hour'!Z562,$B$35*'LBMP_by_Year-Month-Hour'!Z$582*'LBMP_by_Year-Month-Hour'!Z594)*Z27/$C$6/24</f>
        <v>0</v>
      </c>
      <c r="AB58">
        <v>8</v>
      </c>
      <c r="AC58">
        <f>SUM($B$19*'LBMP_by_Year-Month-Hour'!AC$70*'LBMP_by_Year-Month-Hour'!AC82,$B$20*'LBMP_by_Year-Month-Hour'!AC$102*'LBMP_by_Year-Month-Hour'!AC114,$B$21*'LBMP_by_Year-Month-Hour'!AC$134*'LBMP_by_Year-Month-Hour'!AC146,$B$22*'LBMP_by_Year-Month-Hour'!AC$166*'LBMP_by_Year-Month-Hour'!AC178,$B$23*'LBMP_by_Year-Month-Hour'!AC$198*'LBMP_by_Year-Month-Hour'!AC210,$B$24*'LBMP_by_Year-Month-Hour'!AC$230*'LBMP_by_Year-Month-Hour'!AC242,$B$25*'LBMP_by_Year-Month-Hour'!AC$262*'LBMP_by_Year-Month-Hour'!AC274,$B$26*'LBMP_by_Year-Month-Hour'!AC$294*'LBMP_by_Year-Month-Hour'!AC306,$B$27*'LBMP_by_Year-Month-Hour'!AC$326*'LBMP_by_Year-Month-Hour'!AC338,$B$28*'LBMP_by_Year-Month-Hour'!AC$358*'LBMP_by_Year-Month-Hour'!AC370,$B$29*'LBMP_by_Year-Month-Hour'!AC$390*'LBMP_by_Year-Month-Hour'!AC402,$B$30*'LBMP_by_Year-Month-Hour'!AC$422*'LBMP_by_Year-Month-Hour'!AC434,$B$31*'LBMP_by_Year-Month-Hour'!AC$454*'LBMP_by_Year-Month-Hour'!AC466,$B$32*'LBMP_by_Year-Month-Hour'!AC$486*'LBMP_by_Year-Month-Hour'!AC498,$B$33*'LBMP_by_Year-Month-Hour'!AC$518*'LBMP_by_Year-Month-Hour'!AC530,$B$34*'LBMP_by_Year-Month-Hour'!AC$550*'LBMP_by_Year-Month-Hour'!AC562,$B$35*'LBMP_by_Year-Month-Hour'!AC$582*'LBMP_by_Year-Month-Hour'!AC594)*AC27/$C$6/24</f>
        <v>0</v>
      </c>
      <c r="AE58">
        <v>8</v>
      </c>
      <c r="AF58">
        <f>SUM($B$19*'LBMP_by_Year-Month-Hour'!AF$70*'LBMP_by_Year-Month-Hour'!AF82,$B$20*'LBMP_by_Year-Month-Hour'!AF$102*'LBMP_by_Year-Month-Hour'!AF114,$B$21*'LBMP_by_Year-Month-Hour'!AF$134*'LBMP_by_Year-Month-Hour'!AF146,$B$22*'LBMP_by_Year-Month-Hour'!AF$166*'LBMP_by_Year-Month-Hour'!AF178,$B$23*'LBMP_by_Year-Month-Hour'!AF$198*'LBMP_by_Year-Month-Hour'!AF210,$B$24*'LBMP_by_Year-Month-Hour'!AF$230*'LBMP_by_Year-Month-Hour'!AF242,$B$25*'LBMP_by_Year-Month-Hour'!AF$262*'LBMP_by_Year-Month-Hour'!AF274,$B$26*'LBMP_by_Year-Month-Hour'!AF$294*'LBMP_by_Year-Month-Hour'!AF306,$B$27*'LBMP_by_Year-Month-Hour'!AF$326*'LBMP_by_Year-Month-Hour'!AF338,$B$28*'LBMP_by_Year-Month-Hour'!AF$358*'LBMP_by_Year-Month-Hour'!AF370,$B$29*'LBMP_by_Year-Month-Hour'!AF$390*'LBMP_by_Year-Month-Hour'!AF402,$B$30*'LBMP_by_Year-Month-Hour'!AF$422*'LBMP_by_Year-Month-Hour'!AF434,$B$31*'LBMP_by_Year-Month-Hour'!AF$454*'LBMP_by_Year-Month-Hour'!AF466,$B$32*'LBMP_by_Year-Month-Hour'!AF$486*'LBMP_by_Year-Month-Hour'!AF498,$B$33*'LBMP_by_Year-Month-Hour'!AF$518*'LBMP_by_Year-Month-Hour'!AF530,$B$34*'LBMP_by_Year-Month-Hour'!AF$550*'LBMP_by_Year-Month-Hour'!AF562,$B$35*'LBMP_by_Year-Month-Hour'!AF$582*'LBMP_by_Year-Month-Hour'!AF594)*AF27/$C$6/24</f>
        <v>0</v>
      </c>
      <c r="AH58">
        <v>8</v>
      </c>
      <c r="AI58">
        <f>SUM($B$19*'LBMP_by_Year-Month-Hour'!AI$70*'LBMP_by_Year-Month-Hour'!AI82,$B$20*'LBMP_by_Year-Month-Hour'!AI$102*'LBMP_by_Year-Month-Hour'!AI114,$B$21*'LBMP_by_Year-Month-Hour'!AI$134*'LBMP_by_Year-Month-Hour'!AI146,$B$22*'LBMP_by_Year-Month-Hour'!AI$166*'LBMP_by_Year-Month-Hour'!AI178,$B$23*'LBMP_by_Year-Month-Hour'!AI$198*'LBMP_by_Year-Month-Hour'!AI210,$B$24*'LBMP_by_Year-Month-Hour'!AI$230*'LBMP_by_Year-Month-Hour'!AI242,$B$25*'LBMP_by_Year-Month-Hour'!AI$262*'LBMP_by_Year-Month-Hour'!AI274,$B$26*'LBMP_by_Year-Month-Hour'!AI$294*'LBMP_by_Year-Month-Hour'!AI306,$B$27*'LBMP_by_Year-Month-Hour'!AI$326*'LBMP_by_Year-Month-Hour'!AI338,$B$28*'LBMP_by_Year-Month-Hour'!AI$358*'LBMP_by_Year-Month-Hour'!AI370,$B$29*'LBMP_by_Year-Month-Hour'!AI$390*'LBMP_by_Year-Month-Hour'!AI402,$B$30*'LBMP_by_Year-Month-Hour'!AI$422*'LBMP_by_Year-Month-Hour'!AI434,$B$31*'LBMP_by_Year-Month-Hour'!AI$454*'LBMP_by_Year-Month-Hour'!AI466,$B$32*'LBMP_by_Year-Month-Hour'!AI$486*'LBMP_by_Year-Month-Hour'!AI498,$B$33*'LBMP_by_Year-Month-Hour'!AI$518*'LBMP_by_Year-Month-Hour'!AI530,$B$34*'LBMP_by_Year-Month-Hour'!AI$550*'LBMP_by_Year-Month-Hour'!AI562,$B$35*'LBMP_by_Year-Month-Hour'!AI$582*'LBMP_by_Year-Month-Hour'!AI594)*AI27/$C$6/24</f>
        <v>0</v>
      </c>
      <c r="AK58">
        <v>8</v>
      </c>
      <c r="AL58">
        <f>SUM($B$19*'LBMP_by_Year-Month-Hour'!AL$70*'LBMP_by_Year-Month-Hour'!AL82,$B$20*'LBMP_by_Year-Month-Hour'!AL$102*'LBMP_by_Year-Month-Hour'!AL114,$B$21*'LBMP_by_Year-Month-Hour'!AL$134*'LBMP_by_Year-Month-Hour'!AL146,$B$22*'LBMP_by_Year-Month-Hour'!AL$166*'LBMP_by_Year-Month-Hour'!AL178,$B$23*'LBMP_by_Year-Month-Hour'!AL$198*'LBMP_by_Year-Month-Hour'!AL210,$B$24*'LBMP_by_Year-Month-Hour'!AL$230*'LBMP_by_Year-Month-Hour'!AL242,$B$25*'LBMP_by_Year-Month-Hour'!AL$262*'LBMP_by_Year-Month-Hour'!AL274,$B$26*'LBMP_by_Year-Month-Hour'!AL$294*'LBMP_by_Year-Month-Hour'!AL306,$B$27*'LBMP_by_Year-Month-Hour'!AL$326*'LBMP_by_Year-Month-Hour'!AL338,$B$28*'LBMP_by_Year-Month-Hour'!AL$358*'LBMP_by_Year-Month-Hour'!AL370,$B$29*'LBMP_by_Year-Month-Hour'!AL$390*'LBMP_by_Year-Month-Hour'!AL402,$B$30*'LBMP_by_Year-Month-Hour'!AL$422*'LBMP_by_Year-Month-Hour'!AL434,$B$31*'LBMP_by_Year-Month-Hour'!AL$454*'LBMP_by_Year-Month-Hour'!AL466,$B$32*'LBMP_by_Year-Month-Hour'!AL$486*'LBMP_by_Year-Month-Hour'!AL498,$B$33*'LBMP_by_Year-Month-Hour'!AL$518*'LBMP_by_Year-Month-Hour'!AL530,$B$34*'LBMP_by_Year-Month-Hour'!AL$550*'LBMP_by_Year-Month-Hour'!AL562,$B$35*'LBMP_by_Year-Month-Hour'!AL$582*'LBMP_by_Year-Month-Hour'!AL594)*AL27/$C$6/24</f>
        <v>0</v>
      </c>
    </row>
    <row r="59" spans="1:38">
      <c r="A59">
        <v>9</v>
      </c>
      <c r="B59">
        <f t="shared" si="9"/>
        <v>0</v>
      </c>
      <c r="D59">
        <v>9</v>
      </c>
      <c r="E59">
        <f>SUM($B$19*'LBMP_by_Year-Month-Hour'!E$70*'LBMP_by_Year-Month-Hour'!E83,$B$20*'LBMP_by_Year-Month-Hour'!E$102*'LBMP_by_Year-Month-Hour'!E115,$B$21*'LBMP_by_Year-Month-Hour'!E$134*'LBMP_by_Year-Month-Hour'!E147,$B$22*'LBMP_by_Year-Month-Hour'!E$166*'LBMP_by_Year-Month-Hour'!E179,$B$23*'LBMP_by_Year-Month-Hour'!E$198*'LBMP_by_Year-Month-Hour'!E211,$B$24*'LBMP_by_Year-Month-Hour'!E$230*'LBMP_by_Year-Month-Hour'!E243,$B$25*'LBMP_by_Year-Month-Hour'!E$262*'LBMP_by_Year-Month-Hour'!E275,$B$26*'LBMP_by_Year-Month-Hour'!E$294*'LBMP_by_Year-Month-Hour'!E307,$B$27*'LBMP_by_Year-Month-Hour'!E$326*'LBMP_by_Year-Month-Hour'!E339,$B$28*'LBMP_by_Year-Month-Hour'!E$358*'LBMP_by_Year-Month-Hour'!E371,$B$29*'LBMP_by_Year-Month-Hour'!E$390*'LBMP_by_Year-Month-Hour'!E403,$B$30*'LBMP_by_Year-Month-Hour'!E$422*'LBMP_by_Year-Month-Hour'!E435,$B$31*'LBMP_by_Year-Month-Hour'!E$454*'LBMP_by_Year-Month-Hour'!E467,$B$32*'LBMP_by_Year-Month-Hour'!E$486*'LBMP_by_Year-Month-Hour'!E499,$B$33*'LBMP_by_Year-Month-Hour'!E$518*'LBMP_by_Year-Month-Hour'!E531,$B$34*'LBMP_by_Year-Month-Hour'!E$550*'LBMP_by_Year-Month-Hour'!E563,$B$35*'LBMP_by_Year-Month-Hour'!E$582*'LBMP_by_Year-Month-Hour'!E595)*E28/$C$6/24</f>
        <v>0</v>
      </c>
      <c r="G59">
        <v>9</v>
      </c>
      <c r="H59">
        <f>SUM($B$19*'LBMP_by_Year-Month-Hour'!H$70*'LBMP_by_Year-Month-Hour'!H83,$B$20*'LBMP_by_Year-Month-Hour'!H$102*'LBMP_by_Year-Month-Hour'!H115,$B$21*'LBMP_by_Year-Month-Hour'!H$134*'LBMP_by_Year-Month-Hour'!H147,$B$22*'LBMP_by_Year-Month-Hour'!H$166*'LBMP_by_Year-Month-Hour'!H179,$B$23*'LBMP_by_Year-Month-Hour'!H$198*'LBMP_by_Year-Month-Hour'!H211,$B$24*'LBMP_by_Year-Month-Hour'!H$230*'LBMP_by_Year-Month-Hour'!H243,$B$25*'LBMP_by_Year-Month-Hour'!H$262*'LBMP_by_Year-Month-Hour'!H275,$B$26*'LBMP_by_Year-Month-Hour'!H$294*'LBMP_by_Year-Month-Hour'!H307,$B$27*'LBMP_by_Year-Month-Hour'!H$326*'LBMP_by_Year-Month-Hour'!H339,$B$28*'LBMP_by_Year-Month-Hour'!H$358*'LBMP_by_Year-Month-Hour'!H371,$B$29*'LBMP_by_Year-Month-Hour'!H$390*'LBMP_by_Year-Month-Hour'!H403,$B$30*'LBMP_by_Year-Month-Hour'!H$422*'LBMP_by_Year-Month-Hour'!H435,$B$31*'LBMP_by_Year-Month-Hour'!H$454*'LBMP_by_Year-Month-Hour'!H467,$B$32*'LBMP_by_Year-Month-Hour'!H$486*'LBMP_by_Year-Month-Hour'!H499,$B$33*'LBMP_by_Year-Month-Hour'!H$518*'LBMP_by_Year-Month-Hour'!H531,$B$34*'LBMP_by_Year-Month-Hour'!H$550*'LBMP_by_Year-Month-Hour'!H563,$B$35*'LBMP_by_Year-Month-Hour'!H$582*'LBMP_by_Year-Month-Hour'!H595)*H28/$C$6/24</f>
        <v>0</v>
      </c>
      <c r="J59">
        <v>9</v>
      </c>
      <c r="K59">
        <f>SUM($B$19*'LBMP_by_Year-Month-Hour'!K$70*'LBMP_by_Year-Month-Hour'!K83,$B$20*'LBMP_by_Year-Month-Hour'!K$102*'LBMP_by_Year-Month-Hour'!K115,$B$21*'LBMP_by_Year-Month-Hour'!K$134*'LBMP_by_Year-Month-Hour'!K147,$B$22*'LBMP_by_Year-Month-Hour'!K$166*'LBMP_by_Year-Month-Hour'!K179,$B$23*'LBMP_by_Year-Month-Hour'!K$198*'LBMP_by_Year-Month-Hour'!K211,$B$24*'LBMP_by_Year-Month-Hour'!K$230*'LBMP_by_Year-Month-Hour'!K243,$B$25*'LBMP_by_Year-Month-Hour'!K$262*'LBMP_by_Year-Month-Hour'!K275,$B$26*'LBMP_by_Year-Month-Hour'!K$294*'LBMP_by_Year-Month-Hour'!K307,$B$27*'LBMP_by_Year-Month-Hour'!K$326*'LBMP_by_Year-Month-Hour'!K339,$B$28*'LBMP_by_Year-Month-Hour'!K$358*'LBMP_by_Year-Month-Hour'!K371,$B$29*'LBMP_by_Year-Month-Hour'!K$390*'LBMP_by_Year-Month-Hour'!K403,$B$30*'LBMP_by_Year-Month-Hour'!K$422*'LBMP_by_Year-Month-Hour'!K435,$B$31*'LBMP_by_Year-Month-Hour'!K$454*'LBMP_by_Year-Month-Hour'!K467,$B$32*'LBMP_by_Year-Month-Hour'!K$486*'LBMP_by_Year-Month-Hour'!K499,$B$33*'LBMP_by_Year-Month-Hour'!K$518*'LBMP_by_Year-Month-Hour'!K531,$B$34*'LBMP_by_Year-Month-Hour'!K$550*'LBMP_by_Year-Month-Hour'!K563,$B$35*'LBMP_by_Year-Month-Hour'!K$582*'LBMP_by_Year-Month-Hour'!K595)*K28/$C$6/24</f>
        <v>0</v>
      </c>
      <c r="M59">
        <v>9</v>
      </c>
      <c r="N59">
        <f>SUM($B$19*'LBMP_by_Year-Month-Hour'!N$70*'LBMP_by_Year-Month-Hour'!N83,$B$20*'LBMP_by_Year-Month-Hour'!N$102*'LBMP_by_Year-Month-Hour'!N115,$B$21*'LBMP_by_Year-Month-Hour'!N$134*'LBMP_by_Year-Month-Hour'!N147,$B$22*'LBMP_by_Year-Month-Hour'!N$166*'LBMP_by_Year-Month-Hour'!N179,$B$23*'LBMP_by_Year-Month-Hour'!N$198*'LBMP_by_Year-Month-Hour'!N211,$B$24*'LBMP_by_Year-Month-Hour'!N$230*'LBMP_by_Year-Month-Hour'!N243,$B$25*'LBMP_by_Year-Month-Hour'!N$262*'LBMP_by_Year-Month-Hour'!N275,$B$26*'LBMP_by_Year-Month-Hour'!N$294*'LBMP_by_Year-Month-Hour'!N307,$B$27*'LBMP_by_Year-Month-Hour'!N$326*'LBMP_by_Year-Month-Hour'!N339,$B$28*'LBMP_by_Year-Month-Hour'!N$358*'LBMP_by_Year-Month-Hour'!N371,$B$29*'LBMP_by_Year-Month-Hour'!N$390*'LBMP_by_Year-Month-Hour'!N403,$B$30*'LBMP_by_Year-Month-Hour'!N$422*'LBMP_by_Year-Month-Hour'!N435,$B$31*'LBMP_by_Year-Month-Hour'!N$454*'LBMP_by_Year-Month-Hour'!N467,$B$32*'LBMP_by_Year-Month-Hour'!N$486*'LBMP_by_Year-Month-Hour'!N499,$B$33*'LBMP_by_Year-Month-Hour'!N$518*'LBMP_by_Year-Month-Hour'!N531,$B$34*'LBMP_by_Year-Month-Hour'!N$550*'LBMP_by_Year-Month-Hour'!N563,$B$35*'LBMP_by_Year-Month-Hour'!N$582*'LBMP_by_Year-Month-Hour'!N595)*N28/$C$6/24</f>
        <v>0</v>
      </c>
      <c r="P59">
        <v>9</v>
      </c>
      <c r="Q59">
        <f>SUM($B$19*'LBMP_by_Year-Month-Hour'!Q$70*'LBMP_by_Year-Month-Hour'!Q83,$B$20*'LBMP_by_Year-Month-Hour'!Q$102*'LBMP_by_Year-Month-Hour'!Q115,$B$21*'LBMP_by_Year-Month-Hour'!Q$134*'LBMP_by_Year-Month-Hour'!Q147,$B$22*'LBMP_by_Year-Month-Hour'!Q$166*'LBMP_by_Year-Month-Hour'!Q179,$B$23*'LBMP_by_Year-Month-Hour'!Q$198*'LBMP_by_Year-Month-Hour'!Q211,$B$24*'LBMP_by_Year-Month-Hour'!Q$230*'LBMP_by_Year-Month-Hour'!Q243,$B$25*'LBMP_by_Year-Month-Hour'!Q$262*'LBMP_by_Year-Month-Hour'!Q275,$B$26*'LBMP_by_Year-Month-Hour'!Q$294*'LBMP_by_Year-Month-Hour'!Q307,$B$27*'LBMP_by_Year-Month-Hour'!Q$326*'LBMP_by_Year-Month-Hour'!Q339,$B$28*'LBMP_by_Year-Month-Hour'!Q$358*'LBMP_by_Year-Month-Hour'!Q371,$B$29*'LBMP_by_Year-Month-Hour'!Q$390*'LBMP_by_Year-Month-Hour'!Q403,$B$30*'LBMP_by_Year-Month-Hour'!Q$422*'LBMP_by_Year-Month-Hour'!Q435,$B$31*'LBMP_by_Year-Month-Hour'!Q$454*'LBMP_by_Year-Month-Hour'!Q467,$B$32*'LBMP_by_Year-Month-Hour'!Q$486*'LBMP_by_Year-Month-Hour'!Q499,$B$33*'LBMP_by_Year-Month-Hour'!Q$518*'LBMP_by_Year-Month-Hour'!Q531,$B$34*'LBMP_by_Year-Month-Hour'!Q$550*'LBMP_by_Year-Month-Hour'!Q563,$B$35*'LBMP_by_Year-Month-Hour'!Q$582*'LBMP_by_Year-Month-Hour'!Q595)*Q28/$C$6/24</f>
        <v>0</v>
      </c>
      <c r="S59">
        <v>9</v>
      </c>
      <c r="T59">
        <f>SUM($B$19*'LBMP_by_Year-Month-Hour'!T$70*'LBMP_by_Year-Month-Hour'!T83,$B$20*'LBMP_by_Year-Month-Hour'!T$102*'LBMP_by_Year-Month-Hour'!T115,$B$21*'LBMP_by_Year-Month-Hour'!T$134*'LBMP_by_Year-Month-Hour'!T147,$B$22*'LBMP_by_Year-Month-Hour'!T$166*'LBMP_by_Year-Month-Hour'!T179,$B$23*'LBMP_by_Year-Month-Hour'!T$198*'LBMP_by_Year-Month-Hour'!T211,$B$24*'LBMP_by_Year-Month-Hour'!T$230*'LBMP_by_Year-Month-Hour'!T243,$B$25*'LBMP_by_Year-Month-Hour'!T$262*'LBMP_by_Year-Month-Hour'!T275,$B$26*'LBMP_by_Year-Month-Hour'!T$294*'LBMP_by_Year-Month-Hour'!T307,$B$27*'LBMP_by_Year-Month-Hour'!T$326*'LBMP_by_Year-Month-Hour'!T339,$B$28*'LBMP_by_Year-Month-Hour'!T$358*'LBMP_by_Year-Month-Hour'!T371,$B$29*'LBMP_by_Year-Month-Hour'!T$390*'LBMP_by_Year-Month-Hour'!T403,$B$30*'LBMP_by_Year-Month-Hour'!T$422*'LBMP_by_Year-Month-Hour'!T435,$B$31*'LBMP_by_Year-Month-Hour'!T$454*'LBMP_by_Year-Month-Hour'!T467,$B$32*'LBMP_by_Year-Month-Hour'!T$486*'LBMP_by_Year-Month-Hour'!T499,$B$33*'LBMP_by_Year-Month-Hour'!T$518*'LBMP_by_Year-Month-Hour'!T531,$B$34*'LBMP_by_Year-Month-Hour'!T$550*'LBMP_by_Year-Month-Hour'!T563,$B$35*'LBMP_by_Year-Month-Hour'!T$582*'LBMP_by_Year-Month-Hour'!T595)*T28/$C$6/24</f>
        <v>0</v>
      </c>
      <c r="V59">
        <v>9</v>
      </c>
      <c r="W59">
        <f>SUM($B$19*'LBMP_by_Year-Month-Hour'!W$70*'LBMP_by_Year-Month-Hour'!W83,$B$20*'LBMP_by_Year-Month-Hour'!W$102*'LBMP_by_Year-Month-Hour'!W115,$B$21*'LBMP_by_Year-Month-Hour'!W$134*'LBMP_by_Year-Month-Hour'!W147,$B$22*'LBMP_by_Year-Month-Hour'!W$166*'LBMP_by_Year-Month-Hour'!W179,$B$23*'LBMP_by_Year-Month-Hour'!W$198*'LBMP_by_Year-Month-Hour'!W211,$B$24*'LBMP_by_Year-Month-Hour'!W$230*'LBMP_by_Year-Month-Hour'!W243,$B$25*'LBMP_by_Year-Month-Hour'!W$262*'LBMP_by_Year-Month-Hour'!W275,$B$26*'LBMP_by_Year-Month-Hour'!W$294*'LBMP_by_Year-Month-Hour'!W307,$B$27*'LBMP_by_Year-Month-Hour'!W$326*'LBMP_by_Year-Month-Hour'!W339,$B$28*'LBMP_by_Year-Month-Hour'!W$358*'LBMP_by_Year-Month-Hour'!W371,$B$29*'LBMP_by_Year-Month-Hour'!W$390*'LBMP_by_Year-Month-Hour'!W403,$B$30*'LBMP_by_Year-Month-Hour'!W$422*'LBMP_by_Year-Month-Hour'!W435,$B$31*'LBMP_by_Year-Month-Hour'!W$454*'LBMP_by_Year-Month-Hour'!W467,$B$32*'LBMP_by_Year-Month-Hour'!W$486*'LBMP_by_Year-Month-Hour'!W499,$B$33*'LBMP_by_Year-Month-Hour'!W$518*'LBMP_by_Year-Month-Hour'!W531,$B$34*'LBMP_by_Year-Month-Hour'!W$550*'LBMP_by_Year-Month-Hour'!W563,$B$35*'LBMP_by_Year-Month-Hour'!W$582*'LBMP_by_Year-Month-Hour'!W595)*W28/$C$6/24</f>
        <v>0</v>
      </c>
      <c r="Y59">
        <v>9</v>
      </c>
      <c r="Z59">
        <f>SUM($B$19*'LBMP_by_Year-Month-Hour'!Z$70*'LBMP_by_Year-Month-Hour'!Z83,$B$20*'LBMP_by_Year-Month-Hour'!Z$102*'LBMP_by_Year-Month-Hour'!Z115,$B$21*'LBMP_by_Year-Month-Hour'!Z$134*'LBMP_by_Year-Month-Hour'!Z147,$B$22*'LBMP_by_Year-Month-Hour'!Z$166*'LBMP_by_Year-Month-Hour'!Z179,$B$23*'LBMP_by_Year-Month-Hour'!Z$198*'LBMP_by_Year-Month-Hour'!Z211,$B$24*'LBMP_by_Year-Month-Hour'!Z$230*'LBMP_by_Year-Month-Hour'!Z243,$B$25*'LBMP_by_Year-Month-Hour'!Z$262*'LBMP_by_Year-Month-Hour'!Z275,$B$26*'LBMP_by_Year-Month-Hour'!Z$294*'LBMP_by_Year-Month-Hour'!Z307,$B$27*'LBMP_by_Year-Month-Hour'!Z$326*'LBMP_by_Year-Month-Hour'!Z339,$B$28*'LBMP_by_Year-Month-Hour'!Z$358*'LBMP_by_Year-Month-Hour'!Z371,$B$29*'LBMP_by_Year-Month-Hour'!Z$390*'LBMP_by_Year-Month-Hour'!Z403,$B$30*'LBMP_by_Year-Month-Hour'!Z$422*'LBMP_by_Year-Month-Hour'!Z435,$B$31*'LBMP_by_Year-Month-Hour'!Z$454*'LBMP_by_Year-Month-Hour'!Z467,$B$32*'LBMP_by_Year-Month-Hour'!Z$486*'LBMP_by_Year-Month-Hour'!Z499,$B$33*'LBMP_by_Year-Month-Hour'!Z$518*'LBMP_by_Year-Month-Hour'!Z531,$B$34*'LBMP_by_Year-Month-Hour'!Z$550*'LBMP_by_Year-Month-Hour'!Z563,$B$35*'LBMP_by_Year-Month-Hour'!Z$582*'LBMP_by_Year-Month-Hour'!Z595)*Z28/$C$6/24</f>
        <v>0</v>
      </c>
      <c r="AB59">
        <v>9</v>
      </c>
      <c r="AC59">
        <f>SUM($B$19*'LBMP_by_Year-Month-Hour'!AC$70*'LBMP_by_Year-Month-Hour'!AC83,$B$20*'LBMP_by_Year-Month-Hour'!AC$102*'LBMP_by_Year-Month-Hour'!AC115,$B$21*'LBMP_by_Year-Month-Hour'!AC$134*'LBMP_by_Year-Month-Hour'!AC147,$B$22*'LBMP_by_Year-Month-Hour'!AC$166*'LBMP_by_Year-Month-Hour'!AC179,$B$23*'LBMP_by_Year-Month-Hour'!AC$198*'LBMP_by_Year-Month-Hour'!AC211,$B$24*'LBMP_by_Year-Month-Hour'!AC$230*'LBMP_by_Year-Month-Hour'!AC243,$B$25*'LBMP_by_Year-Month-Hour'!AC$262*'LBMP_by_Year-Month-Hour'!AC275,$B$26*'LBMP_by_Year-Month-Hour'!AC$294*'LBMP_by_Year-Month-Hour'!AC307,$B$27*'LBMP_by_Year-Month-Hour'!AC$326*'LBMP_by_Year-Month-Hour'!AC339,$B$28*'LBMP_by_Year-Month-Hour'!AC$358*'LBMP_by_Year-Month-Hour'!AC371,$B$29*'LBMP_by_Year-Month-Hour'!AC$390*'LBMP_by_Year-Month-Hour'!AC403,$B$30*'LBMP_by_Year-Month-Hour'!AC$422*'LBMP_by_Year-Month-Hour'!AC435,$B$31*'LBMP_by_Year-Month-Hour'!AC$454*'LBMP_by_Year-Month-Hour'!AC467,$B$32*'LBMP_by_Year-Month-Hour'!AC$486*'LBMP_by_Year-Month-Hour'!AC499,$B$33*'LBMP_by_Year-Month-Hour'!AC$518*'LBMP_by_Year-Month-Hour'!AC531,$B$34*'LBMP_by_Year-Month-Hour'!AC$550*'LBMP_by_Year-Month-Hour'!AC563,$B$35*'LBMP_by_Year-Month-Hour'!AC$582*'LBMP_by_Year-Month-Hour'!AC595)*AC28/$C$6/24</f>
        <v>0</v>
      </c>
      <c r="AE59">
        <v>9</v>
      </c>
      <c r="AF59">
        <f>SUM($B$19*'LBMP_by_Year-Month-Hour'!AF$70*'LBMP_by_Year-Month-Hour'!AF83,$B$20*'LBMP_by_Year-Month-Hour'!AF$102*'LBMP_by_Year-Month-Hour'!AF115,$B$21*'LBMP_by_Year-Month-Hour'!AF$134*'LBMP_by_Year-Month-Hour'!AF147,$B$22*'LBMP_by_Year-Month-Hour'!AF$166*'LBMP_by_Year-Month-Hour'!AF179,$B$23*'LBMP_by_Year-Month-Hour'!AF$198*'LBMP_by_Year-Month-Hour'!AF211,$B$24*'LBMP_by_Year-Month-Hour'!AF$230*'LBMP_by_Year-Month-Hour'!AF243,$B$25*'LBMP_by_Year-Month-Hour'!AF$262*'LBMP_by_Year-Month-Hour'!AF275,$B$26*'LBMP_by_Year-Month-Hour'!AF$294*'LBMP_by_Year-Month-Hour'!AF307,$B$27*'LBMP_by_Year-Month-Hour'!AF$326*'LBMP_by_Year-Month-Hour'!AF339,$B$28*'LBMP_by_Year-Month-Hour'!AF$358*'LBMP_by_Year-Month-Hour'!AF371,$B$29*'LBMP_by_Year-Month-Hour'!AF$390*'LBMP_by_Year-Month-Hour'!AF403,$B$30*'LBMP_by_Year-Month-Hour'!AF$422*'LBMP_by_Year-Month-Hour'!AF435,$B$31*'LBMP_by_Year-Month-Hour'!AF$454*'LBMP_by_Year-Month-Hour'!AF467,$B$32*'LBMP_by_Year-Month-Hour'!AF$486*'LBMP_by_Year-Month-Hour'!AF499,$B$33*'LBMP_by_Year-Month-Hour'!AF$518*'LBMP_by_Year-Month-Hour'!AF531,$B$34*'LBMP_by_Year-Month-Hour'!AF$550*'LBMP_by_Year-Month-Hour'!AF563,$B$35*'LBMP_by_Year-Month-Hour'!AF$582*'LBMP_by_Year-Month-Hour'!AF595)*AF28/$C$6/24</f>
        <v>0</v>
      </c>
      <c r="AH59">
        <v>9</v>
      </c>
      <c r="AI59">
        <f>SUM($B$19*'LBMP_by_Year-Month-Hour'!AI$70*'LBMP_by_Year-Month-Hour'!AI83,$B$20*'LBMP_by_Year-Month-Hour'!AI$102*'LBMP_by_Year-Month-Hour'!AI115,$B$21*'LBMP_by_Year-Month-Hour'!AI$134*'LBMP_by_Year-Month-Hour'!AI147,$B$22*'LBMP_by_Year-Month-Hour'!AI$166*'LBMP_by_Year-Month-Hour'!AI179,$B$23*'LBMP_by_Year-Month-Hour'!AI$198*'LBMP_by_Year-Month-Hour'!AI211,$B$24*'LBMP_by_Year-Month-Hour'!AI$230*'LBMP_by_Year-Month-Hour'!AI243,$B$25*'LBMP_by_Year-Month-Hour'!AI$262*'LBMP_by_Year-Month-Hour'!AI275,$B$26*'LBMP_by_Year-Month-Hour'!AI$294*'LBMP_by_Year-Month-Hour'!AI307,$B$27*'LBMP_by_Year-Month-Hour'!AI$326*'LBMP_by_Year-Month-Hour'!AI339,$B$28*'LBMP_by_Year-Month-Hour'!AI$358*'LBMP_by_Year-Month-Hour'!AI371,$B$29*'LBMP_by_Year-Month-Hour'!AI$390*'LBMP_by_Year-Month-Hour'!AI403,$B$30*'LBMP_by_Year-Month-Hour'!AI$422*'LBMP_by_Year-Month-Hour'!AI435,$B$31*'LBMP_by_Year-Month-Hour'!AI$454*'LBMP_by_Year-Month-Hour'!AI467,$B$32*'LBMP_by_Year-Month-Hour'!AI$486*'LBMP_by_Year-Month-Hour'!AI499,$B$33*'LBMP_by_Year-Month-Hour'!AI$518*'LBMP_by_Year-Month-Hour'!AI531,$B$34*'LBMP_by_Year-Month-Hour'!AI$550*'LBMP_by_Year-Month-Hour'!AI563,$B$35*'LBMP_by_Year-Month-Hour'!AI$582*'LBMP_by_Year-Month-Hour'!AI595)*AI28/$C$6/24</f>
        <v>0</v>
      </c>
      <c r="AK59">
        <v>9</v>
      </c>
      <c r="AL59">
        <f>SUM($B$19*'LBMP_by_Year-Month-Hour'!AL$70*'LBMP_by_Year-Month-Hour'!AL83,$B$20*'LBMP_by_Year-Month-Hour'!AL$102*'LBMP_by_Year-Month-Hour'!AL115,$B$21*'LBMP_by_Year-Month-Hour'!AL$134*'LBMP_by_Year-Month-Hour'!AL147,$B$22*'LBMP_by_Year-Month-Hour'!AL$166*'LBMP_by_Year-Month-Hour'!AL179,$B$23*'LBMP_by_Year-Month-Hour'!AL$198*'LBMP_by_Year-Month-Hour'!AL211,$B$24*'LBMP_by_Year-Month-Hour'!AL$230*'LBMP_by_Year-Month-Hour'!AL243,$B$25*'LBMP_by_Year-Month-Hour'!AL$262*'LBMP_by_Year-Month-Hour'!AL275,$B$26*'LBMP_by_Year-Month-Hour'!AL$294*'LBMP_by_Year-Month-Hour'!AL307,$B$27*'LBMP_by_Year-Month-Hour'!AL$326*'LBMP_by_Year-Month-Hour'!AL339,$B$28*'LBMP_by_Year-Month-Hour'!AL$358*'LBMP_by_Year-Month-Hour'!AL371,$B$29*'LBMP_by_Year-Month-Hour'!AL$390*'LBMP_by_Year-Month-Hour'!AL403,$B$30*'LBMP_by_Year-Month-Hour'!AL$422*'LBMP_by_Year-Month-Hour'!AL435,$B$31*'LBMP_by_Year-Month-Hour'!AL$454*'LBMP_by_Year-Month-Hour'!AL467,$B$32*'LBMP_by_Year-Month-Hour'!AL$486*'LBMP_by_Year-Month-Hour'!AL499,$B$33*'LBMP_by_Year-Month-Hour'!AL$518*'LBMP_by_Year-Month-Hour'!AL531,$B$34*'LBMP_by_Year-Month-Hour'!AL$550*'LBMP_by_Year-Month-Hour'!AL563,$B$35*'LBMP_by_Year-Month-Hour'!AL$582*'LBMP_by_Year-Month-Hour'!AL595)*AL28/$C$6/24</f>
        <v>0</v>
      </c>
    </row>
    <row r="60" spans="1:38">
      <c r="A60">
        <v>10</v>
      </c>
      <c r="B60">
        <f t="shared" si="9"/>
        <v>0</v>
      </c>
      <c r="D60">
        <v>10</v>
      </c>
      <c r="E60">
        <f>SUM($B$19*'LBMP_by_Year-Month-Hour'!E$70*'LBMP_by_Year-Month-Hour'!E84,$B$20*'LBMP_by_Year-Month-Hour'!E$102*'LBMP_by_Year-Month-Hour'!E116,$B$21*'LBMP_by_Year-Month-Hour'!E$134*'LBMP_by_Year-Month-Hour'!E148,$B$22*'LBMP_by_Year-Month-Hour'!E$166*'LBMP_by_Year-Month-Hour'!E180,$B$23*'LBMP_by_Year-Month-Hour'!E$198*'LBMP_by_Year-Month-Hour'!E212,$B$24*'LBMP_by_Year-Month-Hour'!E$230*'LBMP_by_Year-Month-Hour'!E244,$B$25*'LBMP_by_Year-Month-Hour'!E$262*'LBMP_by_Year-Month-Hour'!E276,$B$26*'LBMP_by_Year-Month-Hour'!E$294*'LBMP_by_Year-Month-Hour'!E308,$B$27*'LBMP_by_Year-Month-Hour'!E$326*'LBMP_by_Year-Month-Hour'!E340,$B$28*'LBMP_by_Year-Month-Hour'!E$358*'LBMP_by_Year-Month-Hour'!E372,$B$29*'LBMP_by_Year-Month-Hour'!E$390*'LBMP_by_Year-Month-Hour'!E404,$B$30*'LBMP_by_Year-Month-Hour'!E$422*'LBMP_by_Year-Month-Hour'!E436,$B$31*'LBMP_by_Year-Month-Hour'!E$454*'LBMP_by_Year-Month-Hour'!E468,$B$32*'LBMP_by_Year-Month-Hour'!E$486*'LBMP_by_Year-Month-Hour'!E500,$B$33*'LBMP_by_Year-Month-Hour'!E$518*'LBMP_by_Year-Month-Hour'!E532,$B$34*'LBMP_by_Year-Month-Hour'!E$550*'LBMP_by_Year-Month-Hour'!E564,$B$35*'LBMP_by_Year-Month-Hour'!E$582*'LBMP_by_Year-Month-Hour'!E596)*E29/$C$6/24</f>
        <v>0</v>
      </c>
      <c r="G60">
        <v>10</v>
      </c>
      <c r="H60">
        <f>SUM($B$19*'LBMP_by_Year-Month-Hour'!H$70*'LBMP_by_Year-Month-Hour'!H84,$B$20*'LBMP_by_Year-Month-Hour'!H$102*'LBMP_by_Year-Month-Hour'!H116,$B$21*'LBMP_by_Year-Month-Hour'!H$134*'LBMP_by_Year-Month-Hour'!H148,$B$22*'LBMP_by_Year-Month-Hour'!H$166*'LBMP_by_Year-Month-Hour'!H180,$B$23*'LBMP_by_Year-Month-Hour'!H$198*'LBMP_by_Year-Month-Hour'!H212,$B$24*'LBMP_by_Year-Month-Hour'!H$230*'LBMP_by_Year-Month-Hour'!H244,$B$25*'LBMP_by_Year-Month-Hour'!H$262*'LBMP_by_Year-Month-Hour'!H276,$B$26*'LBMP_by_Year-Month-Hour'!H$294*'LBMP_by_Year-Month-Hour'!H308,$B$27*'LBMP_by_Year-Month-Hour'!H$326*'LBMP_by_Year-Month-Hour'!H340,$B$28*'LBMP_by_Year-Month-Hour'!H$358*'LBMP_by_Year-Month-Hour'!H372,$B$29*'LBMP_by_Year-Month-Hour'!H$390*'LBMP_by_Year-Month-Hour'!H404,$B$30*'LBMP_by_Year-Month-Hour'!H$422*'LBMP_by_Year-Month-Hour'!H436,$B$31*'LBMP_by_Year-Month-Hour'!H$454*'LBMP_by_Year-Month-Hour'!H468,$B$32*'LBMP_by_Year-Month-Hour'!H$486*'LBMP_by_Year-Month-Hour'!H500,$B$33*'LBMP_by_Year-Month-Hour'!H$518*'LBMP_by_Year-Month-Hour'!H532,$B$34*'LBMP_by_Year-Month-Hour'!H$550*'LBMP_by_Year-Month-Hour'!H564,$B$35*'LBMP_by_Year-Month-Hour'!H$582*'LBMP_by_Year-Month-Hour'!H596)*H29/$C$6/24</f>
        <v>0</v>
      </c>
      <c r="J60">
        <v>10</v>
      </c>
      <c r="K60">
        <f>SUM($B$19*'LBMP_by_Year-Month-Hour'!K$70*'LBMP_by_Year-Month-Hour'!K84,$B$20*'LBMP_by_Year-Month-Hour'!K$102*'LBMP_by_Year-Month-Hour'!K116,$B$21*'LBMP_by_Year-Month-Hour'!K$134*'LBMP_by_Year-Month-Hour'!K148,$B$22*'LBMP_by_Year-Month-Hour'!K$166*'LBMP_by_Year-Month-Hour'!K180,$B$23*'LBMP_by_Year-Month-Hour'!K$198*'LBMP_by_Year-Month-Hour'!K212,$B$24*'LBMP_by_Year-Month-Hour'!K$230*'LBMP_by_Year-Month-Hour'!K244,$B$25*'LBMP_by_Year-Month-Hour'!K$262*'LBMP_by_Year-Month-Hour'!K276,$B$26*'LBMP_by_Year-Month-Hour'!K$294*'LBMP_by_Year-Month-Hour'!K308,$B$27*'LBMP_by_Year-Month-Hour'!K$326*'LBMP_by_Year-Month-Hour'!K340,$B$28*'LBMP_by_Year-Month-Hour'!K$358*'LBMP_by_Year-Month-Hour'!K372,$B$29*'LBMP_by_Year-Month-Hour'!K$390*'LBMP_by_Year-Month-Hour'!K404,$B$30*'LBMP_by_Year-Month-Hour'!K$422*'LBMP_by_Year-Month-Hour'!K436,$B$31*'LBMP_by_Year-Month-Hour'!K$454*'LBMP_by_Year-Month-Hour'!K468,$B$32*'LBMP_by_Year-Month-Hour'!K$486*'LBMP_by_Year-Month-Hour'!K500,$B$33*'LBMP_by_Year-Month-Hour'!K$518*'LBMP_by_Year-Month-Hour'!K532,$B$34*'LBMP_by_Year-Month-Hour'!K$550*'LBMP_by_Year-Month-Hour'!K564,$B$35*'LBMP_by_Year-Month-Hour'!K$582*'LBMP_by_Year-Month-Hour'!K596)*K29/$C$6/24</f>
        <v>0</v>
      </c>
      <c r="M60">
        <v>10</v>
      </c>
      <c r="N60">
        <f>SUM($B$19*'LBMP_by_Year-Month-Hour'!N$70*'LBMP_by_Year-Month-Hour'!N84,$B$20*'LBMP_by_Year-Month-Hour'!N$102*'LBMP_by_Year-Month-Hour'!N116,$B$21*'LBMP_by_Year-Month-Hour'!N$134*'LBMP_by_Year-Month-Hour'!N148,$B$22*'LBMP_by_Year-Month-Hour'!N$166*'LBMP_by_Year-Month-Hour'!N180,$B$23*'LBMP_by_Year-Month-Hour'!N$198*'LBMP_by_Year-Month-Hour'!N212,$B$24*'LBMP_by_Year-Month-Hour'!N$230*'LBMP_by_Year-Month-Hour'!N244,$B$25*'LBMP_by_Year-Month-Hour'!N$262*'LBMP_by_Year-Month-Hour'!N276,$B$26*'LBMP_by_Year-Month-Hour'!N$294*'LBMP_by_Year-Month-Hour'!N308,$B$27*'LBMP_by_Year-Month-Hour'!N$326*'LBMP_by_Year-Month-Hour'!N340,$B$28*'LBMP_by_Year-Month-Hour'!N$358*'LBMP_by_Year-Month-Hour'!N372,$B$29*'LBMP_by_Year-Month-Hour'!N$390*'LBMP_by_Year-Month-Hour'!N404,$B$30*'LBMP_by_Year-Month-Hour'!N$422*'LBMP_by_Year-Month-Hour'!N436,$B$31*'LBMP_by_Year-Month-Hour'!N$454*'LBMP_by_Year-Month-Hour'!N468,$B$32*'LBMP_by_Year-Month-Hour'!N$486*'LBMP_by_Year-Month-Hour'!N500,$B$33*'LBMP_by_Year-Month-Hour'!N$518*'LBMP_by_Year-Month-Hour'!N532,$B$34*'LBMP_by_Year-Month-Hour'!N$550*'LBMP_by_Year-Month-Hour'!N564,$B$35*'LBMP_by_Year-Month-Hour'!N$582*'LBMP_by_Year-Month-Hour'!N596)*N29/$C$6/24</f>
        <v>0</v>
      </c>
      <c r="P60">
        <v>10</v>
      </c>
      <c r="Q60">
        <f>SUM($B$19*'LBMP_by_Year-Month-Hour'!Q$70*'LBMP_by_Year-Month-Hour'!Q84,$B$20*'LBMP_by_Year-Month-Hour'!Q$102*'LBMP_by_Year-Month-Hour'!Q116,$B$21*'LBMP_by_Year-Month-Hour'!Q$134*'LBMP_by_Year-Month-Hour'!Q148,$B$22*'LBMP_by_Year-Month-Hour'!Q$166*'LBMP_by_Year-Month-Hour'!Q180,$B$23*'LBMP_by_Year-Month-Hour'!Q$198*'LBMP_by_Year-Month-Hour'!Q212,$B$24*'LBMP_by_Year-Month-Hour'!Q$230*'LBMP_by_Year-Month-Hour'!Q244,$B$25*'LBMP_by_Year-Month-Hour'!Q$262*'LBMP_by_Year-Month-Hour'!Q276,$B$26*'LBMP_by_Year-Month-Hour'!Q$294*'LBMP_by_Year-Month-Hour'!Q308,$B$27*'LBMP_by_Year-Month-Hour'!Q$326*'LBMP_by_Year-Month-Hour'!Q340,$B$28*'LBMP_by_Year-Month-Hour'!Q$358*'LBMP_by_Year-Month-Hour'!Q372,$B$29*'LBMP_by_Year-Month-Hour'!Q$390*'LBMP_by_Year-Month-Hour'!Q404,$B$30*'LBMP_by_Year-Month-Hour'!Q$422*'LBMP_by_Year-Month-Hour'!Q436,$B$31*'LBMP_by_Year-Month-Hour'!Q$454*'LBMP_by_Year-Month-Hour'!Q468,$B$32*'LBMP_by_Year-Month-Hour'!Q$486*'LBMP_by_Year-Month-Hour'!Q500,$B$33*'LBMP_by_Year-Month-Hour'!Q$518*'LBMP_by_Year-Month-Hour'!Q532,$B$34*'LBMP_by_Year-Month-Hour'!Q$550*'LBMP_by_Year-Month-Hour'!Q564,$B$35*'LBMP_by_Year-Month-Hour'!Q$582*'LBMP_by_Year-Month-Hour'!Q596)*Q29/$C$6/24</f>
        <v>0</v>
      </c>
      <c r="S60">
        <v>10</v>
      </c>
      <c r="T60">
        <f>SUM($B$19*'LBMP_by_Year-Month-Hour'!T$70*'LBMP_by_Year-Month-Hour'!T84,$B$20*'LBMP_by_Year-Month-Hour'!T$102*'LBMP_by_Year-Month-Hour'!T116,$B$21*'LBMP_by_Year-Month-Hour'!T$134*'LBMP_by_Year-Month-Hour'!T148,$B$22*'LBMP_by_Year-Month-Hour'!T$166*'LBMP_by_Year-Month-Hour'!T180,$B$23*'LBMP_by_Year-Month-Hour'!T$198*'LBMP_by_Year-Month-Hour'!T212,$B$24*'LBMP_by_Year-Month-Hour'!T$230*'LBMP_by_Year-Month-Hour'!T244,$B$25*'LBMP_by_Year-Month-Hour'!T$262*'LBMP_by_Year-Month-Hour'!T276,$B$26*'LBMP_by_Year-Month-Hour'!T$294*'LBMP_by_Year-Month-Hour'!T308,$B$27*'LBMP_by_Year-Month-Hour'!T$326*'LBMP_by_Year-Month-Hour'!T340,$B$28*'LBMP_by_Year-Month-Hour'!T$358*'LBMP_by_Year-Month-Hour'!T372,$B$29*'LBMP_by_Year-Month-Hour'!T$390*'LBMP_by_Year-Month-Hour'!T404,$B$30*'LBMP_by_Year-Month-Hour'!T$422*'LBMP_by_Year-Month-Hour'!T436,$B$31*'LBMP_by_Year-Month-Hour'!T$454*'LBMP_by_Year-Month-Hour'!T468,$B$32*'LBMP_by_Year-Month-Hour'!T$486*'LBMP_by_Year-Month-Hour'!T500,$B$33*'LBMP_by_Year-Month-Hour'!T$518*'LBMP_by_Year-Month-Hour'!T532,$B$34*'LBMP_by_Year-Month-Hour'!T$550*'LBMP_by_Year-Month-Hour'!T564,$B$35*'LBMP_by_Year-Month-Hour'!T$582*'LBMP_by_Year-Month-Hour'!T596)*T29/$C$6/24</f>
        <v>0</v>
      </c>
      <c r="V60">
        <v>10</v>
      </c>
      <c r="W60">
        <f>SUM($B$19*'LBMP_by_Year-Month-Hour'!W$70*'LBMP_by_Year-Month-Hour'!W84,$B$20*'LBMP_by_Year-Month-Hour'!W$102*'LBMP_by_Year-Month-Hour'!W116,$B$21*'LBMP_by_Year-Month-Hour'!W$134*'LBMP_by_Year-Month-Hour'!W148,$B$22*'LBMP_by_Year-Month-Hour'!W$166*'LBMP_by_Year-Month-Hour'!W180,$B$23*'LBMP_by_Year-Month-Hour'!W$198*'LBMP_by_Year-Month-Hour'!W212,$B$24*'LBMP_by_Year-Month-Hour'!W$230*'LBMP_by_Year-Month-Hour'!W244,$B$25*'LBMP_by_Year-Month-Hour'!W$262*'LBMP_by_Year-Month-Hour'!W276,$B$26*'LBMP_by_Year-Month-Hour'!W$294*'LBMP_by_Year-Month-Hour'!W308,$B$27*'LBMP_by_Year-Month-Hour'!W$326*'LBMP_by_Year-Month-Hour'!W340,$B$28*'LBMP_by_Year-Month-Hour'!W$358*'LBMP_by_Year-Month-Hour'!W372,$B$29*'LBMP_by_Year-Month-Hour'!W$390*'LBMP_by_Year-Month-Hour'!W404,$B$30*'LBMP_by_Year-Month-Hour'!W$422*'LBMP_by_Year-Month-Hour'!W436,$B$31*'LBMP_by_Year-Month-Hour'!W$454*'LBMP_by_Year-Month-Hour'!W468,$B$32*'LBMP_by_Year-Month-Hour'!W$486*'LBMP_by_Year-Month-Hour'!W500,$B$33*'LBMP_by_Year-Month-Hour'!W$518*'LBMP_by_Year-Month-Hour'!W532,$B$34*'LBMP_by_Year-Month-Hour'!W$550*'LBMP_by_Year-Month-Hour'!W564,$B$35*'LBMP_by_Year-Month-Hour'!W$582*'LBMP_by_Year-Month-Hour'!W596)*W29/$C$6/24</f>
        <v>0</v>
      </c>
      <c r="Y60">
        <v>10</v>
      </c>
      <c r="Z60">
        <f>SUM($B$19*'LBMP_by_Year-Month-Hour'!Z$70*'LBMP_by_Year-Month-Hour'!Z84,$B$20*'LBMP_by_Year-Month-Hour'!Z$102*'LBMP_by_Year-Month-Hour'!Z116,$B$21*'LBMP_by_Year-Month-Hour'!Z$134*'LBMP_by_Year-Month-Hour'!Z148,$B$22*'LBMP_by_Year-Month-Hour'!Z$166*'LBMP_by_Year-Month-Hour'!Z180,$B$23*'LBMP_by_Year-Month-Hour'!Z$198*'LBMP_by_Year-Month-Hour'!Z212,$B$24*'LBMP_by_Year-Month-Hour'!Z$230*'LBMP_by_Year-Month-Hour'!Z244,$B$25*'LBMP_by_Year-Month-Hour'!Z$262*'LBMP_by_Year-Month-Hour'!Z276,$B$26*'LBMP_by_Year-Month-Hour'!Z$294*'LBMP_by_Year-Month-Hour'!Z308,$B$27*'LBMP_by_Year-Month-Hour'!Z$326*'LBMP_by_Year-Month-Hour'!Z340,$B$28*'LBMP_by_Year-Month-Hour'!Z$358*'LBMP_by_Year-Month-Hour'!Z372,$B$29*'LBMP_by_Year-Month-Hour'!Z$390*'LBMP_by_Year-Month-Hour'!Z404,$B$30*'LBMP_by_Year-Month-Hour'!Z$422*'LBMP_by_Year-Month-Hour'!Z436,$B$31*'LBMP_by_Year-Month-Hour'!Z$454*'LBMP_by_Year-Month-Hour'!Z468,$B$32*'LBMP_by_Year-Month-Hour'!Z$486*'LBMP_by_Year-Month-Hour'!Z500,$B$33*'LBMP_by_Year-Month-Hour'!Z$518*'LBMP_by_Year-Month-Hour'!Z532,$B$34*'LBMP_by_Year-Month-Hour'!Z$550*'LBMP_by_Year-Month-Hour'!Z564,$B$35*'LBMP_by_Year-Month-Hour'!Z$582*'LBMP_by_Year-Month-Hour'!Z596)*Z29/$C$6/24</f>
        <v>0</v>
      </c>
      <c r="AB60">
        <v>10</v>
      </c>
      <c r="AC60">
        <f>SUM($B$19*'LBMP_by_Year-Month-Hour'!AC$70*'LBMP_by_Year-Month-Hour'!AC84,$B$20*'LBMP_by_Year-Month-Hour'!AC$102*'LBMP_by_Year-Month-Hour'!AC116,$B$21*'LBMP_by_Year-Month-Hour'!AC$134*'LBMP_by_Year-Month-Hour'!AC148,$B$22*'LBMP_by_Year-Month-Hour'!AC$166*'LBMP_by_Year-Month-Hour'!AC180,$B$23*'LBMP_by_Year-Month-Hour'!AC$198*'LBMP_by_Year-Month-Hour'!AC212,$B$24*'LBMP_by_Year-Month-Hour'!AC$230*'LBMP_by_Year-Month-Hour'!AC244,$B$25*'LBMP_by_Year-Month-Hour'!AC$262*'LBMP_by_Year-Month-Hour'!AC276,$B$26*'LBMP_by_Year-Month-Hour'!AC$294*'LBMP_by_Year-Month-Hour'!AC308,$B$27*'LBMP_by_Year-Month-Hour'!AC$326*'LBMP_by_Year-Month-Hour'!AC340,$B$28*'LBMP_by_Year-Month-Hour'!AC$358*'LBMP_by_Year-Month-Hour'!AC372,$B$29*'LBMP_by_Year-Month-Hour'!AC$390*'LBMP_by_Year-Month-Hour'!AC404,$B$30*'LBMP_by_Year-Month-Hour'!AC$422*'LBMP_by_Year-Month-Hour'!AC436,$B$31*'LBMP_by_Year-Month-Hour'!AC$454*'LBMP_by_Year-Month-Hour'!AC468,$B$32*'LBMP_by_Year-Month-Hour'!AC$486*'LBMP_by_Year-Month-Hour'!AC500,$B$33*'LBMP_by_Year-Month-Hour'!AC$518*'LBMP_by_Year-Month-Hour'!AC532,$B$34*'LBMP_by_Year-Month-Hour'!AC$550*'LBMP_by_Year-Month-Hour'!AC564,$B$35*'LBMP_by_Year-Month-Hour'!AC$582*'LBMP_by_Year-Month-Hour'!AC596)*AC29/$C$6/24</f>
        <v>0</v>
      </c>
      <c r="AE60">
        <v>10</v>
      </c>
      <c r="AF60">
        <f>SUM($B$19*'LBMP_by_Year-Month-Hour'!AF$70*'LBMP_by_Year-Month-Hour'!AF84,$B$20*'LBMP_by_Year-Month-Hour'!AF$102*'LBMP_by_Year-Month-Hour'!AF116,$B$21*'LBMP_by_Year-Month-Hour'!AF$134*'LBMP_by_Year-Month-Hour'!AF148,$B$22*'LBMP_by_Year-Month-Hour'!AF$166*'LBMP_by_Year-Month-Hour'!AF180,$B$23*'LBMP_by_Year-Month-Hour'!AF$198*'LBMP_by_Year-Month-Hour'!AF212,$B$24*'LBMP_by_Year-Month-Hour'!AF$230*'LBMP_by_Year-Month-Hour'!AF244,$B$25*'LBMP_by_Year-Month-Hour'!AF$262*'LBMP_by_Year-Month-Hour'!AF276,$B$26*'LBMP_by_Year-Month-Hour'!AF$294*'LBMP_by_Year-Month-Hour'!AF308,$B$27*'LBMP_by_Year-Month-Hour'!AF$326*'LBMP_by_Year-Month-Hour'!AF340,$B$28*'LBMP_by_Year-Month-Hour'!AF$358*'LBMP_by_Year-Month-Hour'!AF372,$B$29*'LBMP_by_Year-Month-Hour'!AF$390*'LBMP_by_Year-Month-Hour'!AF404,$B$30*'LBMP_by_Year-Month-Hour'!AF$422*'LBMP_by_Year-Month-Hour'!AF436,$B$31*'LBMP_by_Year-Month-Hour'!AF$454*'LBMP_by_Year-Month-Hour'!AF468,$B$32*'LBMP_by_Year-Month-Hour'!AF$486*'LBMP_by_Year-Month-Hour'!AF500,$B$33*'LBMP_by_Year-Month-Hour'!AF$518*'LBMP_by_Year-Month-Hour'!AF532,$B$34*'LBMP_by_Year-Month-Hour'!AF$550*'LBMP_by_Year-Month-Hour'!AF564,$B$35*'LBMP_by_Year-Month-Hour'!AF$582*'LBMP_by_Year-Month-Hour'!AF596)*AF29/$C$6/24</f>
        <v>0</v>
      </c>
      <c r="AH60">
        <v>10</v>
      </c>
      <c r="AI60">
        <f>SUM($B$19*'LBMP_by_Year-Month-Hour'!AI$70*'LBMP_by_Year-Month-Hour'!AI84,$B$20*'LBMP_by_Year-Month-Hour'!AI$102*'LBMP_by_Year-Month-Hour'!AI116,$B$21*'LBMP_by_Year-Month-Hour'!AI$134*'LBMP_by_Year-Month-Hour'!AI148,$B$22*'LBMP_by_Year-Month-Hour'!AI$166*'LBMP_by_Year-Month-Hour'!AI180,$B$23*'LBMP_by_Year-Month-Hour'!AI$198*'LBMP_by_Year-Month-Hour'!AI212,$B$24*'LBMP_by_Year-Month-Hour'!AI$230*'LBMP_by_Year-Month-Hour'!AI244,$B$25*'LBMP_by_Year-Month-Hour'!AI$262*'LBMP_by_Year-Month-Hour'!AI276,$B$26*'LBMP_by_Year-Month-Hour'!AI$294*'LBMP_by_Year-Month-Hour'!AI308,$B$27*'LBMP_by_Year-Month-Hour'!AI$326*'LBMP_by_Year-Month-Hour'!AI340,$B$28*'LBMP_by_Year-Month-Hour'!AI$358*'LBMP_by_Year-Month-Hour'!AI372,$B$29*'LBMP_by_Year-Month-Hour'!AI$390*'LBMP_by_Year-Month-Hour'!AI404,$B$30*'LBMP_by_Year-Month-Hour'!AI$422*'LBMP_by_Year-Month-Hour'!AI436,$B$31*'LBMP_by_Year-Month-Hour'!AI$454*'LBMP_by_Year-Month-Hour'!AI468,$B$32*'LBMP_by_Year-Month-Hour'!AI$486*'LBMP_by_Year-Month-Hour'!AI500,$B$33*'LBMP_by_Year-Month-Hour'!AI$518*'LBMP_by_Year-Month-Hour'!AI532,$B$34*'LBMP_by_Year-Month-Hour'!AI$550*'LBMP_by_Year-Month-Hour'!AI564,$B$35*'LBMP_by_Year-Month-Hour'!AI$582*'LBMP_by_Year-Month-Hour'!AI596)*AI29/$C$6/24</f>
        <v>0</v>
      </c>
      <c r="AK60">
        <v>10</v>
      </c>
      <c r="AL60">
        <f>SUM($B$19*'LBMP_by_Year-Month-Hour'!AL$70*'LBMP_by_Year-Month-Hour'!AL84,$B$20*'LBMP_by_Year-Month-Hour'!AL$102*'LBMP_by_Year-Month-Hour'!AL116,$B$21*'LBMP_by_Year-Month-Hour'!AL$134*'LBMP_by_Year-Month-Hour'!AL148,$B$22*'LBMP_by_Year-Month-Hour'!AL$166*'LBMP_by_Year-Month-Hour'!AL180,$B$23*'LBMP_by_Year-Month-Hour'!AL$198*'LBMP_by_Year-Month-Hour'!AL212,$B$24*'LBMP_by_Year-Month-Hour'!AL$230*'LBMP_by_Year-Month-Hour'!AL244,$B$25*'LBMP_by_Year-Month-Hour'!AL$262*'LBMP_by_Year-Month-Hour'!AL276,$B$26*'LBMP_by_Year-Month-Hour'!AL$294*'LBMP_by_Year-Month-Hour'!AL308,$B$27*'LBMP_by_Year-Month-Hour'!AL$326*'LBMP_by_Year-Month-Hour'!AL340,$B$28*'LBMP_by_Year-Month-Hour'!AL$358*'LBMP_by_Year-Month-Hour'!AL372,$B$29*'LBMP_by_Year-Month-Hour'!AL$390*'LBMP_by_Year-Month-Hour'!AL404,$B$30*'LBMP_by_Year-Month-Hour'!AL$422*'LBMP_by_Year-Month-Hour'!AL436,$B$31*'LBMP_by_Year-Month-Hour'!AL$454*'LBMP_by_Year-Month-Hour'!AL468,$B$32*'LBMP_by_Year-Month-Hour'!AL$486*'LBMP_by_Year-Month-Hour'!AL500,$B$33*'LBMP_by_Year-Month-Hour'!AL$518*'LBMP_by_Year-Month-Hour'!AL532,$B$34*'LBMP_by_Year-Month-Hour'!AL$550*'LBMP_by_Year-Month-Hour'!AL564,$B$35*'LBMP_by_Year-Month-Hour'!AL$582*'LBMP_by_Year-Month-Hour'!AL596)*AL29/$C$6/24</f>
        <v>0</v>
      </c>
    </row>
    <row r="61" spans="1:38">
      <c r="A61">
        <v>11</v>
      </c>
      <c r="B61">
        <f t="shared" si="9"/>
        <v>0</v>
      </c>
      <c r="D61">
        <v>11</v>
      </c>
      <c r="E61">
        <f>SUM($B$19*'LBMP_by_Year-Month-Hour'!E$70*'LBMP_by_Year-Month-Hour'!E85,$B$20*'LBMP_by_Year-Month-Hour'!E$102*'LBMP_by_Year-Month-Hour'!E117,$B$21*'LBMP_by_Year-Month-Hour'!E$134*'LBMP_by_Year-Month-Hour'!E149,$B$22*'LBMP_by_Year-Month-Hour'!E$166*'LBMP_by_Year-Month-Hour'!E181,$B$23*'LBMP_by_Year-Month-Hour'!E$198*'LBMP_by_Year-Month-Hour'!E213,$B$24*'LBMP_by_Year-Month-Hour'!E$230*'LBMP_by_Year-Month-Hour'!E245,$B$25*'LBMP_by_Year-Month-Hour'!E$262*'LBMP_by_Year-Month-Hour'!E277,$B$26*'LBMP_by_Year-Month-Hour'!E$294*'LBMP_by_Year-Month-Hour'!E309,$B$27*'LBMP_by_Year-Month-Hour'!E$326*'LBMP_by_Year-Month-Hour'!E341,$B$28*'LBMP_by_Year-Month-Hour'!E$358*'LBMP_by_Year-Month-Hour'!E373,$B$29*'LBMP_by_Year-Month-Hour'!E$390*'LBMP_by_Year-Month-Hour'!E405,$B$30*'LBMP_by_Year-Month-Hour'!E$422*'LBMP_by_Year-Month-Hour'!E437,$B$31*'LBMP_by_Year-Month-Hour'!E$454*'LBMP_by_Year-Month-Hour'!E469,$B$32*'LBMP_by_Year-Month-Hour'!E$486*'LBMP_by_Year-Month-Hour'!E501,$B$33*'LBMP_by_Year-Month-Hour'!E$518*'LBMP_by_Year-Month-Hour'!E533,$B$34*'LBMP_by_Year-Month-Hour'!E$550*'LBMP_by_Year-Month-Hour'!E565,$B$35*'LBMP_by_Year-Month-Hour'!E$582*'LBMP_by_Year-Month-Hour'!E597)*E30/$C$6/24</f>
        <v>0</v>
      </c>
      <c r="G61">
        <v>11</v>
      </c>
      <c r="H61">
        <f>SUM($B$19*'LBMP_by_Year-Month-Hour'!H$70*'LBMP_by_Year-Month-Hour'!H85,$B$20*'LBMP_by_Year-Month-Hour'!H$102*'LBMP_by_Year-Month-Hour'!H117,$B$21*'LBMP_by_Year-Month-Hour'!H$134*'LBMP_by_Year-Month-Hour'!H149,$B$22*'LBMP_by_Year-Month-Hour'!H$166*'LBMP_by_Year-Month-Hour'!H181,$B$23*'LBMP_by_Year-Month-Hour'!H$198*'LBMP_by_Year-Month-Hour'!H213,$B$24*'LBMP_by_Year-Month-Hour'!H$230*'LBMP_by_Year-Month-Hour'!H245,$B$25*'LBMP_by_Year-Month-Hour'!H$262*'LBMP_by_Year-Month-Hour'!H277,$B$26*'LBMP_by_Year-Month-Hour'!H$294*'LBMP_by_Year-Month-Hour'!H309,$B$27*'LBMP_by_Year-Month-Hour'!H$326*'LBMP_by_Year-Month-Hour'!H341,$B$28*'LBMP_by_Year-Month-Hour'!H$358*'LBMP_by_Year-Month-Hour'!H373,$B$29*'LBMP_by_Year-Month-Hour'!H$390*'LBMP_by_Year-Month-Hour'!H405,$B$30*'LBMP_by_Year-Month-Hour'!H$422*'LBMP_by_Year-Month-Hour'!H437,$B$31*'LBMP_by_Year-Month-Hour'!H$454*'LBMP_by_Year-Month-Hour'!H469,$B$32*'LBMP_by_Year-Month-Hour'!H$486*'LBMP_by_Year-Month-Hour'!H501,$B$33*'LBMP_by_Year-Month-Hour'!H$518*'LBMP_by_Year-Month-Hour'!H533,$B$34*'LBMP_by_Year-Month-Hour'!H$550*'LBMP_by_Year-Month-Hour'!H565,$B$35*'LBMP_by_Year-Month-Hour'!H$582*'LBMP_by_Year-Month-Hour'!H597)*H30/$C$6/24</f>
        <v>0</v>
      </c>
      <c r="J61">
        <v>11</v>
      </c>
      <c r="K61">
        <f>SUM($B$19*'LBMP_by_Year-Month-Hour'!K$70*'LBMP_by_Year-Month-Hour'!K85,$B$20*'LBMP_by_Year-Month-Hour'!K$102*'LBMP_by_Year-Month-Hour'!K117,$B$21*'LBMP_by_Year-Month-Hour'!K$134*'LBMP_by_Year-Month-Hour'!K149,$B$22*'LBMP_by_Year-Month-Hour'!K$166*'LBMP_by_Year-Month-Hour'!K181,$B$23*'LBMP_by_Year-Month-Hour'!K$198*'LBMP_by_Year-Month-Hour'!K213,$B$24*'LBMP_by_Year-Month-Hour'!K$230*'LBMP_by_Year-Month-Hour'!K245,$B$25*'LBMP_by_Year-Month-Hour'!K$262*'LBMP_by_Year-Month-Hour'!K277,$B$26*'LBMP_by_Year-Month-Hour'!K$294*'LBMP_by_Year-Month-Hour'!K309,$B$27*'LBMP_by_Year-Month-Hour'!K$326*'LBMP_by_Year-Month-Hour'!K341,$B$28*'LBMP_by_Year-Month-Hour'!K$358*'LBMP_by_Year-Month-Hour'!K373,$B$29*'LBMP_by_Year-Month-Hour'!K$390*'LBMP_by_Year-Month-Hour'!K405,$B$30*'LBMP_by_Year-Month-Hour'!K$422*'LBMP_by_Year-Month-Hour'!K437,$B$31*'LBMP_by_Year-Month-Hour'!K$454*'LBMP_by_Year-Month-Hour'!K469,$B$32*'LBMP_by_Year-Month-Hour'!K$486*'LBMP_by_Year-Month-Hour'!K501,$B$33*'LBMP_by_Year-Month-Hour'!K$518*'LBMP_by_Year-Month-Hour'!K533,$B$34*'LBMP_by_Year-Month-Hour'!K$550*'LBMP_by_Year-Month-Hour'!K565,$B$35*'LBMP_by_Year-Month-Hour'!K$582*'LBMP_by_Year-Month-Hour'!K597)*K30/$C$6/24</f>
        <v>0</v>
      </c>
      <c r="M61">
        <v>11</v>
      </c>
      <c r="N61">
        <f>SUM($B$19*'LBMP_by_Year-Month-Hour'!N$70*'LBMP_by_Year-Month-Hour'!N85,$B$20*'LBMP_by_Year-Month-Hour'!N$102*'LBMP_by_Year-Month-Hour'!N117,$B$21*'LBMP_by_Year-Month-Hour'!N$134*'LBMP_by_Year-Month-Hour'!N149,$B$22*'LBMP_by_Year-Month-Hour'!N$166*'LBMP_by_Year-Month-Hour'!N181,$B$23*'LBMP_by_Year-Month-Hour'!N$198*'LBMP_by_Year-Month-Hour'!N213,$B$24*'LBMP_by_Year-Month-Hour'!N$230*'LBMP_by_Year-Month-Hour'!N245,$B$25*'LBMP_by_Year-Month-Hour'!N$262*'LBMP_by_Year-Month-Hour'!N277,$B$26*'LBMP_by_Year-Month-Hour'!N$294*'LBMP_by_Year-Month-Hour'!N309,$B$27*'LBMP_by_Year-Month-Hour'!N$326*'LBMP_by_Year-Month-Hour'!N341,$B$28*'LBMP_by_Year-Month-Hour'!N$358*'LBMP_by_Year-Month-Hour'!N373,$B$29*'LBMP_by_Year-Month-Hour'!N$390*'LBMP_by_Year-Month-Hour'!N405,$B$30*'LBMP_by_Year-Month-Hour'!N$422*'LBMP_by_Year-Month-Hour'!N437,$B$31*'LBMP_by_Year-Month-Hour'!N$454*'LBMP_by_Year-Month-Hour'!N469,$B$32*'LBMP_by_Year-Month-Hour'!N$486*'LBMP_by_Year-Month-Hour'!N501,$B$33*'LBMP_by_Year-Month-Hour'!N$518*'LBMP_by_Year-Month-Hour'!N533,$B$34*'LBMP_by_Year-Month-Hour'!N$550*'LBMP_by_Year-Month-Hour'!N565,$B$35*'LBMP_by_Year-Month-Hour'!N$582*'LBMP_by_Year-Month-Hour'!N597)*N30/$C$6/24</f>
        <v>0</v>
      </c>
      <c r="P61">
        <v>11</v>
      </c>
      <c r="Q61">
        <f>SUM($B$19*'LBMP_by_Year-Month-Hour'!Q$70*'LBMP_by_Year-Month-Hour'!Q85,$B$20*'LBMP_by_Year-Month-Hour'!Q$102*'LBMP_by_Year-Month-Hour'!Q117,$B$21*'LBMP_by_Year-Month-Hour'!Q$134*'LBMP_by_Year-Month-Hour'!Q149,$B$22*'LBMP_by_Year-Month-Hour'!Q$166*'LBMP_by_Year-Month-Hour'!Q181,$B$23*'LBMP_by_Year-Month-Hour'!Q$198*'LBMP_by_Year-Month-Hour'!Q213,$B$24*'LBMP_by_Year-Month-Hour'!Q$230*'LBMP_by_Year-Month-Hour'!Q245,$B$25*'LBMP_by_Year-Month-Hour'!Q$262*'LBMP_by_Year-Month-Hour'!Q277,$B$26*'LBMP_by_Year-Month-Hour'!Q$294*'LBMP_by_Year-Month-Hour'!Q309,$B$27*'LBMP_by_Year-Month-Hour'!Q$326*'LBMP_by_Year-Month-Hour'!Q341,$B$28*'LBMP_by_Year-Month-Hour'!Q$358*'LBMP_by_Year-Month-Hour'!Q373,$B$29*'LBMP_by_Year-Month-Hour'!Q$390*'LBMP_by_Year-Month-Hour'!Q405,$B$30*'LBMP_by_Year-Month-Hour'!Q$422*'LBMP_by_Year-Month-Hour'!Q437,$B$31*'LBMP_by_Year-Month-Hour'!Q$454*'LBMP_by_Year-Month-Hour'!Q469,$B$32*'LBMP_by_Year-Month-Hour'!Q$486*'LBMP_by_Year-Month-Hour'!Q501,$B$33*'LBMP_by_Year-Month-Hour'!Q$518*'LBMP_by_Year-Month-Hour'!Q533,$B$34*'LBMP_by_Year-Month-Hour'!Q$550*'LBMP_by_Year-Month-Hour'!Q565,$B$35*'LBMP_by_Year-Month-Hour'!Q$582*'LBMP_by_Year-Month-Hour'!Q597)*Q30/$C$6/24</f>
        <v>0</v>
      </c>
      <c r="S61">
        <v>11</v>
      </c>
      <c r="T61">
        <f>SUM($B$19*'LBMP_by_Year-Month-Hour'!T$70*'LBMP_by_Year-Month-Hour'!T85,$B$20*'LBMP_by_Year-Month-Hour'!T$102*'LBMP_by_Year-Month-Hour'!T117,$B$21*'LBMP_by_Year-Month-Hour'!T$134*'LBMP_by_Year-Month-Hour'!T149,$B$22*'LBMP_by_Year-Month-Hour'!T$166*'LBMP_by_Year-Month-Hour'!T181,$B$23*'LBMP_by_Year-Month-Hour'!T$198*'LBMP_by_Year-Month-Hour'!T213,$B$24*'LBMP_by_Year-Month-Hour'!T$230*'LBMP_by_Year-Month-Hour'!T245,$B$25*'LBMP_by_Year-Month-Hour'!T$262*'LBMP_by_Year-Month-Hour'!T277,$B$26*'LBMP_by_Year-Month-Hour'!T$294*'LBMP_by_Year-Month-Hour'!T309,$B$27*'LBMP_by_Year-Month-Hour'!T$326*'LBMP_by_Year-Month-Hour'!T341,$B$28*'LBMP_by_Year-Month-Hour'!T$358*'LBMP_by_Year-Month-Hour'!T373,$B$29*'LBMP_by_Year-Month-Hour'!T$390*'LBMP_by_Year-Month-Hour'!T405,$B$30*'LBMP_by_Year-Month-Hour'!T$422*'LBMP_by_Year-Month-Hour'!T437,$B$31*'LBMP_by_Year-Month-Hour'!T$454*'LBMP_by_Year-Month-Hour'!T469,$B$32*'LBMP_by_Year-Month-Hour'!T$486*'LBMP_by_Year-Month-Hour'!T501,$B$33*'LBMP_by_Year-Month-Hour'!T$518*'LBMP_by_Year-Month-Hour'!T533,$B$34*'LBMP_by_Year-Month-Hour'!T$550*'LBMP_by_Year-Month-Hour'!T565,$B$35*'LBMP_by_Year-Month-Hour'!T$582*'LBMP_by_Year-Month-Hour'!T597)*T30/$C$6/24</f>
        <v>0</v>
      </c>
      <c r="V61">
        <v>11</v>
      </c>
      <c r="W61">
        <f>SUM($B$19*'LBMP_by_Year-Month-Hour'!W$70*'LBMP_by_Year-Month-Hour'!W85,$B$20*'LBMP_by_Year-Month-Hour'!W$102*'LBMP_by_Year-Month-Hour'!W117,$B$21*'LBMP_by_Year-Month-Hour'!W$134*'LBMP_by_Year-Month-Hour'!W149,$B$22*'LBMP_by_Year-Month-Hour'!W$166*'LBMP_by_Year-Month-Hour'!W181,$B$23*'LBMP_by_Year-Month-Hour'!W$198*'LBMP_by_Year-Month-Hour'!W213,$B$24*'LBMP_by_Year-Month-Hour'!W$230*'LBMP_by_Year-Month-Hour'!W245,$B$25*'LBMP_by_Year-Month-Hour'!W$262*'LBMP_by_Year-Month-Hour'!W277,$B$26*'LBMP_by_Year-Month-Hour'!W$294*'LBMP_by_Year-Month-Hour'!W309,$B$27*'LBMP_by_Year-Month-Hour'!W$326*'LBMP_by_Year-Month-Hour'!W341,$B$28*'LBMP_by_Year-Month-Hour'!W$358*'LBMP_by_Year-Month-Hour'!W373,$B$29*'LBMP_by_Year-Month-Hour'!W$390*'LBMP_by_Year-Month-Hour'!W405,$B$30*'LBMP_by_Year-Month-Hour'!W$422*'LBMP_by_Year-Month-Hour'!W437,$B$31*'LBMP_by_Year-Month-Hour'!W$454*'LBMP_by_Year-Month-Hour'!W469,$B$32*'LBMP_by_Year-Month-Hour'!W$486*'LBMP_by_Year-Month-Hour'!W501,$B$33*'LBMP_by_Year-Month-Hour'!W$518*'LBMP_by_Year-Month-Hour'!W533,$B$34*'LBMP_by_Year-Month-Hour'!W$550*'LBMP_by_Year-Month-Hour'!W565,$B$35*'LBMP_by_Year-Month-Hour'!W$582*'LBMP_by_Year-Month-Hour'!W597)*W30/$C$6/24</f>
        <v>0</v>
      </c>
      <c r="Y61">
        <v>11</v>
      </c>
      <c r="Z61">
        <f>SUM($B$19*'LBMP_by_Year-Month-Hour'!Z$70*'LBMP_by_Year-Month-Hour'!Z85,$B$20*'LBMP_by_Year-Month-Hour'!Z$102*'LBMP_by_Year-Month-Hour'!Z117,$B$21*'LBMP_by_Year-Month-Hour'!Z$134*'LBMP_by_Year-Month-Hour'!Z149,$B$22*'LBMP_by_Year-Month-Hour'!Z$166*'LBMP_by_Year-Month-Hour'!Z181,$B$23*'LBMP_by_Year-Month-Hour'!Z$198*'LBMP_by_Year-Month-Hour'!Z213,$B$24*'LBMP_by_Year-Month-Hour'!Z$230*'LBMP_by_Year-Month-Hour'!Z245,$B$25*'LBMP_by_Year-Month-Hour'!Z$262*'LBMP_by_Year-Month-Hour'!Z277,$B$26*'LBMP_by_Year-Month-Hour'!Z$294*'LBMP_by_Year-Month-Hour'!Z309,$B$27*'LBMP_by_Year-Month-Hour'!Z$326*'LBMP_by_Year-Month-Hour'!Z341,$B$28*'LBMP_by_Year-Month-Hour'!Z$358*'LBMP_by_Year-Month-Hour'!Z373,$B$29*'LBMP_by_Year-Month-Hour'!Z$390*'LBMP_by_Year-Month-Hour'!Z405,$B$30*'LBMP_by_Year-Month-Hour'!Z$422*'LBMP_by_Year-Month-Hour'!Z437,$B$31*'LBMP_by_Year-Month-Hour'!Z$454*'LBMP_by_Year-Month-Hour'!Z469,$B$32*'LBMP_by_Year-Month-Hour'!Z$486*'LBMP_by_Year-Month-Hour'!Z501,$B$33*'LBMP_by_Year-Month-Hour'!Z$518*'LBMP_by_Year-Month-Hour'!Z533,$B$34*'LBMP_by_Year-Month-Hour'!Z$550*'LBMP_by_Year-Month-Hour'!Z565,$B$35*'LBMP_by_Year-Month-Hour'!Z$582*'LBMP_by_Year-Month-Hour'!Z597)*Z30/$C$6/24</f>
        <v>0</v>
      </c>
      <c r="AB61">
        <v>11</v>
      </c>
      <c r="AC61">
        <f>SUM($B$19*'LBMP_by_Year-Month-Hour'!AC$70*'LBMP_by_Year-Month-Hour'!AC85,$B$20*'LBMP_by_Year-Month-Hour'!AC$102*'LBMP_by_Year-Month-Hour'!AC117,$B$21*'LBMP_by_Year-Month-Hour'!AC$134*'LBMP_by_Year-Month-Hour'!AC149,$B$22*'LBMP_by_Year-Month-Hour'!AC$166*'LBMP_by_Year-Month-Hour'!AC181,$B$23*'LBMP_by_Year-Month-Hour'!AC$198*'LBMP_by_Year-Month-Hour'!AC213,$B$24*'LBMP_by_Year-Month-Hour'!AC$230*'LBMP_by_Year-Month-Hour'!AC245,$B$25*'LBMP_by_Year-Month-Hour'!AC$262*'LBMP_by_Year-Month-Hour'!AC277,$B$26*'LBMP_by_Year-Month-Hour'!AC$294*'LBMP_by_Year-Month-Hour'!AC309,$B$27*'LBMP_by_Year-Month-Hour'!AC$326*'LBMP_by_Year-Month-Hour'!AC341,$B$28*'LBMP_by_Year-Month-Hour'!AC$358*'LBMP_by_Year-Month-Hour'!AC373,$B$29*'LBMP_by_Year-Month-Hour'!AC$390*'LBMP_by_Year-Month-Hour'!AC405,$B$30*'LBMP_by_Year-Month-Hour'!AC$422*'LBMP_by_Year-Month-Hour'!AC437,$B$31*'LBMP_by_Year-Month-Hour'!AC$454*'LBMP_by_Year-Month-Hour'!AC469,$B$32*'LBMP_by_Year-Month-Hour'!AC$486*'LBMP_by_Year-Month-Hour'!AC501,$B$33*'LBMP_by_Year-Month-Hour'!AC$518*'LBMP_by_Year-Month-Hour'!AC533,$B$34*'LBMP_by_Year-Month-Hour'!AC$550*'LBMP_by_Year-Month-Hour'!AC565,$B$35*'LBMP_by_Year-Month-Hour'!AC$582*'LBMP_by_Year-Month-Hour'!AC597)*AC30/$C$6/24</f>
        <v>0</v>
      </c>
      <c r="AE61">
        <v>11</v>
      </c>
      <c r="AF61">
        <f>SUM($B$19*'LBMP_by_Year-Month-Hour'!AF$70*'LBMP_by_Year-Month-Hour'!AF85,$B$20*'LBMP_by_Year-Month-Hour'!AF$102*'LBMP_by_Year-Month-Hour'!AF117,$B$21*'LBMP_by_Year-Month-Hour'!AF$134*'LBMP_by_Year-Month-Hour'!AF149,$B$22*'LBMP_by_Year-Month-Hour'!AF$166*'LBMP_by_Year-Month-Hour'!AF181,$B$23*'LBMP_by_Year-Month-Hour'!AF$198*'LBMP_by_Year-Month-Hour'!AF213,$B$24*'LBMP_by_Year-Month-Hour'!AF$230*'LBMP_by_Year-Month-Hour'!AF245,$B$25*'LBMP_by_Year-Month-Hour'!AF$262*'LBMP_by_Year-Month-Hour'!AF277,$B$26*'LBMP_by_Year-Month-Hour'!AF$294*'LBMP_by_Year-Month-Hour'!AF309,$B$27*'LBMP_by_Year-Month-Hour'!AF$326*'LBMP_by_Year-Month-Hour'!AF341,$B$28*'LBMP_by_Year-Month-Hour'!AF$358*'LBMP_by_Year-Month-Hour'!AF373,$B$29*'LBMP_by_Year-Month-Hour'!AF$390*'LBMP_by_Year-Month-Hour'!AF405,$B$30*'LBMP_by_Year-Month-Hour'!AF$422*'LBMP_by_Year-Month-Hour'!AF437,$B$31*'LBMP_by_Year-Month-Hour'!AF$454*'LBMP_by_Year-Month-Hour'!AF469,$B$32*'LBMP_by_Year-Month-Hour'!AF$486*'LBMP_by_Year-Month-Hour'!AF501,$B$33*'LBMP_by_Year-Month-Hour'!AF$518*'LBMP_by_Year-Month-Hour'!AF533,$B$34*'LBMP_by_Year-Month-Hour'!AF$550*'LBMP_by_Year-Month-Hour'!AF565,$B$35*'LBMP_by_Year-Month-Hour'!AF$582*'LBMP_by_Year-Month-Hour'!AF597)*AF30/$C$6/24</f>
        <v>0</v>
      </c>
      <c r="AH61">
        <v>11</v>
      </c>
      <c r="AI61">
        <f>SUM($B$19*'LBMP_by_Year-Month-Hour'!AI$70*'LBMP_by_Year-Month-Hour'!AI85,$B$20*'LBMP_by_Year-Month-Hour'!AI$102*'LBMP_by_Year-Month-Hour'!AI117,$B$21*'LBMP_by_Year-Month-Hour'!AI$134*'LBMP_by_Year-Month-Hour'!AI149,$B$22*'LBMP_by_Year-Month-Hour'!AI$166*'LBMP_by_Year-Month-Hour'!AI181,$B$23*'LBMP_by_Year-Month-Hour'!AI$198*'LBMP_by_Year-Month-Hour'!AI213,$B$24*'LBMP_by_Year-Month-Hour'!AI$230*'LBMP_by_Year-Month-Hour'!AI245,$B$25*'LBMP_by_Year-Month-Hour'!AI$262*'LBMP_by_Year-Month-Hour'!AI277,$B$26*'LBMP_by_Year-Month-Hour'!AI$294*'LBMP_by_Year-Month-Hour'!AI309,$B$27*'LBMP_by_Year-Month-Hour'!AI$326*'LBMP_by_Year-Month-Hour'!AI341,$B$28*'LBMP_by_Year-Month-Hour'!AI$358*'LBMP_by_Year-Month-Hour'!AI373,$B$29*'LBMP_by_Year-Month-Hour'!AI$390*'LBMP_by_Year-Month-Hour'!AI405,$B$30*'LBMP_by_Year-Month-Hour'!AI$422*'LBMP_by_Year-Month-Hour'!AI437,$B$31*'LBMP_by_Year-Month-Hour'!AI$454*'LBMP_by_Year-Month-Hour'!AI469,$B$32*'LBMP_by_Year-Month-Hour'!AI$486*'LBMP_by_Year-Month-Hour'!AI501,$B$33*'LBMP_by_Year-Month-Hour'!AI$518*'LBMP_by_Year-Month-Hour'!AI533,$B$34*'LBMP_by_Year-Month-Hour'!AI$550*'LBMP_by_Year-Month-Hour'!AI565,$B$35*'LBMP_by_Year-Month-Hour'!AI$582*'LBMP_by_Year-Month-Hour'!AI597)*AI30/$C$6/24</f>
        <v>0</v>
      </c>
      <c r="AK61">
        <v>11</v>
      </c>
      <c r="AL61">
        <f>SUM($B$19*'LBMP_by_Year-Month-Hour'!AL$70*'LBMP_by_Year-Month-Hour'!AL85,$B$20*'LBMP_by_Year-Month-Hour'!AL$102*'LBMP_by_Year-Month-Hour'!AL117,$B$21*'LBMP_by_Year-Month-Hour'!AL$134*'LBMP_by_Year-Month-Hour'!AL149,$B$22*'LBMP_by_Year-Month-Hour'!AL$166*'LBMP_by_Year-Month-Hour'!AL181,$B$23*'LBMP_by_Year-Month-Hour'!AL$198*'LBMP_by_Year-Month-Hour'!AL213,$B$24*'LBMP_by_Year-Month-Hour'!AL$230*'LBMP_by_Year-Month-Hour'!AL245,$B$25*'LBMP_by_Year-Month-Hour'!AL$262*'LBMP_by_Year-Month-Hour'!AL277,$B$26*'LBMP_by_Year-Month-Hour'!AL$294*'LBMP_by_Year-Month-Hour'!AL309,$B$27*'LBMP_by_Year-Month-Hour'!AL$326*'LBMP_by_Year-Month-Hour'!AL341,$B$28*'LBMP_by_Year-Month-Hour'!AL$358*'LBMP_by_Year-Month-Hour'!AL373,$B$29*'LBMP_by_Year-Month-Hour'!AL$390*'LBMP_by_Year-Month-Hour'!AL405,$B$30*'LBMP_by_Year-Month-Hour'!AL$422*'LBMP_by_Year-Month-Hour'!AL437,$B$31*'LBMP_by_Year-Month-Hour'!AL$454*'LBMP_by_Year-Month-Hour'!AL469,$B$32*'LBMP_by_Year-Month-Hour'!AL$486*'LBMP_by_Year-Month-Hour'!AL501,$B$33*'LBMP_by_Year-Month-Hour'!AL$518*'LBMP_by_Year-Month-Hour'!AL533,$B$34*'LBMP_by_Year-Month-Hour'!AL$550*'LBMP_by_Year-Month-Hour'!AL565,$B$35*'LBMP_by_Year-Month-Hour'!AL$582*'LBMP_by_Year-Month-Hour'!AL597)*AL30/$C$6/24</f>
        <v>0</v>
      </c>
    </row>
    <row r="62" spans="1:38">
      <c r="A62">
        <v>12</v>
      </c>
      <c r="B62">
        <f t="shared" si="9"/>
        <v>34054.292869809186</v>
      </c>
      <c r="D62">
        <v>12</v>
      </c>
      <c r="E62">
        <f>SUM($B$19*'LBMP_by_Year-Month-Hour'!E$70*'LBMP_by_Year-Month-Hour'!E86,$B$20*'LBMP_by_Year-Month-Hour'!E$102*'LBMP_by_Year-Month-Hour'!E118,$B$21*'LBMP_by_Year-Month-Hour'!E$134*'LBMP_by_Year-Month-Hour'!E150,$B$22*'LBMP_by_Year-Month-Hour'!E$166*'LBMP_by_Year-Month-Hour'!E182,$B$23*'LBMP_by_Year-Month-Hour'!E$198*'LBMP_by_Year-Month-Hour'!E214,$B$24*'LBMP_by_Year-Month-Hour'!E$230*'LBMP_by_Year-Month-Hour'!E246,$B$25*'LBMP_by_Year-Month-Hour'!E$262*'LBMP_by_Year-Month-Hour'!E278,$B$26*'LBMP_by_Year-Month-Hour'!E$294*'LBMP_by_Year-Month-Hour'!E310,$B$27*'LBMP_by_Year-Month-Hour'!E$326*'LBMP_by_Year-Month-Hour'!E342,$B$28*'LBMP_by_Year-Month-Hour'!E$358*'LBMP_by_Year-Month-Hour'!E374,$B$29*'LBMP_by_Year-Month-Hour'!E$390*'LBMP_by_Year-Month-Hour'!E406,$B$30*'LBMP_by_Year-Month-Hour'!E$422*'LBMP_by_Year-Month-Hour'!E438,$B$31*'LBMP_by_Year-Month-Hour'!E$454*'LBMP_by_Year-Month-Hour'!E470,$B$32*'LBMP_by_Year-Month-Hour'!E$486*'LBMP_by_Year-Month-Hour'!E502,$B$33*'LBMP_by_Year-Month-Hour'!E$518*'LBMP_by_Year-Month-Hour'!E534,$B$34*'LBMP_by_Year-Month-Hour'!E$550*'LBMP_by_Year-Month-Hour'!E566,$B$35*'LBMP_by_Year-Month-Hour'!E$582*'LBMP_by_Year-Month-Hour'!E598)*E31/$C$6/24</f>
        <v>0</v>
      </c>
      <c r="G62">
        <v>12</v>
      </c>
      <c r="H62">
        <f>SUM($B$19*'LBMP_by_Year-Month-Hour'!H$70*'LBMP_by_Year-Month-Hour'!H86,$B$20*'LBMP_by_Year-Month-Hour'!H$102*'LBMP_by_Year-Month-Hour'!H118,$B$21*'LBMP_by_Year-Month-Hour'!H$134*'LBMP_by_Year-Month-Hour'!H150,$B$22*'LBMP_by_Year-Month-Hour'!H$166*'LBMP_by_Year-Month-Hour'!H182,$B$23*'LBMP_by_Year-Month-Hour'!H$198*'LBMP_by_Year-Month-Hour'!H214,$B$24*'LBMP_by_Year-Month-Hour'!H$230*'LBMP_by_Year-Month-Hour'!H246,$B$25*'LBMP_by_Year-Month-Hour'!H$262*'LBMP_by_Year-Month-Hour'!H278,$B$26*'LBMP_by_Year-Month-Hour'!H$294*'LBMP_by_Year-Month-Hour'!H310,$B$27*'LBMP_by_Year-Month-Hour'!H$326*'LBMP_by_Year-Month-Hour'!H342,$B$28*'LBMP_by_Year-Month-Hour'!H$358*'LBMP_by_Year-Month-Hour'!H374,$B$29*'LBMP_by_Year-Month-Hour'!H$390*'LBMP_by_Year-Month-Hour'!H406,$B$30*'LBMP_by_Year-Month-Hour'!H$422*'LBMP_by_Year-Month-Hour'!H438,$B$31*'LBMP_by_Year-Month-Hour'!H$454*'LBMP_by_Year-Month-Hour'!H470,$B$32*'LBMP_by_Year-Month-Hour'!H$486*'LBMP_by_Year-Month-Hour'!H502,$B$33*'LBMP_by_Year-Month-Hour'!H$518*'LBMP_by_Year-Month-Hour'!H534,$B$34*'LBMP_by_Year-Month-Hour'!H$550*'LBMP_by_Year-Month-Hour'!H566,$B$35*'LBMP_by_Year-Month-Hour'!H$582*'LBMP_by_Year-Month-Hour'!H598)*H31/$C$6/24</f>
        <v>0</v>
      </c>
      <c r="J62">
        <v>12</v>
      </c>
      <c r="K62">
        <f>SUM($B$19*'LBMP_by_Year-Month-Hour'!K$70*'LBMP_by_Year-Month-Hour'!K86,$B$20*'LBMP_by_Year-Month-Hour'!K$102*'LBMP_by_Year-Month-Hour'!K118,$B$21*'LBMP_by_Year-Month-Hour'!K$134*'LBMP_by_Year-Month-Hour'!K150,$B$22*'LBMP_by_Year-Month-Hour'!K$166*'LBMP_by_Year-Month-Hour'!K182,$B$23*'LBMP_by_Year-Month-Hour'!K$198*'LBMP_by_Year-Month-Hour'!K214,$B$24*'LBMP_by_Year-Month-Hour'!K$230*'LBMP_by_Year-Month-Hour'!K246,$B$25*'LBMP_by_Year-Month-Hour'!K$262*'LBMP_by_Year-Month-Hour'!K278,$B$26*'LBMP_by_Year-Month-Hour'!K$294*'LBMP_by_Year-Month-Hour'!K310,$B$27*'LBMP_by_Year-Month-Hour'!K$326*'LBMP_by_Year-Month-Hour'!K342,$B$28*'LBMP_by_Year-Month-Hour'!K$358*'LBMP_by_Year-Month-Hour'!K374,$B$29*'LBMP_by_Year-Month-Hour'!K$390*'LBMP_by_Year-Month-Hour'!K406,$B$30*'LBMP_by_Year-Month-Hour'!K$422*'LBMP_by_Year-Month-Hour'!K438,$B$31*'LBMP_by_Year-Month-Hour'!K$454*'LBMP_by_Year-Month-Hour'!K470,$B$32*'LBMP_by_Year-Month-Hour'!K$486*'LBMP_by_Year-Month-Hour'!K502,$B$33*'LBMP_by_Year-Month-Hour'!K$518*'LBMP_by_Year-Month-Hour'!K534,$B$34*'LBMP_by_Year-Month-Hour'!K$550*'LBMP_by_Year-Month-Hour'!K566,$B$35*'LBMP_by_Year-Month-Hour'!K$582*'LBMP_by_Year-Month-Hour'!K598)*K31/$C$6/24</f>
        <v>0</v>
      </c>
      <c r="M62">
        <v>12</v>
      </c>
      <c r="N62">
        <f>SUM($B$19*'LBMP_by_Year-Month-Hour'!N$70*'LBMP_by_Year-Month-Hour'!N86,$B$20*'LBMP_by_Year-Month-Hour'!N$102*'LBMP_by_Year-Month-Hour'!N118,$B$21*'LBMP_by_Year-Month-Hour'!N$134*'LBMP_by_Year-Month-Hour'!N150,$B$22*'LBMP_by_Year-Month-Hour'!N$166*'LBMP_by_Year-Month-Hour'!N182,$B$23*'LBMP_by_Year-Month-Hour'!N$198*'LBMP_by_Year-Month-Hour'!N214,$B$24*'LBMP_by_Year-Month-Hour'!N$230*'LBMP_by_Year-Month-Hour'!N246,$B$25*'LBMP_by_Year-Month-Hour'!N$262*'LBMP_by_Year-Month-Hour'!N278,$B$26*'LBMP_by_Year-Month-Hour'!N$294*'LBMP_by_Year-Month-Hour'!N310,$B$27*'LBMP_by_Year-Month-Hour'!N$326*'LBMP_by_Year-Month-Hour'!N342,$B$28*'LBMP_by_Year-Month-Hour'!N$358*'LBMP_by_Year-Month-Hour'!N374,$B$29*'LBMP_by_Year-Month-Hour'!N$390*'LBMP_by_Year-Month-Hour'!N406,$B$30*'LBMP_by_Year-Month-Hour'!N$422*'LBMP_by_Year-Month-Hour'!N438,$B$31*'LBMP_by_Year-Month-Hour'!N$454*'LBMP_by_Year-Month-Hour'!N470,$B$32*'LBMP_by_Year-Month-Hour'!N$486*'LBMP_by_Year-Month-Hour'!N502,$B$33*'LBMP_by_Year-Month-Hour'!N$518*'LBMP_by_Year-Month-Hour'!N534,$B$34*'LBMP_by_Year-Month-Hour'!N$550*'LBMP_by_Year-Month-Hour'!N566,$B$35*'LBMP_by_Year-Month-Hour'!N$582*'LBMP_by_Year-Month-Hour'!N598)*N31/$C$6/24</f>
        <v>0</v>
      </c>
      <c r="P62">
        <v>12</v>
      </c>
      <c r="Q62">
        <f>SUM($B$19*'LBMP_by_Year-Month-Hour'!Q$70*'LBMP_by_Year-Month-Hour'!Q86,$B$20*'LBMP_by_Year-Month-Hour'!Q$102*'LBMP_by_Year-Month-Hour'!Q118,$B$21*'LBMP_by_Year-Month-Hour'!Q$134*'LBMP_by_Year-Month-Hour'!Q150,$B$22*'LBMP_by_Year-Month-Hour'!Q$166*'LBMP_by_Year-Month-Hour'!Q182,$B$23*'LBMP_by_Year-Month-Hour'!Q$198*'LBMP_by_Year-Month-Hour'!Q214,$B$24*'LBMP_by_Year-Month-Hour'!Q$230*'LBMP_by_Year-Month-Hour'!Q246,$B$25*'LBMP_by_Year-Month-Hour'!Q$262*'LBMP_by_Year-Month-Hour'!Q278,$B$26*'LBMP_by_Year-Month-Hour'!Q$294*'LBMP_by_Year-Month-Hour'!Q310,$B$27*'LBMP_by_Year-Month-Hour'!Q$326*'LBMP_by_Year-Month-Hour'!Q342,$B$28*'LBMP_by_Year-Month-Hour'!Q$358*'LBMP_by_Year-Month-Hour'!Q374,$B$29*'LBMP_by_Year-Month-Hour'!Q$390*'LBMP_by_Year-Month-Hour'!Q406,$B$30*'LBMP_by_Year-Month-Hour'!Q$422*'LBMP_by_Year-Month-Hour'!Q438,$B$31*'LBMP_by_Year-Month-Hour'!Q$454*'LBMP_by_Year-Month-Hour'!Q470,$B$32*'LBMP_by_Year-Month-Hour'!Q$486*'LBMP_by_Year-Month-Hour'!Q502,$B$33*'LBMP_by_Year-Month-Hour'!Q$518*'LBMP_by_Year-Month-Hour'!Q534,$B$34*'LBMP_by_Year-Month-Hour'!Q$550*'LBMP_by_Year-Month-Hour'!Q566,$B$35*'LBMP_by_Year-Month-Hour'!Q$582*'LBMP_by_Year-Month-Hour'!Q598)*Q31/$C$6/24</f>
        <v>0</v>
      </c>
      <c r="S62">
        <v>12</v>
      </c>
      <c r="T62">
        <f>SUM($B$19*'LBMP_by_Year-Month-Hour'!T$70*'LBMP_by_Year-Month-Hour'!T86,$B$20*'LBMP_by_Year-Month-Hour'!T$102*'LBMP_by_Year-Month-Hour'!T118,$B$21*'LBMP_by_Year-Month-Hour'!T$134*'LBMP_by_Year-Month-Hour'!T150,$B$22*'LBMP_by_Year-Month-Hour'!T$166*'LBMP_by_Year-Month-Hour'!T182,$B$23*'LBMP_by_Year-Month-Hour'!T$198*'LBMP_by_Year-Month-Hour'!T214,$B$24*'LBMP_by_Year-Month-Hour'!T$230*'LBMP_by_Year-Month-Hour'!T246,$B$25*'LBMP_by_Year-Month-Hour'!T$262*'LBMP_by_Year-Month-Hour'!T278,$B$26*'LBMP_by_Year-Month-Hour'!T$294*'LBMP_by_Year-Month-Hour'!T310,$B$27*'LBMP_by_Year-Month-Hour'!T$326*'LBMP_by_Year-Month-Hour'!T342,$B$28*'LBMP_by_Year-Month-Hour'!T$358*'LBMP_by_Year-Month-Hour'!T374,$B$29*'LBMP_by_Year-Month-Hour'!T$390*'LBMP_by_Year-Month-Hour'!T406,$B$30*'LBMP_by_Year-Month-Hour'!T$422*'LBMP_by_Year-Month-Hour'!T438,$B$31*'LBMP_by_Year-Month-Hour'!T$454*'LBMP_by_Year-Month-Hour'!T470,$B$32*'LBMP_by_Year-Month-Hour'!T$486*'LBMP_by_Year-Month-Hour'!T502,$B$33*'LBMP_by_Year-Month-Hour'!T$518*'LBMP_by_Year-Month-Hour'!T534,$B$34*'LBMP_by_Year-Month-Hour'!T$550*'LBMP_by_Year-Month-Hour'!T566,$B$35*'LBMP_by_Year-Month-Hour'!T$582*'LBMP_by_Year-Month-Hour'!T598)*T31/$C$6/24</f>
        <v>7315.5153029446128</v>
      </c>
      <c r="V62">
        <v>12</v>
      </c>
      <c r="W62">
        <f>SUM($B$19*'LBMP_by_Year-Month-Hour'!W$70*'LBMP_by_Year-Month-Hour'!W86,$B$20*'LBMP_by_Year-Month-Hour'!W$102*'LBMP_by_Year-Month-Hour'!W118,$B$21*'LBMP_by_Year-Month-Hour'!W$134*'LBMP_by_Year-Month-Hour'!W150,$B$22*'LBMP_by_Year-Month-Hour'!W$166*'LBMP_by_Year-Month-Hour'!W182,$B$23*'LBMP_by_Year-Month-Hour'!W$198*'LBMP_by_Year-Month-Hour'!W214,$B$24*'LBMP_by_Year-Month-Hour'!W$230*'LBMP_by_Year-Month-Hour'!W246,$B$25*'LBMP_by_Year-Month-Hour'!W$262*'LBMP_by_Year-Month-Hour'!W278,$B$26*'LBMP_by_Year-Month-Hour'!W$294*'LBMP_by_Year-Month-Hour'!W310,$B$27*'LBMP_by_Year-Month-Hour'!W$326*'LBMP_by_Year-Month-Hour'!W342,$B$28*'LBMP_by_Year-Month-Hour'!W$358*'LBMP_by_Year-Month-Hour'!W374,$B$29*'LBMP_by_Year-Month-Hour'!W$390*'LBMP_by_Year-Month-Hour'!W406,$B$30*'LBMP_by_Year-Month-Hour'!W$422*'LBMP_by_Year-Month-Hour'!W438,$B$31*'LBMP_by_Year-Month-Hour'!W$454*'LBMP_by_Year-Month-Hour'!W470,$B$32*'LBMP_by_Year-Month-Hour'!W$486*'LBMP_by_Year-Month-Hour'!W502,$B$33*'LBMP_by_Year-Month-Hour'!W$518*'LBMP_by_Year-Month-Hour'!W534,$B$34*'LBMP_by_Year-Month-Hour'!W$550*'LBMP_by_Year-Month-Hour'!W566,$B$35*'LBMP_by_Year-Month-Hour'!W$582*'LBMP_by_Year-Month-Hour'!W598)*W31/$C$6/24</f>
        <v>9400.2815109282419</v>
      </c>
      <c r="Y62">
        <v>12</v>
      </c>
      <c r="Z62">
        <f>SUM($B$19*'LBMP_by_Year-Month-Hour'!Z$70*'LBMP_by_Year-Month-Hour'!Z86,$B$20*'LBMP_by_Year-Month-Hour'!Z$102*'LBMP_by_Year-Month-Hour'!Z118,$B$21*'LBMP_by_Year-Month-Hour'!Z$134*'LBMP_by_Year-Month-Hour'!Z150,$B$22*'LBMP_by_Year-Month-Hour'!Z$166*'LBMP_by_Year-Month-Hour'!Z182,$B$23*'LBMP_by_Year-Month-Hour'!Z$198*'LBMP_by_Year-Month-Hour'!Z214,$B$24*'LBMP_by_Year-Month-Hour'!Z$230*'LBMP_by_Year-Month-Hour'!Z246,$B$25*'LBMP_by_Year-Month-Hour'!Z$262*'LBMP_by_Year-Month-Hour'!Z278,$B$26*'LBMP_by_Year-Month-Hour'!Z$294*'LBMP_by_Year-Month-Hour'!Z310,$B$27*'LBMP_by_Year-Month-Hour'!Z$326*'LBMP_by_Year-Month-Hour'!Z342,$B$28*'LBMP_by_Year-Month-Hour'!Z$358*'LBMP_by_Year-Month-Hour'!Z374,$B$29*'LBMP_by_Year-Month-Hour'!Z$390*'LBMP_by_Year-Month-Hour'!Z406,$B$30*'LBMP_by_Year-Month-Hour'!Z$422*'LBMP_by_Year-Month-Hour'!Z438,$B$31*'LBMP_by_Year-Month-Hour'!Z$454*'LBMP_by_Year-Month-Hour'!Z470,$B$32*'LBMP_by_Year-Month-Hour'!Z$486*'LBMP_by_Year-Month-Hour'!Z502,$B$33*'LBMP_by_Year-Month-Hour'!Z$518*'LBMP_by_Year-Month-Hour'!Z534,$B$34*'LBMP_by_Year-Month-Hour'!Z$550*'LBMP_by_Year-Month-Hour'!Z566,$B$35*'LBMP_by_Year-Month-Hour'!Z$582*'LBMP_by_Year-Month-Hour'!Z598)*Z31/$C$6/24</f>
        <v>9381.2580079024501</v>
      </c>
      <c r="AB62">
        <v>12</v>
      </c>
      <c r="AC62">
        <f>SUM($B$19*'LBMP_by_Year-Month-Hour'!AC$70*'LBMP_by_Year-Month-Hour'!AC86,$B$20*'LBMP_by_Year-Month-Hour'!AC$102*'LBMP_by_Year-Month-Hour'!AC118,$B$21*'LBMP_by_Year-Month-Hour'!AC$134*'LBMP_by_Year-Month-Hour'!AC150,$B$22*'LBMP_by_Year-Month-Hour'!AC$166*'LBMP_by_Year-Month-Hour'!AC182,$B$23*'LBMP_by_Year-Month-Hour'!AC$198*'LBMP_by_Year-Month-Hour'!AC214,$B$24*'LBMP_by_Year-Month-Hour'!AC$230*'LBMP_by_Year-Month-Hour'!AC246,$B$25*'LBMP_by_Year-Month-Hour'!AC$262*'LBMP_by_Year-Month-Hour'!AC278,$B$26*'LBMP_by_Year-Month-Hour'!AC$294*'LBMP_by_Year-Month-Hour'!AC310,$B$27*'LBMP_by_Year-Month-Hour'!AC$326*'LBMP_by_Year-Month-Hour'!AC342,$B$28*'LBMP_by_Year-Month-Hour'!AC$358*'LBMP_by_Year-Month-Hour'!AC374,$B$29*'LBMP_by_Year-Month-Hour'!AC$390*'LBMP_by_Year-Month-Hour'!AC406,$B$30*'LBMP_by_Year-Month-Hour'!AC$422*'LBMP_by_Year-Month-Hour'!AC438,$B$31*'LBMP_by_Year-Month-Hour'!AC$454*'LBMP_by_Year-Month-Hour'!AC470,$B$32*'LBMP_by_Year-Month-Hour'!AC$486*'LBMP_by_Year-Month-Hour'!AC502,$B$33*'LBMP_by_Year-Month-Hour'!AC$518*'LBMP_by_Year-Month-Hour'!AC534,$B$34*'LBMP_by_Year-Month-Hour'!AC$550*'LBMP_by_Year-Month-Hour'!AC566,$B$35*'LBMP_by_Year-Month-Hour'!AC$582*'LBMP_by_Year-Month-Hour'!AC598)*AC31/$C$6/24</f>
        <v>7957.238048033887</v>
      </c>
      <c r="AE62">
        <v>12</v>
      </c>
      <c r="AF62">
        <f>SUM($B$19*'LBMP_by_Year-Month-Hour'!AF$70*'LBMP_by_Year-Month-Hour'!AF86,$B$20*'LBMP_by_Year-Month-Hour'!AF$102*'LBMP_by_Year-Month-Hour'!AF118,$B$21*'LBMP_by_Year-Month-Hour'!AF$134*'LBMP_by_Year-Month-Hour'!AF150,$B$22*'LBMP_by_Year-Month-Hour'!AF$166*'LBMP_by_Year-Month-Hour'!AF182,$B$23*'LBMP_by_Year-Month-Hour'!AF$198*'LBMP_by_Year-Month-Hour'!AF214,$B$24*'LBMP_by_Year-Month-Hour'!AF$230*'LBMP_by_Year-Month-Hour'!AF246,$B$25*'LBMP_by_Year-Month-Hour'!AF$262*'LBMP_by_Year-Month-Hour'!AF278,$B$26*'LBMP_by_Year-Month-Hour'!AF$294*'LBMP_by_Year-Month-Hour'!AF310,$B$27*'LBMP_by_Year-Month-Hour'!AF$326*'LBMP_by_Year-Month-Hour'!AF342,$B$28*'LBMP_by_Year-Month-Hour'!AF$358*'LBMP_by_Year-Month-Hour'!AF374,$B$29*'LBMP_by_Year-Month-Hour'!AF$390*'LBMP_by_Year-Month-Hour'!AF406,$B$30*'LBMP_by_Year-Month-Hour'!AF$422*'LBMP_by_Year-Month-Hour'!AF438,$B$31*'LBMP_by_Year-Month-Hour'!AF$454*'LBMP_by_Year-Month-Hour'!AF470,$B$32*'LBMP_by_Year-Month-Hour'!AF$486*'LBMP_by_Year-Month-Hour'!AF502,$B$33*'LBMP_by_Year-Month-Hour'!AF$518*'LBMP_by_Year-Month-Hour'!AF534,$B$34*'LBMP_by_Year-Month-Hour'!AF$550*'LBMP_by_Year-Month-Hour'!AF566,$B$35*'LBMP_by_Year-Month-Hour'!AF$582*'LBMP_by_Year-Month-Hour'!AF598)*AF31/$C$6/24</f>
        <v>0</v>
      </c>
      <c r="AH62">
        <v>12</v>
      </c>
      <c r="AI62">
        <f>SUM($B$19*'LBMP_by_Year-Month-Hour'!AI$70*'LBMP_by_Year-Month-Hour'!AI86,$B$20*'LBMP_by_Year-Month-Hour'!AI$102*'LBMP_by_Year-Month-Hour'!AI118,$B$21*'LBMP_by_Year-Month-Hour'!AI$134*'LBMP_by_Year-Month-Hour'!AI150,$B$22*'LBMP_by_Year-Month-Hour'!AI$166*'LBMP_by_Year-Month-Hour'!AI182,$B$23*'LBMP_by_Year-Month-Hour'!AI$198*'LBMP_by_Year-Month-Hour'!AI214,$B$24*'LBMP_by_Year-Month-Hour'!AI$230*'LBMP_by_Year-Month-Hour'!AI246,$B$25*'LBMP_by_Year-Month-Hour'!AI$262*'LBMP_by_Year-Month-Hour'!AI278,$B$26*'LBMP_by_Year-Month-Hour'!AI$294*'LBMP_by_Year-Month-Hour'!AI310,$B$27*'LBMP_by_Year-Month-Hour'!AI$326*'LBMP_by_Year-Month-Hour'!AI342,$B$28*'LBMP_by_Year-Month-Hour'!AI$358*'LBMP_by_Year-Month-Hour'!AI374,$B$29*'LBMP_by_Year-Month-Hour'!AI$390*'LBMP_by_Year-Month-Hour'!AI406,$B$30*'LBMP_by_Year-Month-Hour'!AI$422*'LBMP_by_Year-Month-Hour'!AI438,$B$31*'LBMP_by_Year-Month-Hour'!AI$454*'LBMP_by_Year-Month-Hour'!AI470,$B$32*'LBMP_by_Year-Month-Hour'!AI$486*'LBMP_by_Year-Month-Hour'!AI502,$B$33*'LBMP_by_Year-Month-Hour'!AI$518*'LBMP_by_Year-Month-Hour'!AI534,$B$34*'LBMP_by_Year-Month-Hour'!AI$550*'LBMP_by_Year-Month-Hour'!AI566,$B$35*'LBMP_by_Year-Month-Hour'!AI$582*'LBMP_by_Year-Month-Hour'!AI598)*AI31/$C$6/24</f>
        <v>0</v>
      </c>
      <c r="AK62">
        <v>12</v>
      </c>
      <c r="AL62">
        <f>SUM($B$19*'LBMP_by_Year-Month-Hour'!AL$70*'LBMP_by_Year-Month-Hour'!AL86,$B$20*'LBMP_by_Year-Month-Hour'!AL$102*'LBMP_by_Year-Month-Hour'!AL118,$B$21*'LBMP_by_Year-Month-Hour'!AL$134*'LBMP_by_Year-Month-Hour'!AL150,$B$22*'LBMP_by_Year-Month-Hour'!AL$166*'LBMP_by_Year-Month-Hour'!AL182,$B$23*'LBMP_by_Year-Month-Hour'!AL$198*'LBMP_by_Year-Month-Hour'!AL214,$B$24*'LBMP_by_Year-Month-Hour'!AL$230*'LBMP_by_Year-Month-Hour'!AL246,$B$25*'LBMP_by_Year-Month-Hour'!AL$262*'LBMP_by_Year-Month-Hour'!AL278,$B$26*'LBMP_by_Year-Month-Hour'!AL$294*'LBMP_by_Year-Month-Hour'!AL310,$B$27*'LBMP_by_Year-Month-Hour'!AL$326*'LBMP_by_Year-Month-Hour'!AL342,$B$28*'LBMP_by_Year-Month-Hour'!AL$358*'LBMP_by_Year-Month-Hour'!AL374,$B$29*'LBMP_by_Year-Month-Hour'!AL$390*'LBMP_by_Year-Month-Hour'!AL406,$B$30*'LBMP_by_Year-Month-Hour'!AL$422*'LBMP_by_Year-Month-Hour'!AL438,$B$31*'LBMP_by_Year-Month-Hour'!AL$454*'LBMP_by_Year-Month-Hour'!AL470,$B$32*'LBMP_by_Year-Month-Hour'!AL$486*'LBMP_by_Year-Month-Hour'!AL502,$B$33*'LBMP_by_Year-Month-Hour'!AL$518*'LBMP_by_Year-Month-Hour'!AL534,$B$34*'LBMP_by_Year-Month-Hour'!AL$550*'LBMP_by_Year-Month-Hour'!AL566,$B$35*'LBMP_by_Year-Month-Hour'!AL$582*'LBMP_by_Year-Month-Hour'!AL598)*AL31/$C$6/24</f>
        <v>0</v>
      </c>
    </row>
    <row r="63" spans="1:38">
      <c r="A63">
        <v>13</v>
      </c>
      <c r="B63">
        <f t="shared" si="9"/>
        <v>96326.243404327019</v>
      </c>
      <c r="D63">
        <v>13</v>
      </c>
      <c r="E63">
        <f>SUM($B$19*'LBMP_by_Year-Month-Hour'!E$70*'LBMP_by_Year-Month-Hour'!E87,$B$20*'LBMP_by_Year-Month-Hour'!E$102*'LBMP_by_Year-Month-Hour'!E119,$B$21*'LBMP_by_Year-Month-Hour'!E$134*'LBMP_by_Year-Month-Hour'!E151,$B$22*'LBMP_by_Year-Month-Hour'!E$166*'LBMP_by_Year-Month-Hour'!E183,$B$23*'LBMP_by_Year-Month-Hour'!E$198*'LBMP_by_Year-Month-Hour'!E215,$B$24*'LBMP_by_Year-Month-Hour'!E$230*'LBMP_by_Year-Month-Hour'!E247,$B$25*'LBMP_by_Year-Month-Hour'!E$262*'LBMP_by_Year-Month-Hour'!E279,$B$26*'LBMP_by_Year-Month-Hour'!E$294*'LBMP_by_Year-Month-Hour'!E311,$B$27*'LBMP_by_Year-Month-Hour'!E$326*'LBMP_by_Year-Month-Hour'!E343,$B$28*'LBMP_by_Year-Month-Hour'!E$358*'LBMP_by_Year-Month-Hour'!E375,$B$29*'LBMP_by_Year-Month-Hour'!E$390*'LBMP_by_Year-Month-Hour'!E407,$B$30*'LBMP_by_Year-Month-Hour'!E$422*'LBMP_by_Year-Month-Hour'!E439,$B$31*'LBMP_by_Year-Month-Hour'!E$454*'LBMP_by_Year-Month-Hour'!E471,$B$32*'LBMP_by_Year-Month-Hour'!E$486*'LBMP_by_Year-Month-Hour'!E503,$B$33*'LBMP_by_Year-Month-Hour'!E$518*'LBMP_by_Year-Month-Hour'!E535,$B$34*'LBMP_by_Year-Month-Hour'!E$550*'LBMP_by_Year-Month-Hour'!E567,$B$35*'LBMP_by_Year-Month-Hour'!E$582*'LBMP_by_Year-Month-Hour'!E599)*E32/$C$6/24</f>
        <v>0</v>
      </c>
      <c r="G63">
        <v>13</v>
      </c>
      <c r="H63">
        <f>SUM($B$19*'LBMP_by_Year-Month-Hour'!H$70*'LBMP_by_Year-Month-Hour'!H87,$B$20*'LBMP_by_Year-Month-Hour'!H$102*'LBMP_by_Year-Month-Hour'!H119,$B$21*'LBMP_by_Year-Month-Hour'!H$134*'LBMP_by_Year-Month-Hour'!H151,$B$22*'LBMP_by_Year-Month-Hour'!H$166*'LBMP_by_Year-Month-Hour'!H183,$B$23*'LBMP_by_Year-Month-Hour'!H$198*'LBMP_by_Year-Month-Hour'!H215,$B$24*'LBMP_by_Year-Month-Hour'!H$230*'LBMP_by_Year-Month-Hour'!H247,$B$25*'LBMP_by_Year-Month-Hour'!H$262*'LBMP_by_Year-Month-Hour'!H279,$B$26*'LBMP_by_Year-Month-Hour'!H$294*'LBMP_by_Year-Month-Hour'!H311,$B$27*'LBMP_by_Year-Month-Hour'!H$326*'LBMP_by_Year-Month-Hour'!H343,$B$28*'LBMP_by_Year-Month-Hour'!H$358*'LBMP_by_Year-Month-Hour'!H375,$B$29*'LBMP_by_Year-Month-Hour'!H$390*'LBMP_by_Year-Month-Hour'!H407,$B$30*'LBMP_by_Year-Month-Hour'!H$422*'LBMP_by_Year-Month-Hour'!H439,$B$31*'LBMP_by_Year-Month-Hour'!H$454*'LBMP_by_Year-Month-Hour'!H471,$B$32*'LBMP_by_Year-Month-Hour'!H$486*'LBMP_by_Year-Month-Hour'!H503,$B$33*'LBMP_by_Year-Month-Hour'!H$518*'LBMP_by_Year-Month-Hour'!H535,$B$34*'LBMP_by_Year-Month-Hour'!H$550*'LBMP_by_Year-Month-Hour'!H567,$B$35*'LBMP_by_Year-Month-Hour'!H$582*'LBMP_by_Year-Month-Hour'!H599)*H32/$C$6/24</f>
        <v>0</v>
      </c>
      <c r="J63">
        <v>13</v>
      </c>
      <c r="K63">
        <f>SUM($B$19*'LBMP_by_Year-Month-Hour'!K$70*'LBMP_by_Year-Month-Hour'!K87,$B$20*'LBMP_by_Year-Month-Hour'!K$102*'LBMP_by_Year-Month-Hour'!K119,$B$21*'LBMP_by_Year-Month-Hour'!K$134*'LBMP_by_Year-Month-Hour'!K151,$B$22*'LBMP_by_Year-Month-Hour'!K$166*'LBMP_by_Year-Month-Hour'!K183,$B$23*'LBMP_by_Year-Month-Hour'!K$198*'LBMP_by_Year-Month-Hour'!K215,$B$24*'LBMP_by_Year-Month-Hour'!K$230*'LBMP_by_Year-Month-Hour'!K247,$B$25*'LBMP_by_Year-Month-Hour'!K$262*'LBMP_by_Year-Month-Hour'!K279,$B$26*'LBMP_by_Year-Month-Hour'!K$294*'LBMP_by_Year-Month-Hour'!K311,$B$27*'LBMP_by_Year-Month-Hour'!K$326*'LBMP_by_Year-Month-Hour'!K343,$B$28*'LBMP_by_Year-Month-Hour'!K$358*'LBMP_by_Year-Month-Hour'!K375,$B$29*'LBMP_by_Year-Month-Hour'!K$390*'LBMP_by_Year-Month-Hour'!K407,$B$30*'LBMP_by_Year-Month-Hour'!K$422*'LBMP_by_Year-Month-Hour'!K439,$B$31*'LBMP_by_Year-Month-Hour'!K$454*'LBMP_by_Year-Month-Hour'!K471,$B$32*'LBMP_by_Year-Month-Hour'!K$486*'LBMP_by_Year-Month-Hour'!K503,$B$33*'LBMP_by_Year-Month-Hour'!K$518*'LBMP_by_Year-Month-Hour'!K535,$B$34*'LBMP_by_Year-Month-Hour'!K$550*'LBMP_by_Year-Month-Hour'!K567,$B$35*'LBMP_by_Year-Month-Hour'!K$582*'LBMP_by_Year-Month-Hour'!K599)*K32/$C$6/24</f>
        <v>0</v>
      </c>
      <c r="M63">
        <v>13</v>
      </c>
      <c r="N63">
        <f>SUM($B$19*'LBMP_by_Year-Month-Hour'!N$70*'LBMP_by_Year-Month-Hour'!N87,$B$20*'LBMP_by_Year-Month-Hour'!N$102*'LBMP_by_Year-Month-Hour'!N119,$B$21*'LBMP_by_Year-Month-Hour'!N$134*'LBMP_by_Year-Month-Hour'!N151,$B$22*'LBMP_by_Year-Month-Hour'!N$166*'LBMP_by_Year-Month-Hour'!N183,$B$23*'LBMP_by_Year-Month-Hour'!N$198*'LBMP_by_Year-Month-Hour'!N215,$B$24*'LBMP_by_Year-Month-Hour'!N$230*'LBMP_by_Year-Month-Hour'!N247,$B$25*'LBMP_by_Year-Month-Hour'!N$262*'LBMP_by_Year-Month-Hour'!N279,$B$26*'LBMP_by_Year-Month-Hour'!N$294*'LBMP_by_Year-Month-Hour'!N311,$B$27*'LBMP_by_Year-Month-Hour'!N$326*'LBMP_by_Year-Month-Hour'!N343,$B$28*'LBMP_by_Year-Month-Hour'!N$358*'LBMP_by_Year-Month-Hour'!N375,$B$29*'LBMP_by_Year-Month-Hour'!N$390*'LBMP_by_Year-Month-Hour'!N407,$B$30*'LBMP_by_Year-Month-Hour'!N$422*'LBMP_by_Year-Month-Hour'!N439,$B$31*'LBMP_by_Year-Month-Hour'!N$454*'LBMP_by_Year-Month-Hour'!N471,$B$32*'LBMP_by_Year-Month-Hour'!N$486*'LBMP_by_Year-Month-Hour'!N503,$B$33*'LBMP_by_Year-Month-Hour'!N$518*'LBMP_by_Year-Month-Hour'!N535,$B$34*'LBMP_by_Year-Month-Hour'!N$550*'LBMP_by_Year-Month-Hour'!N567,$B$35*'LBMP_by_Year-Month-Hour'!N$582*'LBMP_by_Year-Month-Hour'!N599)*N32/$C$6/24</f>
        <v>0</v>
      </c>
      <c r="P63">
        <v>13</v>
      </c>
      <c r="Q63">
        <f>SUM($B$19*'LBMP_by_Year-Month-Hour'!Q$70*'LBMP_by_Year-Month-Hour'!Q87,$B$20*'LBMP_by_Year-Month-Hour'!Q$102*'LBMP_by_Year-Month-Hour'!Q119,$B$21*'LBMP_by_Year-Month-Hour'!Q$134*'LBMP_by_Year-Month-Hour'!Q151,$B$22*'LBMP_by_Year-Month-Hour'!Q$166*'LBMP_by_Year-Month-Hour'!Q183,$B$23*'LBMP_by_Year-Month-Hour'!Q$198*'LBMP_by_Year-Month-Hour'!Q215,$B$24*'LBMP_by_Year-Month-Hour'!Q$230*'LBMP_by_Year-Month-Hour'!Q247,$B$25*'LBMP_by_Year-Month-Hour'!Q$262*'LBMP_by_Year-Month-Hour'!Q279,$B$26*'LBMP_by_Year-Month-Hour'!Q$294*'LBMP_by_Year-Month-Hour'!Q311,$B$27*'LBMP_by_Year-Month-Hour'!Q$326*'LBMP_by_Year-Month-Hour'!Q343,$B$28*'LBMP_by_Year-Month-Hour'!Q$358*'LBMP_by_Year-Month-Hour'!Q375,$B$29*'LBMP_by_Year-Month-Hour'!Q$390*'LBMP_by_Year-Month-Hour'!Q407,$B$30*'LBMP_by_Year-Month-Hour'!Q$422*'LBMP_by_Year-Month-Hour'!Q439,$B$31*'LBMP_by_Year-Month-Hour'!Q$454*'LBMP_by_Year-Month-Hour'!Q471,$B$32*'LBMP_by_Year-Month-Hour'!Q$486*'LBMP_by_Year-Month-Hour'!Q503,$B$33*'LBMP_by_Year-Month-Hour'!Q$518*'LBMP_by_Year-Month-Hour'!Q535,$B$34*'LBMP_by_Year-Month-Hour'!Q$550*'LBMP_by_Year-Month-Hour'!Q567,$B$35*'LBMP_by_Year-Month-Hour'!Q$582*'LBMP_by_Year-Month-Hour'!Q599)*Q32/$C$6/24</f>
        <v>0</v>
      </c>
      <c r="S63">
        <v>13</v>
      </c>
      <c r="T63">
        <f>SUM($B$19*'LBMP_by_Year-Month-Hour'!T$70*'LBMP_by_Year-Month-Hour'!T87,$B$20*'LBMP_by_Year-Month-Hour'!T$102*'LBMP_by_Year-Month-Hour'!T119,$B$21*'LBMP_by_Year-Month-Hour'!T$134*'LBMP_by_Year-Month-Hour'!T151,$B$22*'LBMP_by_Year-Month-Hour'!T$166*'LBMP_by_Year-Month-Hour'!T183,$B$23*'LBMP_by_Year-Month-Hour'!T$198*'LBMP_by_Year-Month-Hour'!T215,$B$24*'LBMP_by_Year-Month-Hour'!T$230*'LBMP_by_Year-Month-Hour'!T247,$B$25*'LBMP_by_Year-Month-Hour'!T$262*'LBMP_by_Year-Month-Hour'!T279,$B$26*'LBMP_by_Year-Month-Hour'!T$294*'LBMP_by_Year-Month-Hour'!T311,$B$27*'LBMP_by_Year-Month-Hour'!T$326*'LBMP_by_Year-Month-Hour'!T343,$B$28*'LBMP_by_Year-Month-Hour'!T$358*'LBMP_by_Year-Month-Hour'!T375,$B$29*'LBMP_by_Year-Month-Hour'!T$390*'LBMP_by_Year-Month-Hour'!T407,$B$30*'LBMP_by_Year-Month-Hour'!T$422*'LBMP_by_Year-Month-Hour'!T439,$B$31*'LBMP_by_Year-Month-Hour'!T$454*'LBMP_by_Year-Month-Hour'!T471,$B$32*'LBMP_by_Year-Month-Hour'!T$486*'LBMP_by_Year-Month-Hour'!T503,$B$33*'LBMP_by_Year-Month-Hour'!T$518*'LBMP_by_Year-Month-Hour'!T535,$B$34*'LBMP_by_Year-Month-Hour'!T$550*'LBMP_by_Year-Month-Hour'!T567,$B$35*'LBMP_by_Year-Month-Hour'!T$582*'LBMP_by_Year-Month-Hour'!T599)*T32/$C$6/24</f>
        <v>20505.521924342793</v>
      </c>
      <c r="V63">
        <v>13</v>
      </c>
      <c r="W63">
        <f>SUM($B$19*'LBMP_by_Year-Month-Hour'!W$70*'LBMP_by_Year-Month-Hour'!W87,$B$20*'LBMP_by_Year-Month-Hour'!W$102*'LBMP_by_Year-Month-Hour'!W119,$B$21*'LBMP_by_Year-Month-Hour'!W$134*'LBMP_by_Year-Month-Hour'!W151,$B$22*'LBMP_by_Year-Month-Hour'!W$166*'LBMP_by_Year-Month-Hour'!W183,$B$23*'LBMP_by_Year-Month-Hour'!W$198*'LBMP_by_Year-Month-Hour'!W215,$B$24*'LBMP_by_Year-Month-Hour'!W$230*'LBMP_by_Year-Month-Hour'!W247,$B$25*'LBMP_by_Year-Month-Hour'!W$262*'LBMP_by_Year-Month-Hour'!W279,$B$26*'LBMP_by_Year-Month-Hour'!W$294*'LBMP_by_Year-Month-Hour'!W311,$B$27*'LBMP_by_Year-Month-Hour'!W$326*'LBMP_by_Year-Month-Hour'!W343,$B$28*'LBMP_by_Year-Month-Hour'!W$358*'LBMP_by_Year-Month-Hour'!W375,$B$29*'LBMP_by_Year-Month-Hour'!W$390*'LBMP_by_Year-Month-Hour'!W407,$B$30*'LBMP_by_Year-Month-Hour'!W$422*'LBMP_by_Year-Month-Hour'!W439,$B$31*'LBMP_by_Year-Month-Hour'!W$454*'LBMP_by_Year-Month-Hour'!W471,$B$32*'LBMP_by_Year-Month-Hour'!W$486*'LBMP_by_Year-Month-Hour'!W503,$B$33*'LBMP_by_Year-Month-Hour'!W$518*'LBMP_by_Year-Month-Hour'!W535,$B$34*'LBMP_by_Year-Month-Hour'!W$550*'LBMP_by_Year-Month-Hour'!W567,$B$35*'LBMP_by_Year-Month-Hour'!W$582*'LBMP_by_Year-Month-Hour'!W599)*W32/$C$6/24</f>
        <v>26657.044384189536</v>
      </c>
      <c r="Y63">
        <v>13</v>
      </c>
      <c r="Z63">
        <f>SUM($B$19*'LBMP_by_Year-Month-Hour'!Z$70*'LBMP_by_Year-Month-Hour'!Z87,$B$20*'LBMP_by_Year-Month-Hour'!Z$102*'LBMP_by_Year-Month-Hour'!Z119,$B$21*'LBMP_by_Year-Month-Hour'!Z$134*'LBMP_by_Year-Month-Hour'!Z151,$B$22*'LBMP_by_Year-Month-Hour'!Z$166*'LBMP_by_Year-Month-Hour'!Z183,$B$23*'LBMP_by_Year-Month-Hour'!Z$198*'LBMP_by_Year-Month-Hour'!Z215,$B$24*'LBMP_by_Year-Month-Hour'!Z$230*'LBMP_by_Year-Month-Hour'!Z247,$B$25*'LBMP_by_Year-Month-Hour'!Z$262*'LBMP_by_Year-Month-Hour'!Z279,$B$26*'LBMP_by_Year-Month-Hour'!Z$294*'LBMP_by_Year-Month-Hour'!Z311,$B$27*'LBMP_by_Year-Month-Hour'!Z$326*'LBMP_by_Year-Month-Hour'!Z343,$B$28*'LBMP_by_Year-Month-Hour'!Z$358*'LBMP_by_Year-Month-Hour'!Z375,$B$29*'LBMP_by_Year-Month-Hour'!Z$390*'LBMP_by_Year-Month-Hour'!Z407,$B$30*'LBMP_by_Year-Month-Hour'!Z$422*'LBMP_by_Year-Month-Hour'!Z439,$B$31*'LBMP_by_Year-Month-Hour'!Z$454*'LBMP_by_Year-Month-Hour'!Z471,$B$32*'LBMP_by_Year-Month-Hour'!Z$486*'LBMP_by_Year-Month-Hour'!Z503,$B$33*'LBMP_by_Year-Month-Hour'!Z$518*'LBMP_by_Year-Month-Hour'!Z535,$B$34*'LBMP_by_Year-Month-Hour'!Z$550*'LBMP_by_Year-Month-Hour'!Z567,$B$35*'LBMP_by_Year-Month-Hour'!Z$582*'LBMP_by_Year-Month-Hour'!Z599)*Z32/$C$6/24</f>
        <v>26867.354629203812</v>
      </c>
      <c r="AB63">
        <v>13</v>
      </c>
      <c r="AC63">
        <f>SUM($B$19*'LBMP_by_Year-Month-Hour'!AC$70*'LBMP_by_Year-Month-Hour'!AC87,$B$20*'LBMP_by_Year-Month-Hour'!AC$102*'LBMP_by_Year-Month-Hour'!AC119,$B$21*'LBMP_by_Year-Month-Hour'!AC$134*'LBMP_by_Year-Month-Hour'!AC151,$B$22*'LBMP_by_Year-Month-Hour'!AC$166*'LBMP_by_Year-Month-Hour'!AC183,$B$23*'LBMP_by_Year-Month-Hour'!AC$198*'LBMP_by_Year-Month-Hour'!AC215,$B$24*'LBMP_by_Year-Month-Hour'!AC$230*'LBMP_by_Year-Month-Hour'!AC247,$B$25*'LBMP_by_Year-Month-Hour'!AC$262*'LBMP_by_Year-Month-Hour'!AC279,$B$26*'LBMP_by_Year-Month-Hour'!AC$294*'LBMP_by_Year-Month-Hour'!AC311,$B$27*'LBMP_by_Year-Month-Hour'!AC$326*'LBMP_by_Year-Month-Hour'!AC343,$B$28*'LBMP_by_Year-Month-Hour'!AC$358*'LBMP_by_Year-Month-Hour'!AC375,$B$29*'LBMP_by_Year-Month-Hour'!AC$390*'LBMP_by_Year-Month-Hour'!AC407,$B$30*'LBMP_by_Year-Month-Hour'!AC$422*'LBMP_by_Year-Month-Hour'!AC439,$B$31*'LBMP_by_Year-Month-Hour'!AC$454*'LBMP_by_Year-Month-Hour'!AC471,$B$32*'LBMP_by_Year-Month-Hour'!AC$486*'LBMP_by_Year-Month-Hour'!AC503,$B$33*'LBMP_by_Year-Month-Hour'!AC$518*'LBMP_by_Year-Month-Hour'!AC535,$B$34*'LBMP_by_Year-Month-Hour'!AC$550*'LBMP_by_Year-Month-Hour'!AC567,$B$35*'LBMP_by_Year-Month-Hour'!AC$582*'LBMP_by_Year-Month-Hour'!AC599)*AC32/$C$6/24</f>
        <v>22296.322466590882</v>
      </c>
      <c r="AE63">
        <v>13</v>
      </c>
      <c r="AF63">
        <f>SUM($B$19*'LBMP_by_Year-Month-Hour'!AF$70*'LBMP_by_Year-Month-Hour'!AF87,$B$20*'LBMP_by_Year-Month-Hour'!AF$102*'LBMP_by_Year-Month-Hour'!AF119,$B$21*'LBMP_by_Year-Month-Hour'!AF$134*'LBMP_by_Year-Month-Hour'!AF151,$B$22*'LBMP_by_Year-Month-Hour'!AF$166*'LBMP_by_Year-Month-Hour'!AF183,$B$23*'LBMP_by_Year-Month-Hour'!AF$198*'LBMP_by_Year-Month-Hour'!AF215,$B$24*'LBMP_by_Year-Month-Hour'!AF$230*'LBMP_by_Year-Month-Hour'!AF247,$B$25*'LBMP_by_Year-Month-Hour'!AF$262*'LBMP_by_Year-Month-Hour'!AF279,$B$26*'LBMP_by_Year-Month-Hour'!AF$294*'LBMP_by_Year-Month-Hour'!AF311,$B$27*'LBMP_by_Year-Month-Hour'!AF$326*'LBMP_by_Year-Month-Hour'!AF343,$B$28*'LBMP_by_Year-Month-Hour'!AF$358*'LBMP_by_Year-Month-Hour'!AF375,$B$29*'LBMP_by_Year-Month-Hour'!AF$390*'LBMP_by_Year-Month-Hour'!AF407,$B$30*'LBMP_by_Year-Month-Hour'!AF$422*'LBMP_by_Year-Month-Hour'!AF439,$B$31*'LBMP_by_Year-Month-Hour'!AF$454*'LBMP_by_Year-Month-Hour'!AF471,$B$32*'LBMP_by_Year-Month-Hour'!AF$486*'LBMP_by_Year-Month-Hour'!AF503,$B$33*'LBMP_by_Year-Month-Hour'!AF$518*'LBMP_by_Year-Month-Hour'!AF535,$B$34*'LBMP_by_Year-Month-Hour'!AF$550*'LBMP_by_Year-Month-Hour'!AF567,$B$35*'LBMP_by_Year-Month-Hour'!AF$582*'LBMP_by_Year-Month-Hour'!AF599)*AF32/$C$6/24</f>
        <v>0</v>
      </c>
      <c r="AH63">
        <v>13</v>
      </c>
      <c r="AI63">
        <f>SUM($B$19*'LBMP_by_Year-Month-Hour'!AI$70*'LBMP_by_Year-Month-Hour'!AI87,$B$20*'LBMP_by_Year-Month-Hour'!AI$102*'LBMP_by_Year-Month-Hour'!AI119,$B$21*'LBMP_by_Year-Month-Hour'!AI$134*'LBMP_by_Year-Month-Hour'!AI151,$B$22*'LBMP_by_Year-Month-Hour'!AI$166*'LBMP_by_Year-Month-Hour'!AI183,$B$23*'LBMP_by_Year-Month-Hour'!AI$198*'LBMP_by_Year-Month-Hour'!AI215,$B$24*'LBMP_by_Year-Month-Hour'!AI$230*'LBMP_by_Year-Month-Hour'!AI247,$B$25*'LBMP_by_Year-Month-Hour'!AI$262*'LBMP_by_Year-Month-Hour'!AI279,$B$26*'LBMP_by_Year-Month-Hour'!AI$294*'LBMP_by_Year-Month-Hour'!AI311,$B$27*'LBMP_by_Year-Month-Hour'!AI$326*'LBMP_by_Year-Month-Hour'!AI343,$B$28*'LBMP_by_Year-Month-Hour'!AI$358*'LBMP_by_Year-Month-Hour'!AI375,$B$29*'LBMP_by_Year-Month-Hour'!AI$390*'LBMP_by_Year-Month-Hour'!AI407,$B$30*'LBMP_by_Year-Month-Hour'!AI$422*'LBMP_by_Year-Month-Hour'!AI439,$B$31*'LBMP_by_Year-Month-Hour'!AI$454*'LBMP_by_Year-Month-Hour'!AI471,$B$32*'LBMP_by_Year-Month-Hour'!AI$486*'LBMP_by_Year-Month-Hour'!AI503,$B$33*'LBMP_by_Year-Month-Hour'!AI$518*'LBMP_by_Year-Month-Hour'!AI535,$B$34*'LBMP_by_Year-Month-Hour'!AI$550*'LBMP_by_Year-Month-Hour'!AI567,$B$35*'LBMP_by_Year-Month-Hour'!AI$582*'LBMP_by_Year-Month-Hour'!AI599)*AI32/$C$6/24</f>
        <v>0</v>
      </c>
      <c r="AK63">
        <v>13</v>
      </c>
      <c r="AL63">
        <f>SUM($B$19*'LBMP_by_Year-Month-Hour'!AL$70*'LBMP_by_Year-Month-Hour'!AL87,$B$20*'LBMP_by_Year-Month-Hour'!AL$102*'LBMP_by_Year-Month-Hour'!AL119,$B$21*'LBMP_by_Year-Month-Hour'!AL$134*'LBMP_by_Year-Month-Hour'!AL151,$B$22*'LBMP_by_Year-Month-Hour'!AL$166*'LBMP_by_Year-Month-Hour'!AL183,$B$23*'LBMP_by_Year-Month-Hour'!AL$198*'LBMP_by_Year-Month-Hour'!AL215,$B$24*'LBMP_by_Year-Month-Hour'!AL$230*'LBMP_by_Year-Month-Hour'!AL247,$B$25*'LBMP_by_Year-Month-Hour'!AL$262*'LBMP_by_Year-Month-Hour'!AL279,$B$26*'LBMP_by_Year-Month-Hour'!AL$294*'LBMP_by_Year-Month-Hour'!AL311,$B$27*'LBMP_by_Year-Month-Hour'!AL$326*'LBMP_by_Year-Month-Hour'!AL343,$B$28*'LBMP_by_Year-Month-Hour'!AL$358*'LBMP_by_Year-Month-Hour'!AL375,$B$29*'LBMP_by_Year-Month-Hour'!AL$390*'LBMP_by_Year-Month-Hour'!AL407,$B$30*'LBMP_by_Year-Month-Hour'!AL$422*'LBMP_by_Year-Month-Hour'!AL439,$B$31*'LBMP_by_Year-Month-Hour'!AL$454*'LBMP_by_Year-Month-Hour'!AL471,$B$32*'LBMP_by_Year-Month-Hour'!AL$486*'LBMP_by_Year-Month-Hour'!AL503,$B$33*'LBMP_by_Year-Month-Hour'!AL$518*'LBMP_by_Year-Month-Hour'!AL535,$B$34*'LBMP_by_Year-Month-Hour'!AL$550*'LBMP_by_Year-Month-Hour'!AL567,$B$35*'LBMP_by_Year-Month-Hour'!AL$582*'LBMP_by_Year-Month-Hour'!AL599)*AL32/$C$6/24</f>
        <v>0</v>
      </c>
    </row>
    <row r="64" spans="1:38">
      <c r="A64">
        <v>14</v>
      </c>
      <c r="B64">
        <f t="shared" si="9"/>
        <v>143738.76624898548</v>
      </c>
      <c r="D64">
        <v>14</v>
      </c>
      <c r="E64">
        <f>SUM($B$19*'LBMP_by_Year-Month-Hour'!E$70*'LBMP_by_Year-Month-Hour'!E88,$B$20*'LBMP_by_Year-Month-Hour'!E$102*'LBMP_by_Year-Month-Hour'!E120,$B$21*'LBMP_by_Year-Month-Hour'!E$134*'LBMP_by_Year-Month-Hour'!E152,$B$22*'LBMP_by_Year-Month-Hour'!E$166*'LBMP_by_Year-Month-Hour'!E184,$B$23*'LBMP_by_Year-Month-Hour'!E$198*'LBMP_by_Year-Month-Hour'!E216,$B$24*'LBMP_by_Year-Month-Hour'!E$230*'LBMP_by_Year-Month-Hour'!E248,$B$25*'LBMP_by_Year-Month-Hour'!E$262*'LBMP_by_Year-Month-Hour'!E280,$B$26*'LBMP_by_Year-Month-Hour'!E$294*'LBMP_by_Year-Month-Hour'!E312,$B$27*'LBMP_by_Year-Month-Hour'!E$326*'LBMP_by_Year-Month-Hour'!E344,$B$28*'LBMP_by_Year-Month-Hour'!E$358*'LBMP_by_Year-Month-Hour'!E376,$B$29*'LBMP_by_Year-Month-Hour'!E$390*'LBMP_by_Year-Month-Hour'!E408,$B$30*'LBMP_by_Year-Month-Hour'!E$422*'LBMP_by_Year-Month-Hour'!E440,$B$31*'LBMP_by_Year-Month-Hour'!E$454*'LBMP_by_Year-Month-Hour'!E472,$B$32*'LBMP_by_Year-Month-Hour'!E$486*'LBMP_by_Year-Month-Hour'!E504,$B$33*'LBMP_by_Year-Month-Hour'!E$518*'LBMP_by_Year-Month-Hour'!E536,$B$34*'LBMP_by_Year-Month-Hour'!E$550*'LBMP_by_Year-Month-Hour'!E568,$B$35*'LBMP_by_Year-Month-Hour'!E$582*'LBMP_by_Year-Month-Hour'!E600)*E33/$C$6/24</f>
        <v>0</v>
      </c>
      <c r="G64">
        <v>14</v>
      </c>
      <c r="H64">
        <f>SUM($B$19*'LBMP_by_Year-Month-Hour'!H$70*'LBMP_by_Year-Month-Hour'!H88,$B$20*'LBMP_by_Year-Month-Hour'!H$102*'LBMP_by_Year-Month-Hour'!H120,$B$21*'LBMP_by_Year-Month-Hour'!H$134*'LBMP_by_Year-Month-Hour'!H152,$B$22*'LBMP_by_Year-Month-Hour'!H$166*'LBMP_by_Year-Month-Hour'!H184,$B$23*'LBMP_by_Year-Month-Hour'!H$198*'LBMP_by_Year-Month-Hour'!H216,$B$24*'LBMP_by_Year-Month-Hour'!H$230*'LBMP_by_Year-Month-Hour'!H248,$B$25*'LBMP_by_Year-Month-Hour'!H$262*'LBMP_by_Year-Month-Hour'!H280,$B$26*'LBMP_by_Year-Month-Hour'!H$294*'LBMP_by_Year-Month-Hour'!H312,$B$27*'LBMP_by_Year-Month-Hour'!H$326*'LBMP_by_Year-Month-Hour'!H344,$B$28*'LBMP_by_Year-Month-Hour'!H$358*'LBMP_by_Year-Month-Hour'!H376,$B$29*'LBMP_by_Year-Month-Hour'!H$390*'LBMP_by_Year-Month-Hour'!H408,$B$30*'LBMP_by_Year-Month-Hour'!H$422*'LBMP_by_Year-Month-Hour'!H440,$B$31*'LBMP_by_Year-Month-Hour'!H$454*'LBMP_by_Year-Month-Hour'!H472,$B$32*'LBMP_by_Year-Month-Hour'!H$486*'LBMP_by_Year-Month-Hour'!H504,$B$33*'LBMP_by_Year-Month-Hour'!H$518*'LBMP_by_Year-Month-Hour'!H536,$B$34*'LBMP_by_Year-Month-Hour'!H$550*'LBMP_by_Year-Month-Hour'!H568,$B$35*'LBMP_by_Year-Month-Hour'!H$582*'LBMP_by_Year-Month-Hour'!H600)*H33/$C$6/24</f>
        <v>0</v>
      </c>
      <c r="J64">
        <v>14</v>
      </c>
      <c r="K64">
        <f>SUM($B$19*'LBMP_by_Year-Month-Hour'!K$70*'LBMP_by_Year-Month-Hour'!K88,$B$20*'LBMP_by_Year-Month-Hour'!K$102*'LBMP_by_Year-Month-Hour'!K120,$B$21*'LBMP_by_Year-Month-Hour'!K$134*'LBMP_by_Year-Month-Hour'!K152,$B$22*'LBMP_by_Year-Month-Hour'!K$166*'LBMP_by_Year-Month-Hour'!K184,$B$23*'LBMP_by_Year-Month-Hour'!K$198*'LBMP_by_Year-Month-Hour'!K216,$B$24*'LBMP_by_Year-Month-Hour'!K$230*'LBMP_by_Year-Month-Hour'!K248,$B$25*'LBMP_by_Year-Month-Hour'!K$262*'LBMP_by_Year-Month-Hour'!K280,$B$26*'LBMP_by_Year-Month-Hour'!K$294*'LBMP_by_Year-Month-Hour'!K312,$B$27*'LBMP_by_Year-Month-Hour'!K$326*'LBMP_by_Year-Month-Hour'!K344,$B$28*'LBMP_by_Year-Month-Hour'!K$358*'LBMP_by_Year-Month-Hour'!K376,$B$29*'LBMP_by_Year-Month-Hour'!K$390*'LBMP_by_Year-Month-Hour'!K408,$B$30*'LBMP_by_Year-Month-Hour'!K$422*'LBMP_by_Year-Month-Hour'!K440,$B$31*'LBMP_by_Year-Month-Hour'!K$454*'LBMP_by_Year-Month-Hour'!K472,$B$32*'LBMP_by_Year-Month-Hour'!K$486*'LBMP_by_Year-Month-Hour'!K504,$B$33*'LBMP_by_Year-Month-Hour'!K$518*'LBMP_by_Year-Month-Hour'!K536,$B$34*'LBMP_by_Year-Month-Hour'!K$550*'LBMP_by_Year-Month-Hour'!K568,$B$35*'LBMP_by_Year-Month-Hour'!K$582*'LBMP_by_Year-Month-Hour'!K600)*K33/$C$6/24</f>
        <v>0</v>
      </c>
      <c r="M64">
        <v>14</v>
      </c>
      <c r="N64">
        <f>SUM($B$19*'LBMP_by_Year-Month-Hour'!N$70*'LBMP_by_Year-Month-Hour'!N88,$B$20*'LBMP_by_Year-Month-Hour'!N$102*'LBMP_by_Year-Month-Hour'!N120,$B$21*'LBMP_by_Year-Month-Hour'!N$134*'LBMP_by_Year-Month-Hour'!N152,$B$22*'LBMP_by_Year-Month-Hour'!N$166*'LBMP_by_Year-Month-Hour'!N184,$B$23*'LBMP_by_Year-Month-Hour'!N$198*'LBMP_by_Year-Month-Hour'!N216,$B$24*'LBMP_by_Year-Month-Hour'!N$230*'LBMP_by_Year-Month-Hour'!N248,$B$25*'LBMP_by_Year-Month-Hour'!N$262*'LBMP_by_Year-Month-Hour'!N280,$B$26*'LBMP_by_Year-Month-Hour'!N$294*'LBMP_by_Year-Month-Hour'!N312,$B$27*'LBMP_by_Year-Month-Hour'!N$326*'LBMP_by_Year-Month-Hour'!N344,$B$28*'LBMP_by_Year-Month-Hour'!N$358*'LBMP_by_Year-Month-Hour'!N376,$B$29*'LBMP_by_Year-Month-Hour'!N$390*'LBMP_by_Year-Month-Hour'!N408,$B$30*'LBMP_by_Year-Month-Hour'!N$422*'LBMP_by_Year-Month-Hour'!N440,$B$31*'LBMP_by_Year-Month-Hour'!N$454*'LBMP_by_Year-Month-Hour'!N472,$B$32*'LBMP_by_Year-Month-Hour'!N$486*'LBMP_by_Year-Month-Hour'!N504,$B$33*'LBMP_by_Year-Month-Hour'!N$518*'LBMP_by_Year-Month-Hour'!N536,$B$34*'LBMP_by_Year-Month-Hour'!N$550*'LBMP_by_Year-Month-Hour'!N568,$B$35*'LBMP_by_Year-Month-Hour'!N$582*'LBMP_by_Year-Month-Hour'!N600)*N33/$C$6/24</f>
        <v>0</v>
      </c>
      <c r="P64">
        <v>14</v>
      </c>
      <c r="Q64">
        <f>SUM($B$19*'LBMP_by_Year-Month-Hour'!Q$70*'LBMP_by_Year-Month-Hour'!Q88,$B$20*'LBMP_by_Year-Month-Hour'!Q$102*'LBMP_by_Year-Month-Hour'!Q120,$B$21*'LBMP_by_Year-Month-Hour'!Q$134*'LBMP_by_Year-Month-Hour'!Q152,$B$22*'LBMP_by_Year-Month-Hour'!Q$166*'LBMP_by_Year-Month-Hour'!Q184,$B$23*'LBMP_by_Year-Month-Hour'!Q$198*'LBMP_by_Year-Month-Hour'!Q216,$B$24*'LBMP_by_Year-Month-Hour'!Q$230*'LBMP_by_Year-Month-Hour'!Q248,$B$25*'LBMP_by_Year-Month-Hour'!Q$262*'LBMP_by_Year-Month-Hour'!Q280,$B$26*'LBMP_by_Year-Month-Hour'!Q$294*'LBMP_by_Year-Month-Hour'!Q312,$B$27*'LBMP_by_Year-Month-Hour'!Q$326*'LBMP_by_Year-Month-Hour'!Q344,$B$28*'LBMP_by_Year-Month-Hour'!Q$358*'LBMP_by_Year-Month-Hour'!Q376,$B$29*'LBMP_by_Year-Month-Hour'!Q$390*'LBMP_by_Year-Month-Hour'!Q408,$B$30*'LBMP_by_Year-Month-Hour'!Q$422*'LBMP_by_Year-Month-Hour'!Q440,$B$31*'LBMP_by_Year-Month-Hour'!Q$454*'LBMP_by_Year-Month-Hour'!Q472,$B$32*'LBMP_by_Year-Month-Hour'!Q$486*'LBMP_by_Year-Month-Hour'!Q504,$B$33*'LBMP_by_Year-Month-Hour'!Q$518*'LBMP_by_Year-Month-Hour'!Q536,$B$34*'LBMP_by_Year-Month-Hour'!Q$550*'LBMP_by_Year-Month-Hour'!Q568,$B$35*'LBMP_by_Year-Month-Hour'!Q$582*'LBMP_by_Year-Month-Hour'!Q600)*Q33/$C$6/24</f>
        <v>0</v>
      </c>
      <c r="S64">
        <v>14</v>
      </c>
      <c r="T64">
        <f>SUM($B$19*'LBMP_by_Year-Month-Hour'!T$70*'LBMP_by_Year-Month-Hour'!T88,$B$20*'LBMP_by_Year-Month-Hour'!T$102*'LBMP_by_Year-Month-Hour'!T120,$B$21*'LBMP_by_Year-Month-Hour'!T$134*'LBMP_by_Year-Month-Hour'!T152,$B$22*'LBMP_by_Year-Month-Hour'!T$166*'LBMP_by_Year-Month-Hour'!T184,$B$23*'LBMP_by_Year-Month-Hour'!T$198*'LBMP_by_Year-Month-Hour'!T216,$B$24*'LBMP_by_Year-Month-Hour'!T$230*'LBMP_by_Year-Month-Hour'!T248,$B$25*'LBMP_by_Year-Month-Hour'!T$262*'LBMP_by_Year-Month-Hour'!T280,$B$26*'LBMP_by_Year-Month-Hour'!T$294*'LBMP_by_Year-Month-Hour'!T312,$B$27*'LBMP_by_Year-Month-Hour'!T$326*'LBMP_by_Year-Month-Hour'!T344,$B$28*'LBMP_by_Year-Month-Hour'!T$358*'LBMP_by_Year-Month-Hour'!T376,$B$29*'LBMP_by_Year-Month-Hour'!T$390*'LBMP_by_Year-Month-Hour'!T408,$B$30*'LBMP_by_Year-Month-Hour'!T$422*'LBMP_by_Year-Month-Hour'!T440,$B$31*'LBMP_by_Year-Month-Hour'!T$454*'LBMP_by_Year-Month-Hour'!T472,$B$32*'LBMP_by_Year-Month-Hour'!T$486*'LBMP_by_Year-Month-Hour'!T504,$B$33*'LBMP_by_Year-Month-Hour'!T$518*'LBMP_by_Year-Month-Hour'!T536,$B$34*'LBMP_by_Year-Month-Hour'!T$550*'LBMP_by_Year-Month-Hour'!T568,$B$35*'LBMP_by_Year-Month-Hour'!T$582*'LBMP_by_Year-Month-Hour'!T600)*T33/$C$6/24</f>
        <v>30478.822061371306</v>
      </c>
      <c r="V64">
        <v>14</v>
      </c>
      <c r="W64">
        <f>SUM($B$19*'LBMP_by_Year-Month-Hour'!W$70*'LBMP_by_Year-Month-Hour'!W88,$B$20*'LBMP_by_Year-Month-Hour'!W$102*'LBMP_by_Year-Month-Hour'!W120,$B$21*'LBMP_by_Year-Month-Hour'!W$134*'LBMP_by_Year-Month-Hour'!W152,$B$22*'LBMP_by_Year-Month-Hour'!W$166*'LBMP_by_Year-Month-Hour'!W184,$B$23*'LBMP_by_Year-Month-Hour'!W$198*'LBMP_by_Year-Month-Hour'!W216,$B$24*'LBMP_by_Year-Month-Hour'!W$230*'LBMP_by_Year-Month-Hour'!W248,$B$25*'LBMP_by_Year-Month-Hour'!W$262*'LBMP_by_Year-Month-Hour'!W280,$B$26*'LBMP_by_Year-Month-Hour'!W$294*'LBMP_by_Year-Month-Hour'!W312,$B$27*'LBMP_by_Year-Month-Hour'!W$326*'LBMP_by_Year-Month-Hour'!W344,$B$28*'LBMP_by_Year-Month-Hour'!W$358*'LBMP_by_Year-Month-Hour'!W376,$B$29*'LBMP_by_Year-Month-Hour'!W$390*'LBMP_by_Year-Month-Hour'!W408,$B$30*'LBMP_by_Year-Month-Hour'!W$422*'LBMP_by_Year-Month-Hour'!W440,$B$31*'LBMP_by_Year-Month-Hour'!W$454*'LBMP_by_Year-Month-Hour'!W472,$B$32*'LBMP_by_Year-Month-Hour'!W$486*'LBMP_by_Year-Month-Hour'!W504,$B$33*'LBMP_by_Year-Month-Hour'!W$518*'LBMP_by_Year-Month-Hour'!W536,$B$34*'LBMP_by_Year-Month-Hour'!W$550*'LBMP_by_Year-Month-Hour'!W568,$B$35*'LBMP_by_Year-Month-Hour'!W$582*'LBMP_by_Year-Month-Hour'!W600)*W33/$C$6/24</f>
        <v>39926.200723835944</v>
      </c>
      <c r="Y64">
        <v>14</v>
      </c>
      <c r="Z64">
        <f>SUM($B$19*'LBMP_by_Year-Month-Hour'!Z$70*'LBMP_by_Year-Month-Hour'!Z88,$B$20*'LBMP_by_Year-Month-Hour'!Z$102*'LBMP_by_Year-Month-Hour'!Z120,$B$21*'LBMP_by_Year-Month-Hour'!Z$134*'LBMP_by_Year-Month-Hour'!Z152,$B$22*'LBMP_by_Year-Month-Hour'!Z$166*'LBMP_by_Year-Month-Hour'!Z184,$B$23*'LBMP_by_Year-Month-Hour'!Z$198*'LBMP_by_Year-Month-Hour'!Z216,$B$24*'LBMP_by_Year-Month-Hour'!Z$230*'LBMP_by_Year-Month-Hour'!Z248,$B$25*'LBMP_by_Year-Month-Hour'!Z$262*'LBMP_by_Year-Month-Hour'!Z280,$B$26*'LBMP_by_Year-Month-Hour'!Z$294*'LBMP_by_Year-Month-Hour'!Z312,$B$27*'LBMP_by_Year-Month-Hour'!Z$326*'LBMP_by_Year-Month-Hour'!Z344,$B$28*'LBMP_by_Year-Month-Hour'!Z$358*'LBMP_by_Year-Month-Hour'!Z376,$B$29*'LBMP_by_Year-Month-Hour'!Z$390*'LBMP_by_Year-Month-Hour'!Z408,$B$30*'LBMP_by_Year-Month-Hour'!Z$422*'LBMP_by_Year-Month-Hour'!Z440,$B$31*'LBMP_by_Year-Month-Hour'!Z$454*'LBMP_by_Year-Month-Hour'!Z472,$B$32*'LBMP_by_Year-Month-Hour'!Z$486*'LBMP_by_Year-Month-Hour'!Z504,$B$33*'LBMP_by_Year-Month-Hour'!Z$518*'LBMP_by_Year-Month-Hour'!Z536,$B$34*'LBMP_by_Year-Month-Hour'!Z$550*'LBMP_by_Year-Month-Hour'!Z568,$B$35*'LBMP_by_Year-Month-Hour'!Z$582*'LBMP_by_Year-Month-Hour'!Z600)*Z33/$C$6/24</f>
        <v>40493.200986233809</v>
      </c>
      <c r="AB64">
        <v>14</v>
      </c>
      <c r="AC64">
        <f>SUM($B$19*'LBMP_by_Year-Month-Hour'!AC$70*'LBMP_by_Year-Month-Hour'!AC88,$B$20*'LBMP_by_Year-Month-Hour'!AC$102*'LBMP_by_Year-Month-Hour'!AC120,$B$21*'LBMP_by_Year-Month-Hour'!AC$134*'LBMP_by_Year-Month-Hour'!AC152,$B$22*'LBMP_by_Year-Month-Hour'!AC$166*'LBMP_by_Year-Month-Hour'!AC184,$B$23*'LBMP_by_Year-Month-Hour'!AC$198*'LBMP_by_Year-Month-Hour'!AC216,$B$24*'LBMP_by_Year-Month-Hour'!AC$230*'LBMP_by_Year-Month-Hour'!AC248,$B$25*'LBMP_by_Year-Month-Hour'!AC$262*'LBMP_by_Year-Month-Hour'!AC280,$B$26*'LBMP_by_Year-Month-Hour'!AC$294*'LBMP_by_Year-Month-Hour'!AC312,$B$27*'LBMP_by_Year-Month-Hour'!AC$326*'LBMP_by_Year-Month-Hour'!AC344,$B$28*'LBMP_by_Year-Month-Hour'!AC$358*'LBMP_by_Year-Month-Hour'!AC376,$B$29*'LBMP_by_Year-Month-Hour'!AC$390*'LBMP_by_Year-Month-Hour'!AC408,$B$30*'LBMP_by_Year-Month-Hour'!AC$422*'LBMP_by_Year-Month-Hour'!AC440,$B$31*'LBMP_by_Year-Month-Hour'!AC$454*'LBMP_by_Year-Month-Hour'!AC472,$B$32*'LBMP_by_Year-Month-Hour'!AC$486*'LBMP_by_Year-Month-Hour'!AC504,$B$33*'LBMP_by_Year-Month-Hour'!AC$518*'LBMP_by_Year-Month-Hour'!AC536,$B$34*'LBMP_by_Year-Month-Hour'!AC$550*'LBMP_by_Year-Month-Hour'!AC568,$B$35*'LBMP_by_Year-Month-Hour'!AC$582*'LBMP_by_Year-Month-Hour'!AC600)*AC33/$C$6/24</f>
        <v>32840.542477544419</v>
      </c>
      <c r="AE64">
        <v>14</v>
      </c>
      <c r="AF64">
        <f>SUM($B$19*'LBMP_by_Year-Month-Hour'!AF$70*'LBMP_by_Year-Month-Hour'!AF88,$B$20*'LBMP_by_Year-Month-Hour'!AF$102*'LBMP_by_Year-Month-Hour'!AF120,$B$21*'LBMP_by_Year-Month-Hour'!AF$134*'LBMP_by_Year-Month-Hour'!AF152,$B$22*'LBMP_by_Year-Month-Hour'!AF$166*'LBMP_by_Year-Month-Hour'!AF184,$B$23*'LBMP_by_Year-Month-Hour'!AF$198*'LBMP_by_Year-Month-Hour'!AF216,$B$24*'LBMP_by_Year-Month-Hour'!AF$230*'LBMP_by_Year-Month-Hour'!AF248,$B$25*'LBMP_by_Year-Month-Hour'!AF$262*'LBMP_by_Year-Month-Hour'!AF280,$B$26*'LBMP_by_Year-Month-Hour'!AF$294*'LBMP_by_Year-Month-Hour'!AF312,$B$27*'LBMP_by_Year-Month-Hour'!AF$326*'LBMP_by_Year-Month-Hour'!AF344,$B$28*'LBMP_by_Year-Month-Hour'!AF$358*'LBMP_by_Year-Month-Hour'!AF376,$B$29*'LBMP_by_Year-Month-Hour'!AF$390*'LBMP_by_Year-Month-Hour'!AF408,$B$30*'LBMP_by_Year-Month-Hour'!AF$422*'LBMP_by_Year-Month-Hour'!AF440,$B$31*'LBMP_by_Year-Month-Hour'!AF$454*'LBMP_by_Year-Month-Hour'!AF472,$B$32*'LBMP_by_Year-Month-Hour'!AF$486*'LBMP_by_Year-Month-Hour'!AF504,$B$33*'LBMP_by_Year-Month-Hour'!AF$518*'LBMP_by_Year-Month-Hour'!AF536,$B$34*'LBMP_by_Year-Month-Hour'!AF$550*'LBMP_by_Year-Month-Hour'!AF568,$B$35*'LBMP_by_Year-Month-Hour'!AF$582*'LBMP_by_Year-Month-Hour'!AF600)*AF33/$C$6/24</f>
        <v>0</v>
      </c>
      <c r="AH64">
        <v>14</v>
      </c>
      <c r="AI64">
        <f>SUM($B$19*'LBMP_by_Year-Month-Hour'!AI$70*'LBMP_by_Year-Month-Hour'!AI88,$B$20*'LBMP_by_Year-Month-Hour'!AI$102*'LBMP_by_Year-Month-Hour'!AI120,$B$21*'LBMP_by_Year-Month-Hour'!AI$134*'LBMP_by_Year-Month-Hour'!AI152,$B$22*'LBMP_by_Year-Month-Hour'!AI$166*'LBMP_by_Year-Month-Hour'!AI184,$B$23*'LBMP_by_Year-Month-Hour'!AI$198*'LBMP_by_Year-Month-Hour'!AI216,$B$24*'LBMP_by_Year-Month-Hour'!AI$230*'LBMP_by_Year-Month-Hour'!AI248,$B$25*'LBMP_by_Year-Month-Hour'!AI$262*'LBMP_by_Year-Month-Hour'!AI280,$B$26*'LBMP_by_Year-Month-Hour'!AI$294*'LBMP_by_Year-Month-Hour'!AI312,$B$27*'LBMP_by_Year-Month-Hour'!AI$326*'LBMP_by_Year-Month-Hour'!AI344,$B$28*'LBMP_by_Year-Month-Hour'!AI$358*'LBMP_by_Year-Month-Hour'!AI376,$B$29*'LBMP_by_Year-Month-Hour'!AI$390*'LBMP_by_Year-Month-Hour'!AI408,$B$30*'LBMP_by_Year-Month-Hour'!AI$422*'LBMP_by_Year-Month-Hour'!AI440,$B$31*'LBMP_by_Year-Month-Hour'!AI$454*'LBMP_by_Year-Month-Hour'!AI472,$B$32*'LBMP_by_Year-Month-Hour'!AI$486*'LBMP_by_Year-Month-Hour'!AI504,$B$33*'LBMP_by_Year-Month-Hour'!AI$518*'LBMP_by_Year-Month-Hour'!AI536,$B$34*'LBMP_by_Year-Month-Hour'!AI$550*'LBMP_by_Year-Month-Hour'!AI568,$B$35*'LBMP_by_Year-Month-Hour'!AI$582*'LBMP_by_Year-Month-Hour'!AI600)*AI33/$C$6/24</f>
        <v>0</v>
      </c>
      <c r="AK64">
        <v>14</v>
      </c>
      <c r="AL64">
        <f>SUM($B$19*'LBMP_by_Year-Month-Hour'!AL$70*'LBMP_by_Year-Month-Hour'!AL88,$B$20*'LBMP_by_Year-Month-Hour'!AL$102*'LBMP_by_Year-Month-Hour'!AL120,$B$21*'LBMP_by_Year-Month-Hour'!AL$134*'LBMP_by_Year-Month-Hour'!AL152,$B$22*'LBMP_by_Year-Month-Hour'!AL$166*'LBMP_by_Year-Month-Hour'!AL184,$B$23*'LBMP_by_Year-Month-Hour'!AL$198*'LBMP_by_Year-Month-Hour'!AL216,$B$24*'LBMP_by_Year-Month-Hour'!AL$230*'LBMP_by_Year-Month-Hour'!AL248,$B$25*'LBMP_by_Year-Month-Hour'!AL$262*'LBMP_by_Year-Month-Hour'!AL280,$B$26*'LBMP_by_Year-Month-Hour'!AL$294*'LBMP_by_Year-Month-Hour'!AL312,$B$27*'LBMP_by_Year-Month-Hour'!AL$326*'LBMP_by_Year-Month-Hour'!AL344,$B$28*'LBMP_by_Year-Month-Hour'!AL$358*'LBMP_by_Year-Month-Hour'!AL376,$B$29*'LBMP_by_Year-Month-Hour'!AL$390*'LBMP_by_Year-Month-Hour'!AL408,$B$30*'LBMP_by_Year-Month-Hour'!AL$422*'LBMP_by_Year-Month-Hour'!AL440,$B$31*'LBMP_by_Year-Month-Hour'!AL$454*'LBMP_by_Year-Month-Hour'!AL472,$B$32*'LBMP_by_Year-Month-Hour'!AL$486*'LBMP_by_Year-Month-Hour'!AL504,$B$33*'LBMP_by_Year-Month-Hour'!AL$518*'LBMP_by_Year-Month-Hour'!AL536,$B$34*'LBMP_by_Year-Month-Hour'!AL$550*'LBMP_by_Year-Month-Hour'!AL568,$B$35*'LBMP_by_Year-Month-Hour'!AL$582*'LBMP_by_Year-Month-Hour'!AL600)*AL33/$C$6/24</f>
        <v>0</v>
      </c>
    </row>
    <row r="65" spans="1:38">
      <c r="A65">
        <v>15</v>
      </c>
      <c r="B65">
        <f t="shared" si="9"/>
        <v>175262.49185086347</v>
      </c>
      <c r="D65">
        <v>15</v>
      </c>
      <c r="E65">
        <f>SUM($B$19*'LBMP_by_Year-Month-Hour'!E$70*'LBMP_by_Year-Month-Hour'!E89,$B$20*'LBMP_by_Year-Month-Hour'!E$102*'LBMP_by_Year-Month-Hour'!E121,$B$21*'LBMP_by_Year-Month-Hour'!E$134*'LBMP_by_Year-Month-Hour'!E153,$B$22*'LBMP_by_Year-Month-Hour'!E$166*'LBMP_by_Year-Month-Hour'!E185,$B$23*'LBMP_by_Year-Month-Hour'!E$198*'LBMP_by_Year-Month-Hour'!E217,$B$24*'LBMP_by_Year-Month-Hour'!E$230*'LBMP_by_Year-Month-Hour'!E249,$B$25*'LBMP_by_Year-Month-Hour'!E$262*'LBMP_by_Year-Month-Hour'!E281,$B$26*'LBMP_by_Year-Month-Hour'!E$294*'LBMP_by_Year-Month-Hour'!E313,$B$27*'LBMP_by_Year-Month-Hour'!E$326*'LBMP_by_Year-Month-Hour'!E345,$B$28*'LBMP_by_Year-Month-Hour'!E$358*'LBMP_by_Year-Month-Hour'!E377,$B$29*'LBMP_by_Year-Month-Hour'!E$390*'LBMP_by_Year-Month-Hour'!E409,$B$30*'LBMP_by_Year-Month-Hour'!E$422*'LBMP_by_Year-Month-Hour'!E441,$B$31*'LBMP_by_Year-Month-Hour'!E$454*'LBMP_by_Year-Month-Hour'!E473,$B$32*'LBMP_by_Year-Month-Hour'!E$486*'LBMP_by_Year-Month-Hour'!E505,$B$33*'LBMP_by_Year-Month-Hour'!E$518*'LBMP_by_Year-Month-Hour'!E537,$B$34*'LBMP_by_Year-Month-Hour'!E$550*'LBMP_by_Year-Month-Hour'!E569,$B$35*'LBMP_by_Year-Month-Hour'!E$582*'LBMP_by_Year-Month-Hour'!E601)*E34/$C$6/24</f>
        <v>0</v>
      </c>
      <c r="G65">
        <v>15</v>
      </c>
      <c r="H65">
        <f>SUM($B$19*'LBMP_by_Year-Month-Hour'!H$70*'LBMP_by_Year-Month-Hour'!H89,$B$20*'LBMP_by_Year-Month-Hour'!H$102*'LBMP_by_Year-Month-Hour'!H121,$B$21*'LBMP_by_Year-Month-Hour'!H$134*'LBMP_by_Year-Month-Hour'!H153,$B$22*'LBMP_by_Year-Month-Hour'!H$166*'LBMP_by_Year-Month-Hour'!H185,$B$23*'LBMP_by_Year-Month-Hour'!H$198*'LBMP_by_Year-Month-Hour'!H217,$B$24*'LBMP_by_Year-Month-Hour'!H$230*'LBMP_by_Year-Month-Hour'!H249,$B$25*'LBMP_by_Year-Month-Hour'!H$262*'LBMP_by_Year-Month-Hour'!H281,$B$26*'LBMP_by_Year-Month-Hour'!H$294*'LBMP_by_Year-Month-Hour'!H313,$B$27*'LBMP_by_Year-Month-Hour'!H$326*'LBMP_by_Year-Month-Hour'!H345,$B$28*'LBMP_by_Year-Month-Hour'!H$358*'LBMP_by_Year-Month-Hour'!H377,$B$29*'LBMP_by_Year-Month-Hour'!H$390*'LBMP_by_Year-Month-Hour'!H409,$B$30*'LBMP_by_Year-Month-Hour'!H$422*'LBMP_by_Year-Month-Hour'!H441,$B$31*'LBMP_by_Year-Month-Hour'!H$454*'LBMP_by_Year-Month-Hour'!H473,$B$32*'LBMP_by_Year-Month-Hour'!H$486*'LBMP_by_Year-Month-Hour'!H505,$B$33*'LBMP_by_Year-Month-Hour'!H$518*'LBMP_by_Year-Month-Hour'!H537,$B$34*'LBMP_by_Year-Month-Hour'!H$550*'LBMP_by_Year-Month-Hour'!H569,$B$35*'LBMP_by_Year-Month-Hour'!H$582*'LBMP_by_Year-Month-Hour'!H601)*H34/$C$6/24</f>
        <v>0</v>
      </c>
      <c r="J65">
        <v>15</v>
      </c>
      <c r="K65">
        <f>SUM($B$19*'LBMP_by_Year-Month-Hour'!K$70*'LBMP_by_Year-Month-Hour'!K89,$B$20*'LBMP_by_Year-Month-Hour'!K$102*'LBMP_by_Year-Month-Hour'!K121,$B$21*'LBMP_by_Year-Month-Hour'!K$134*'LBMP_by_Year-Month-Hour'!K153,$B$22*'LBMP_by_Year-Month-Hour'!K$166*'LBMP_by_Year-Month-Hour'!K185,$B$23*'LBMP_by_Year-Month-Hour'!K$198*'LBMP_by_Year-Month-Hour'!K217,$B$24*'LBMP_by_Year-Month-Hour'!K$230*'LBMP_by_Year-Month-Hour'!K249,$B$25*'LBMP_by_Year-Month-Hour'!K$262*'LBMP_by_Year-Month-Hour'!K281,$B$26*'LBMP_by_Year-Month-Hour'!K$294*'LBMP_by_Year-Month-Hour'!K313,$B$27*'LBMP_by_Year-Month-Hour'!K$326*'LBMP_by_Year-Month-Hour'!K345,$B$28*'LBMP_by_Year-Month-Hour'!K$358*'LBMP_by_Year-Month-Hour'!K377,$B$29*'LBMP_by_Year-Month-Hour'!K$390*'LBMP_by_Year-Month-Hour'!K409,$B$30*'LBMP_by_Year-Month-Hour'!K$422*'LBMP_by_Year-Month-Hour'!K441,$B$31*'LBMP_by_Year-Month-Hour'!K$454*'LBMP_by_Year-Month-Hour'!K473,$B$32*'LBMP_by_Year-Month-Hour'!K$486*'LBMP_by_Year-Month-Hour'!K505,$B$33*'LBMP_by_Year-Month-Hour'!K$518*'LBMP_by_Year-Month-Hour'!K537,$B$34*'LBMP_by_Year-Month-Hour'!K$550*'LBMP_by_Year-Month-Hour'!K569,$B$35*'LBMP_by_Year-Month-Hour'!K$582*'LBMP_by_Year-Month-Hour'!K601)*K34/$C$6/24</f>
        <v>0</v>
      </c>
      <c r="M65">
        <v>15</v>
      </c>
      <c r="N65">
        <f>SUM($B$19*'LBMP_by_Year-Month-Hour'!N$70*'LBMP_by_Year-Month-Hour'!N89,$B$20*'LBMP_by_Year-Month-Hour'!N$102*'LBMP_by_Year-Month-Hour'!N121,$B$21*'LBMP_by_Year-Month-Hour'!N$134*'LBMP_by_Year-Month-Hour'!N153,$B$22*'LBMP_by_Year-Month-Hour'!N$166*'LBMP_by_Year-Month-Hour'!N185,$B$23*'LBMP_by_Year-Month-Hour'!N$198*'LBMP_by_Year-Month-Hour'!N217,$B$24*'LBMP_by_Year-Month-Hour'!N$230*'LBMP_by_Year-Month-Hour'!N249,$B$25*'LBMP_by_Year-Month-Hour'!N$262*'LBMP_by_Year-Month-Hour'!N281,$B$26*'LBMP_by_Year-Month-Hour'!N$294*'LBMP_by_Year-Month-Hour'!N313,$B$27*'LBMP_by_Year-Month-Hour'!N$326*'LBMP_by_Year-Month-Hour'!N345,$B$28*'LBMP_by_Year-Month-Hour'!N$358*'LBMP_by_Year-Month-Hour'!N377,$B$29*'LBMP_by_Year-Month-Hour'!N$390*'LBMP_by_Year-Month-Hour'!N409,$B$30*'LBMP_by_Year-Month-Hour'!N$422*'LBMP_by_Year-Month-Hour'!N441,$B$31*'LBMP_by_Year-Month-Hour'!N$454*'LBMP_by_Year-Month-Hour'!N473,$B$32*'LBMP_by_Year-Month-Hour'!N$486*'LBMP_by_Year-Month-Hour'!N505,$B$33*'LBMP_by_Year-Month-Hour'!N$518*'LBMP_by_Year-Month-Hour'!N537,$B$34*'LBMP_by_Year-Month-Hour'!N$550*'LBMP_by_Year-Month-Hour'!N569,$B$35*'LBMP_by_Year-Month-Hour'!N$582*'LBMP_by_Year-Month-Hour'!N601)*N34/$C$6/24</f>
        <v>0</v>
      </c>
      <c r="P65">
        <v>15</v>
      </c>
      <c r="Q65">
        <f>SUM($B$19*'LBMP_by_Year-Month-Hour'!Q$70*'LBMP_by_Year-Month-Hour'!Q89,$B$20*'LBMP_by_Year-Month-Hour'!Q$102*'LBMP_by_Year-Month-Hour'!Q121,$B$21*'LBMP_by_Year-Month-Hour'!Q$134*'LBMP_by_Year-Month-Hour'!Q153,$B$22*'LBMP_by_Year-Month-Hour'!Q$166*'LBMP_by_Year-Month-Hour'!Q185,$B$23*'LBMP_by_Year-Month-Hour'!Q$198*'LBMP_by_Year-Month-Hour'!Q217,$B$24*'LBMP_by_Year-Month-Hour'!Q$230*'LBMP_by_Year-Month-Hour'!Q249,$B$25*'LBMP_by_Year-Month-Hour'!Q$262*'LBMP_by_Year-Month-Hour'!Q281,$B$26*'LBMP_by_Year-Month-Hour'!Q$294*'LBMP_by_Year-Month-Hour'!Q313,$B$27*'LBMP_by_Year-Month-Hour'!Q$326*'LBMP_by_Year-Month-Hour'!Q345,$B$28*'LBMP_by_Year-Month-Hour'!Q$358*'LBMP_by_Year-Month-Hour'!Q377,$B$29*'LBMP_by_Year-Month-Hour'!Q$390*'LBMP_by_Year-Month-Hour'!Q409,$B$30*'LBMP_by_Year-Month-Hour'!Q$422*'LBMP_by_Year-Month-Hour'!Q441,$B$31*'LBMP_by_Year-Month-Hour'!Q$454*'LBMP_by_Year-Month-Hour'!Q473,$B$32*'LBMP_by_Year-Month-Hour'!Q$486*'LBMP_by_Year-Month-Hour'!Q505,$B$33*'LBMP_by_Year-Month-Hour'!Q$518*'LBMP_by_Year-Month-Hour'!Q537,$B$34*'LBMP_by_Year-Month-Hour'!Q$550*'LBMP_by_Year-Month-Hour'!Q569,$B$35*'LBMP_by_Year-Month-Hour'!Q$582*'LBMP_by_Year-Month-Hour'!Q601)*Q34/$C$6/24</f>
        <v>0</v>
      </c>
      <c r="S65">
        <v>15</v>
      </c>
      <c r="T65">
        <f>SUM($B$19*'LBMP_by_Year-Month-Hour'!T$70*'LBMP_by_Year-Month-Hour'!T89,$B$20*'LBMP_by_Year-Month-Hour'!T$102*'LBMP_by_Year-Month-Hour'!T121,$B$21*'LBMP_by_Year-Month-Hour'!T$134*'LBMP_by_Year-Month-Hour'!T153,$B$22*'LBMP_by_Year-Month-Hour'!T$166*'LBMP_by_Year-Month-Hour'!T185,$B$23*'LBMP_by_Year-Month-Hour'!T$198*'LBMP_by_Year-Month-Hour'!T217,$B$24*'LBMP_by_Year-Month-Hour'!T$230*'LBMP_by_Year-Month-Hour'!T249,$B$25*'LBMP_by_Year-Month-Hour'!T$262*'LBMP_by_Year-Month-Hour'!T281,$B$26*'LBMP_by_Year-Month-Hour'!T$294*'LBMP_by_Year-Month-Hour'!T313,$B$27*'LBMP_by_Year-Month-Hour'!T$326*'LBMP_by_Year-Month-Hour'!T345,$B$28*'LBMP_by_Year-Month-Hour'!T$358*'LBMP_by_Year-Month-Hour'!T377,$B$29*'LBMP_by_Year-Month-Hour'!T$390*'LBMP_by_Year-Month-Hour'!T409,$B$30*'LBMP_by_Year-Month-Hour'!T$422*'LBMP_by_Year-Month-Hour'!T441,$B$31*'LBMP_by_Year-Month-Hour'!T$454*'LBMP_by_Year-Month-Hour'!T473,$B$32*'LBMP_by_Year-Month-Hour'!T$486*'LBMP_by_Year-Month-Hour'!T505,$B$33*'LBMP_by_Year-Month-Hour'!T$518*'LBMP_by_Year-Month-Hour'!T537,$B$34*'LBMP_by_Year-Month-Hour'!T$550*'LBMP_by_Year-Month-Hour'!T569,$B$35*'LBMP_by_Year-Month-Hour'!T$582*'LBMP_by_Year-Month-Hour'!T601)*T34/$C$6/24</f>
        <v>36936.248077483637</v>
      </c>
      <c r="V65">
        <v>15</v>
      </c>
      <c r="W65">
        <f>SUM($B$19*'LBMP_by_Year-Month-Hour'!W$70*'LBMP_by_Year-Month-Hour'!W89,$B$20*'LBMP_by_Year-Month-Hour'!W$102*'LBMP_by_Year-Month-Hour'!W121,$B$21*'LBMP_by_Year-Month-Hour'!W$134*'LBMP_by_Year-Month-Hour'!W153,$B$22*'LBMP_by_Year-Month-Hour'!W$166*'LBMP_by_Year-Month-Hour'!W185,$B$23*'LBMP_by_Year-Month-Hour'!W$198*'LBMP_by_Year-Month-Hour'!W217,$B$24*'LBMP_by_Year-Month-Hour'!W$230*'LBMP_by_Year-Month-Hour'!W249,$B$25*'LBMP_by_Year-Month-Hour'!W$262*'LBMP_by_Year-Month-Hour'!W281,$B$26*'LBMP_by_Year-Month-Hour'!W$294*'LBMP_by_Year-Month-Hour'!W313,$B$27*'LBMP_by_Year-Month-Hour'!W$326*'LBMP_by_Year-Month-Hour'!W345,$B$28*'LBMP_by_Year-Month-Hour'!W$358*'LBMP_by_Year-Month-Hour'!W377,$B$29*'LBMP_by_Year-Month-Hour'!W$390*'LBMP_by_Year-Month-Hour'!W409,$B$30*'LBMP_by_Year-Month-Hour'!W$422*'LBMP_by_Year-Month-Hour'!W441,$B$31*'LBMP_by_Year-Month-Hour'!W$454*'LBMP_by_Year-Month-Hour'!W473,$B$32*'LBMP_by_Year-Month-Hour'!W$486*'LBMP_by_Year-Month-Hour'!W505,$B$33*'LBMP_by_Year-Month-Hour'!W$518*'LBMP_by_Year-Month-Hour'!W537,$B$34*'LBMP_by_Year-Month-Hour'!W$550*'LBMP_by_Year-Month-Hour'!W569,$B$35*'LBMP_by_Year-Month-Hour'!W$582*'LBMP_by_Year-Month-Hour'!W601)*W34/$C$6/24</f>
        <v>48991.149077459413</v>
      </c>
      <c r="Y65">
        <v>15</v>
      </c>
      <c r="Z65">
        <f>SUM($B$19*'LBMP_by_Year-Month-Hour'!Z$70*'LBMP_by_Year-Month-Hour'!Z89,$B$20*'LBMP_by_Year-Month-Hour'!Z$102*'LBMP_by_Year-Month-Hour'!Z121,$B$21*'LBMP_by_Year-Month-Hour'!Z$134*'LBMP_by_Year-Month-Hour'!Z153,$B$22*'LBMP_by_Year-Month-Hour'!Z$166*'LBMP_by_Year-Month-Hour'!Z185,$B$23*'LBMP_by_Year-Month-Hour'!Z$198*'LBMP_by_Year-Month-Hour'!Z217,$B$24*'LBMP_by_Year-Month-Hour'!Z$230*'LBMP_by_Year-Month-Hour'!Z249,$B$25*'LBMP_by_Year-Month-Hour'!Z$262*'LBMP_by_Year-Month-Hour'!Z281,$B$26*'LBMP_by_Year-Month-Hour'!Z$294*'LBMP_by_Year-Month-Hour'!Z313,$B$27*'LBMP_by_Year-Month-Hour'!Z$326*'LBMP_by_Year-Month-Hour'!Z345,$B$28*'LBMP_by_Year-Month-Hour'!Z$358*'LBMP_by_Year-Month-Hour'!Z377,$B$29*'LBMP_by_Year-Month-Hour'!Z$390*'LBMP_by_Year-Month-Hour'!Z409,$B$30*'LBMP_by_Year-Month-Hour'!Z$422*'LBMP_by_Year-Month-Hour'!Z441,$B$31*'LBMP_by_Year-Month-Hour'!Z$454*'LBMP_by_Year-Month-Hour'!Z473,$B$32*'LBMP_by_Year-Month-Hour'!Z$486*'LBMP_by_Year-Month-Hour'!Z505,$B$33*'LBMP_by_Year-Month-Hour'!Z$518*'LBMP_by_Year-Month-Hour'!Z537,$B$34*'LBMP_by_Year-Month-Hour'!Z$550*'LBMP_by_Year-Month-Hour'!Z569,$B$35*'LBMP_by_Year-Month-Hour'!Z$582*'LBMP_by_Year-Month-Hour'!Z601)*Z34/$C$6/24</f>
        <v>49610.04625741666</v>
      </c>
      <c r="AB65">
        <v>15</v>
      </c>
      <c r="AC65">
        <f>SUM($B$19*'LBMP_by_Year-Month-Hour'!AC$70*'LBMP_by_Year-Month-Hour'!AC89,$B$20*'LBMP_by_Year-Month-Hour'!AC$102*'LBMP_by_Year-Month-Hour'!AC121,$B$21*'LBMP_by_Year-Month-Hour'!AC$134*'LBMP_by_Year-Month-Hour'!AC153,$B$22*'LBMP_by_Year-Month-Hour'!AC$166*'LBMP_by_Year-Month-Hour'!AC185,$B$23*'LBMP_by_Year-Month-Hour'!AC$198*'LBMP_by_Year-Month-Hour'!AC217,$B$24*'LBMP_by_Year-Month-Hour'!AC$230*'LBMP_by_Year-Month-Hour'!AC249,$B$25*'LBMP_by_Year-Month-Hour'!AC$262*'LBMP_by_Year-Month-Hour'!AC281,$B$26*'LBMP_by_Year-Month-Hour'!AC$294*'LBMP_by_Year-Month-Hour'!AC313,$B$27*'LBMP_by_Year-Month-Hour'!AC$326*'LBMP_by_Year-Month-Hour'!AC345,$B$28*'LBMP_by_Year-Month-Hour'!AC$358*'LBMP_by_Year-Month-Hour'!AC377,$B$29*'LBMP_by_Year-Month-Hour'!AC$390*'LBMP_by_Year-Month-Hour'!AC409,$B$30*'LBMP_by_Year-Month-Hour'!AC$422*'LBMP_by_Year-Month-Hour'!AC441,$B$31*'LBMP_by_Year-Month-Hour'!AC$454*'LBMP_by_Year-Month-Hour'!AC473,$B$32*'LBMP_by_Year-Month-Hour'!AC$486*'LBMP_by_Year-Month-Hour'!AC505,$B$33*'LBMP_by_Year-Month-Hour'!AC$518*'LBMP_by_Year-Month-Hour'!AC537,$B$34*'LBMP_by_Year-Month-Hour'!AC$550*'LBMP_by_Year-Month-Hour'!AC569,$B$35*'LBMP_by_Year-Month-Hour'!AC$582*'LBMP_by_Year-Month-Hour'!AC601)*AC34/$C$6/24</f>
        <v>39725.048438503763</v>
      </c>
      <c r="AE65">
        <v>15</v>
      </c>
      <c r="AF65">
        <f>SUM($B$19*'LBMP_by_Year-Month-Hour'!AF$70*'LBMP_by_Year-Month-Hour'!AF89,$B$20*'LBMP_by_Year-Month-Hour'!AF$102*'LBMP_by_Year-Month-Hour'!AF121,$B$21*'LBMP_by_Year-Month-Hour'!AF$134*'LBMP_by_Year-Month-Hour'!AF153,$B$22*'LBMP_by_Year-Month-Hour'!AF$166*'LBMP_by_Year-Month-Hour'!AF185,$B$23*'LBMP_by_Year-Month-Hour'!AF$198*'LBMP_by_Year-Month-Hour'!AF217,$B$24*'LBMP_by_Year-Month-Hour'!AF$230*'LBMP_by_Year-Month-Hour'!AF249,$B$25*'LBMP_by_Year-Month-Hour'!AF$262*'LBMP_by_Year-Month-Hour'!AF281,$B$26*'LBMP_by_Year-Month-Hour'!AF$294*'LBMP_by_Year-Month-Hour'!AF313,$B$27*'LBMP_by_Year-Month-Hour'!AF$326*'LBMP_by_Year-Month-Hour'!AF345,$B$28*'LBMP_by_Year-Month-Hour'!AF$358*'LBMP_by_Year-Month-Hour'!AF377,$B$29*'LBMP_by_Year-Month-Hour'!AF$390*'LBMP_by_Year-Month-Hour'!AF409,$B$30*'LBMP_by_Year-Month-Hour'!AF$422*'LBMP_by_Year-Month-Hour'!AF441,$B$31*'LBMP_by_Year-Month-Hour'!AF$454*'LBMP_by_Year-Month-Hour'!AF473,$B$32*'LBMP_by_Year-Month-Hour'!AF$486*'LBMP_by_Year-Month-Hour'!AF505,$B$33*'LBMP_by_Year-Month-Hour'!AF$518*'LBMP_by_Year-Month-Hour'!AF537,$B$34*'LBMP_by_Year-Month-Hour'!AF$550*'LBMP_by_Year-Month-Hour'!AF569,$B$35*'LBMP_by_Year-Month-Hour'!AF$582*'LBMP_by_Year-Month-Hour'!AF601)*AF34/$C$6/24</f>
        <v>0</v>
      </c>
      <c r="AH65">
        <v>15</v>
      </c>
      <c r="AI65">
        <f>SUM($B$19*'LBMP_by_Year-Month-Hour'!AI$70*'LBMP_by_Year-Month-Hour'!AI89,$B$20*'LBMP_by_Year-Month-Hour'!AI$102*'LBMP_by_Year-Month-Hour'!AI121,$B$21*'LBMP_by_Year-Month-Hour'!AI$134*'LBMP_by_Year-Month-Hour'!AI153,$B$22*'LBMP_by_Year-Month-Hour'!AI$166*'LBMP_by_Year-Month-Hour'!AI185,$B$23*'LBMP_by_Year-Month-Hour'!AI$198*'LBMP_by_Year-Month-Hour'!AI217,$B$24*'LBMP_by_Year-Month-Hour'!AI$230*'LBMP_by_Year-Month-Hour'!AI249,$B$25*'LBMP_by_Year-Month-Hour'!AI$262*'LBMP_by_Year-Month-Hour'!AI281,$B$26*'LBMP_by_Year-Month-Hour'!AI$294*'LBMP_by_Year-Month-Hour'!AI313,$B$27*'LBMP_by_Year-Month-Hour'!AI$326*'LBMP_by_Year-Month-Hour'!AI345,$B$28*'LBMP_by_Year-Month-Hour'!AI$358*'LBMP_by_Year-Month-Hour'!AI377,$B$29*'LBMP_by_Year-Month-Hour'!AI$390*'LBMP_by_Year-Month-Hour'!AI409,$B$30*'LBMP_by_Year-Month-Hour'!AI$422*'LBMP_by_Year-Month-Hour'!AI441,$B$31*'LBMP_by_Year-Month-Hour'!AI$454*'LBMP_by_Year-Month-Hour'!AI473,$B$32*'LBMP_by_Year-Month-Hour'!AI$486*'LBMP_by_Year-Month-Hour'!AI505,$B$33*'LBMP_by_Year-Month-Hour'!AI$518*'LBMP_by_Year-Month-Hour'!AI537,$B$34*'LBMP_by_Year-Month-Hour'!AI$550*'LBMP_by_Year-Month-Hour'!AI569,$B$35*'LBMP_by_Year-Month-Hour'!AI$582*'LBMP_by_Year-Month-Hour'!AI601)*AI34/$C$6/24</f>
        <v>0</v>
      </c>
      <c r="AK65">
        <v>15</v>
      </c>
      <c r="AL65">
        <f>SUM($B$19*'LBMP_by_Year-Month-Hour'!AL$70*'LBMP_by_Year-Month-Hour'!AL89,$B$20*'LBMP_by_Year-Month-Hour'!AL$102*'LBMP_by_Year-Month-Hour'!AL121,$B$21*'LBMP_by_Year-Month-Hour'!AL$134*'LBMP_by_Year-Month-Hour'!AL153,$B$22*'LBMP_by_Year-Month-Hour'!AL$166*'LBMP_by_Year-Month-Hour'!AL185,$B$23*'LBMP_by_Year-Month-Hour'!AL$198*'LBMP_by_Year-Month-Hour'!AL217,$B$24*'LBMP_by_Year-Month-Hour'!AL$230*'LBMP_by_Year-Month-Hour'!AL249,$B$25*'LBMP_by_Year-Month-Hour'!AL$262*'LBMP_by_Year-Month-Hour'!AL281,$B$26*'LBMP_by_Year-Month-Hour'!AL$294*'LBMP_by_Year-Month-Hour'!AL313,$B$27*'LBMP_by_Year-Month-Hour'!AL$326*'LBMP_by_Year-Month-Hour'!AL345,$B$28*'LBMP_by_Year-Month-Hour'!AL$358*'LBMP_by_Year-Month-Hour'!AL377,$B$29*'LBMP_by_Year-Month-Hour'!AL$390*'LBMP_by_Year-Month-Hour'!AL409,$B$30*'LBMP_by_Year-Month-Hour'!AL$422*'LBMP_by_Year-Month-Hour'!AL441,$B$31*'LBMP_by_Year-Month-Hour'!AL$454*'LBMP_by_Year-Month-Hour'!AL473,$B$32*'LBMP_by_Year-Month-Hour'!AL$486*'LBMP_by_Year-Month-Hour'!AL505,$B$33*'LBMP_by_Year-Month-Hour'!AL$518*'LBMP_by_Year-Month-Hour'!AL537,$B$34*'LBMP_by_Year-Month-Hour'!AL$550*'LBMP_by_Year-Month-Hour'!AL569,$B$35*'LBMP_by_Year-Month-Hour'!AL$582*'LBMP_by_Year-Month-Hour'!AL601)*AL34/$C$6/24</f>
        <v>0</v>
      </c>
    </row>
    <row r="66" spans="1:38">
      <c r="A66">
        <v>16</v>
      </c>
      <c r="B66">
        <f t="shared" si="9"/>
        <v>193725.1999122604</v>
      </c>
      <c r="D66">
        <v>16</v>
      </c>
      <c r="E66">
        <f>SUM($B$19*'LBMP_by_Year-Month-Hour'!E$70*'LBMP_by_Year-Month-Hour'!E90,$B$20*'LBMP_by_Year-Month-Hour'!E$102*'LBMP_by_Year-Month-Hour'!E122,$B$21*'LBMP_by_Year-Month-Hour'!E$134*'LBMP_by_Year-Month-Hour'!E154,$B$22*'LBMP_by_Year-Month-Hour'!E$166*'LBMP_by_Year-Month-Hour'!E186,$B$23*'LBMP_by_Year-Month-Hour'!E$198*'LBMP_by_Year-Month-Hour'!E218,$B$24*'LBMP_by_Year-Month-Hour'!E$230*'LBMP_by_Year-Month-Hour'!E250,$B$25*'LBMP_by_Year-Month-Hour'!E$262*'LBMP_by_Year-Month-Hour'!E282,$B$26*'LBMP_by_Year-Month-Hour'!E$294*'LBMP_by_Year-Month-Hour'!E314,$B$27*'LBMP_by_Year-Month-Hour'!E$326*'LBMP_by_Year-Month-Hour'!E346,$B$28*'LBMP_by_Year-Month-Hour'!E$358*'LBMP_by_Year-Month-Hour'!E378,$B$29*'LBMP_by_Year-Month-Hour'!E$390*'LBMP_by_Year-Month-Hour'!E410,$B$30*'LBMP_by_Year-Month-Hour'!E$422*'LBMP_by_Year-Month-Hour'!E442,$B$31*'LBMP_by_Year-Month-Hour'!E$454*'LBMP_by_Year-Month-Hour'!E474,$B$32*'LBMP_by_Year-Month-Hour'!E$486*'LBMP_by_Year-Month-Hour'!E506,$B$33*'LBMP_by_Year-Month-Hour'!E$518*'LBMP_by_Year-Month-Hour'!E538,$B$34*'LBMP_by_Year-Month-Hour'!E$550*'LBMP_by_Year-Month-Hour'!E570,$B$35*'LBMP_by_Year-Month-Hour'!E$582*'LBMP_by_Year-Month-Hour'!E602)*E35/$C$6/24</f>
        <v>0</v>
      </c>
      <c r="G66">
        <v>16</v>
      </c>
      <c r="H66">
        <f>SUM($B$19*'LBMP_by_Year-Month-Hour'!H$70*'LBMP_by_Year-Month-Hour'!H90,$B$20*'LBMP_by_Year-Month-Hour'!H$102*'LBMP_by_Year-Month-Hour'!H122,$B$21*'LBMP_by_Year-Month-Hour'!H$134*'LBMP_by_Year-Month-Hour'!H154,$B$22*'LBMP_by_Year-Month-Hour'!H$166*'LBMP_by_Year-Month-Hour'!H186,$B$23*'LBMP_by_Year-Month-Hour'!H$198*'LBMP_by_Year-Month-Hour'!H218,$B$24*'LBMP_by_Year-Month-Hour'!H$230*'LBMP_by_Year-Month-Hour'!H250,$B$25*'LBMP_by_Year-Month-Hour'!H$262*'LBMP_by_Year-Month-Hour'!H282,$B$26*'LBMP_by_Year-Month-Hour'!H$294*'LBMP_by_Year-Month-Hour'!H314,$B$27*'LBMP_by_Year-Month-Hour'!H$326*'LBMP_by_Year-Month-Hour'!H346,$B$28*'LBMP_by_Year-Month-Hour'!H$358*'LBMP_by_Year-Month-Hour'!H378,$B$29*'LBMP_by_Year-Month-Hour'!H$390*'LBMP_by_Year-Month-Hour'!H410,$B$30*'LBMP_by_Year-Month-Hour'!H$422*'LBMP_by_Year-Month-Hour'!H442,$B$31*'LBMP_by_Year-Month-Hour'!H$454*'LBMP_by_Year-Month-Hour'!H474,$B$32*'LBMP_by_Year-Month-Hour'!H$486*'LBMP_by_Year-Month-Hour'!H506,$B$33*'LBMP_by_Year-Month-Hour'!H$518*'LBMP_by_Year-Month-Hour'!H538,$B$34*'LBMP_by_Year-Month-Hour'!H$550*'LBMP_by_Year-Month-Hour'!H570,$B$35*'LBMP_by_Year-Month-Hour'!H$582*'LBMP_by_Year-Month-Hour'!H602)*H35/$C$6/24</f>
        <v>0</v>
      </c>
      <c r="J66">
        <v>16</v>
      </c>
      <c r="K66">
        <f>SUM($B$19*'LBMP_by_Year-Month-Hour'!K$70*'LBMP_by_Year-Month-Hour'!K90,$B$20*'LBMP_by_Year-Month-Hour'!K$102*'LBMP_by_Year-Month-Hour'!K122,$B$21*'LBMP_by_Year-Month-Hour'!K$134*'LBMP_by_Year-Month-Hour'!K154,$B$22*'LBMP_by_Year-Month-Hour'!K$166*'LBMP_by_Year-Month-Hour'!K186,$B$23*'LBMP_by_Year-Month-Hour'!K$198*'LBMP_by_Year-Month-Hour'!K218,$B$24*'LBMP_by_Year-Month-Hour'!K$230*'LBMP_by_Year-Month-Hour'!K250,$B$25*'LBMP_by_Year-Month-Hour'!K$262*'LBMP_by_Year-Month-Hour'!K282,$B$26*'LBMP_by_Year-Month-Hour'!K$294*'LBMP_by_Year-Month-Hour'!K314,$B$27*'LBMP_by_Year-Month-Hour'!K$326*'LBMP_by_Year-Month-Hour'!K346,$B$28*'LBMP_by_Year-Month-Hour'!K$358*'LBMP_by_Year-Month-Hour'!K378,$B$29*'LBMP_by_Year-Month-Hour'!K$390*'LBMP_by_Year-Month-Hour'!K410,$B$30*'LBMP_by_Year-Month-Hour'!K$422*'LBMP_by_Year-Month-Hour'!K442,$B$31*'LBMP_by_Year-Month-Hour'!K$454*'LBMP_by_Year-Month-Hour'!K474,$B$32*'LBMP_by_Year-Month-Hour'!K$486*'LBMP_by_Year-Month-Hour'!K506,$B$33*'LBMP_by_Year-Month-Hour'!K$518*'LBMP_by_Year-Month-Hour'!K538,$B$34*'LBMP_by_Year-Month-Hour'!K$550*'LBMP_by_Year-Month-Hour'!K570,$B$35*'LBMP_by_Year-Month-Hour'!K$582*'LBMP_by_Year-Month-Hour'!K602)*K35/$C$6/24</f>
        <v>0</v>
      </c>
      <c r="M66">
        <v>16</v>
      </c>
      <c r="N66">
        <f>SUM($B$19*'LBMP_by_Year-Month-Hour'!N$70*'LBMP_by_Year-Month-Hour'!N90,$B$20*'LBMP_by_Year-Month-Hour'!N$102*'LBMP_by_Year-Month-Hour'!N122,$B$21*'LBMP_by_Year-Month-Hour'!N$134*'LBMP_by_Year-Month-Hour'!N154,$B$22*'LBMP_by_Year-Month-Hour'!N$166*'LBMP_by_Year-Month-Hour'!N186,$B$23*'LBMP_by_Year-Month-Hour'!N$198*'LBMP_by_Year-Month-Hour'!N218,$B$24*'LBMP_by_Year-Month-Hour'!N$230*'LBMP_by_Year-Month-Hour'!N250,$B$25*'LBMP_by_Year-Month-Hour'!N$262*'LBMP_by_Year-Month-Hour'!N282,$B$26*'LBMP_by_Year-Month-Hour'!N$294*'LBMP_by_Year-Month-Hour'!N314,$B$27*'LBMP_by_Year-Month-Hour'!N$326*'LBMP_by_Year-Month-Hour'!N346,$B$28*'LBMP_by_Year-Month-Hour'!N$358*'LBMP_by_Year-Month-Hour'!N378,$B$29*'LBMP_by_Year-Month-Hour'!N$390*'LBMP_by_Year-Month-Hour'!N410,$B$30*'LBMP_by_Year-Month-Hour'!N$422*'LBMP_by_Year-Month-Hour'!N442,$B$31*'LBMP_by_Year-Month-Hour'!N$454*'LBMP_by_Year-Month-Hour'!N474,$B$32*'LBMP_by_Year-Month-Hour'!N$486*'LBMP_by_Year-Month-Hour'!N506,$B$33*'LBMP_by_Year-Month-Hour'!N$518*'LBMP_by_Year-Month-Hour'!N538,$B$34*'LBMP_by_Year-Month-Hour'!N$550*'LBMP_by_Year-Month-Hour'!N570,$B$35*'LBMP_by_Year-Month-Hour'!N$582*'LBMP_by_Year-Month-Hour'!N602)*N35/$C$6/24</f>
        <v>0</v>
      </c>
      <c r="P66">
        <v>16</v>
      </c>
      <c r="Q66">
        <f>SUM($B$19*'LBMP_by_Year-Month-Hour'!Q$70*'LBMP_by_Year-Month-Hour'!Q90,$B$20*'LBMP_by_Year-Month-Hour'!Q$102*'LBMP_by_Year-Month-Hour'!Q122,$B$21*'LBMP_by_Year-Month-Hour'!Q$134*'LBMP_by_Year-Month-Hour'!Q154,$B$22*'LBMP_by_Year-Month-Hour'!Q$166*'LBMP_by_Year-Month-Hour'!Q186,$B$23*'LBMP_by_Year-Month-Hour'!Q$198*'LBMP_by_Year-Month-Hour'!Q218,$B$24*'LBMP_by_Year-Month-Hour'!Q$230*'LBMP_by_Year-Month-Hour'!Q250,$B$25*'LBMP_by_Year-Month-Hour'!Q$262*'LBMP_by_Year-Month-Hour'!Q282,$B$26*'LBMP_by_Year-Month-Hour'!Q$294*'LBMP_by_Year-Month-Hour'!Q314,$B$27*'LBMP_by_Year-Month-Hour'!Q$326*'LBMP_by_Year-Month-Hour'!Q346,$B$28*'LBMP_by_Year-Month-Hour'!Q$358*'LBMP_by_Year-Month-Hour'!Q378,$B$29*'LBMP_by_Year-Month-Hour'!Q$390*'LBMP_by_Year-Month-Hour'!Q410,$B$30*'LBMP_by_Year-Month-Hour'!Q$422*'LBMP_by_Year-Month-Hour'!Q442,$B$31*'LBMP_by_Year-Month-Hour'!Q$454*'LBMP_by_Year-Month-Hour'!Q474,$B$32*'LBMP_by_Year-Month-Hour'!Q$486*'LBMP_by_Year-Month-Hour'!Q506,$B$33*'LBMP_by_Year-Month-Hour'!Q$518*'LBMP_by_Year-Month-Hour'!Q538,$B$34*'LBMP_by_Year-Month-Hour'!Q$550*'LBMP_by_Year-Month-Hour'!Q570,$B$35*'LBMP_by_Year-Month-Hour'!Q$582*'LBMP_by_Year-Month-Hour'!Q602)*Q35/$C$6/24</f>
        <v>0</v>
      </c>
      <c r="S66">
        <v>16</v>
      </c>
      <c r="T66">
        <f>SUM($B$19*'LBMP_by_Year-Month-Hour'!T$70*'LBMP_by_Year-Month-Hour'!T90,$B$20*'LBMP_by_Year-Month-Hour'!T$102*'LBMP_by_Year-Month-Hour'!T122,$B$21*'LBMP_by_Year-Month-Hour'!T$134*'LBMP_by_Year-Month-Hour'!T154,$B$22*'LBMP_by_Year-Month-Hour'!T$166*'LBMP_by_Year-Month-Hour'!T186,$B$23*'LBMP_by_Year-Month-Hour'!T$198*'LBMP_by_Year-Month-Hour'!T218,$B$24*'LBMP_by_Year-Month-Hour'!T$230*'LBMP_by_Year-Month-Hour'!T250,$B$25*'LBMP_by_Year-Month-Hour'!T$262*'LBMP_by_Year-Month-Hour'!T282,$B$26*'LBMP_by_Year-Month-Hour'!T$294*'LBMP_by_Year-Month-Hour'!T314,$B$27*'LBMP_by_Year-Month-Hour'!T$326*'LBMP_by_Year-Month-Hour'!T346,$B$28*'LBMP_by_Year-Month-Hour'!T$358*'LBMP_by_Year-Month-Hour'!T378,$B$29*'LBMP_by_Year-Month-Hour'!T$390*'LBMP_by_Year-Month-Hour'!T410,$B$30*'LBMP_by_Year-Month-Hour'!T$422*'LBMP_by_Year-Month-Hour'!T442,$B$31*'LBMP_by_Year-Month-Hour'!T$454*'LBMP_by_Year-Month-Hour'!T474,$B$32*'LBMP_by_Year-Month-Hour'!T$486*'LBMP_by_Year-Month-Hour'!T506,$B$33*'LBMP_by_Year-Month-Hour'!T$518*'LBMP_by_Year-Month-Hour'!T538,$B$34*'LBMP_by_Year-Month-Hour'!T$550*'LBMP_by_Year-Month-Hour'!T570,$B$35*'LBMP_by_Year-Month-Hour'!T$582*'LBMP_by_Year-Month-Hour'!T602)*T35/$C$6/24</f>
        <v>40253.829817081925</v>
      </c>
      <c r="V66">
        <v>16</v>
      </c>
      <c r="W66">
        <f>SUM($B$19*'LBMP_by_Year-Month-Hour'!W$70*'LBMP_by_Year-Month-Hour'!W90,$B$20*'LBMP_by_Year-Month-Hour'!W$102*'LBMP_by_Year-Month-Hour'!W122,$B$21*'LBMP_by_Year-Month-Hour'!W$134*'LBMP_by_Year-Month-Hour'!W154,$B$22*'LBMP_by_Year-Month-Hour'!W$166*'LBMP_by_Year-Month-Hour'!W186,$B$23*'LBMP_by_Year-Month-Hour'!W$198*'LBMP_by_Year-Month-Hour'!W218,$B$24*'LBMP_by_Year-Month-Hour'!W$230*'LBMP_by_Year-Month-Hour'!W250,$B$25*'LBMP_by_Year-Month-Hour'!W$262*'LBMP_by_Year-Month-Hour'!W282,$B$26*'LBMP_by_Year-Month-Hour'!W$294*'LBMP_by_Year-Month-Hour'!W314,$B$27*'LBMP_by_Year-Month-Hour'!W$326*'LBMP_by_Year-Month-Hour'!W346,$B$28*'LBMP_by_Year-Month-Hour'!W$358*'LBMP_by_Year-Month-Hour'!W378,$B$29*'LBMP_by_Year-Month-Hour'!W$390*'LBMP_by_Year-Month-Hour'!W410,$B$30*'LBMP_by_Year-Month-Hour'!W$422*'LBMP_by_Year-Month-Hour'!W442,$B$31*'LBMP_by_Year-Month-Hour'!W$454*'LBMP_by_Year-Month-Hour'!W474,$B$32*'LBMP_by_Year-Month-Hour'!W$486*'LBMP_by_Year-Month-Hour'!W506,$B$33*'LBMP_by_Year-Month-Hour'!W$518*'LBMP_by_Year-Month-Hour'!W538,$B$34*'LBMP_by_Year-Month-Hour'!W$550*'LBMP_by_Year-Month-Hour'!W570,$B$35*'LBMP_by_Year-Month-Hour'!W$582*'LBMP_by_Year-Month-Hour'!W602)*W35/$C$6/24</f>
        <v>54356.557780120995</v>
      </c>
      <c r="Y66">
        <v>16</v>
      </c>
      <c r="Z66">
        <f>SUM($B$19*'LBMP_by_Year-Month-Hour'!Z$70*'LBMP_by_Year-Month-Hour'!Z90,$B$20*'LBMP_by_Year-Month-Hour'!Z$102*'LBMP_by_Year-Month-Hour'!Z122,$B$21*'LBMP_by_Year-Month-Hour'!Z$134*'LBMP_by_Year-Month-Hour'!Z154,$B$22*'LBMP_by_Year-Month-Hour'!Z$166*'LBMP_by_Year-Month-Hour'!Z186,$B$23*'LBMP_by_Year-Month-Hour'!Z$198*'LBMP_by_Year-Month-Hour'!Z218,$B$24*'LBMP_by_Year-Month-Hour'!Z$230*'LBMP_by_Year-Month-Hour'!Z250,$B$25*'LBMP_by_Year-Month-Hour'!Z$262*'LBMP_by_Year-Month-Hour'!Z282,$B$26*'LBMP_by_Year-Month-Hour'!Z$294*'LBMP_by_Year-Month-Hour'!Z314,$B$27*'LBMP_by_Year-Month-Hour'!Z$326*'LBMP_by_Year-Month-Hour'!Z346,$B$28*'LBMP_by_Year-Month-Hour'!Z$358*'LBMP_by_Year-Month-Hour'!Z378,$B$29*'LBMP_by_Year-Month-Hour'!Z$390*'LBMP_by_Year-Month-Hour'!Z410,$B$30*'LBMP_by_Year-Month-Hour'!Z$422*'LBMP_by_Year-Month-Hour'!Z442,$B$31*'LBMP_by_Year-Month-Hour'!Z$454*'LBMP_by_Year-Month-Hour'!Z474,$B$32*'LBMP_by_Year-Month-Hour'!Z$486*'LBMP_by_Year-Month-Hour'!Z506,$B$33*'LBMP_by_Year-Month-Hour'!Z$518*'LBMP_by_Year-Month-Hour'!Z538,$B$34*'LBMP_by_Year-Month-Hour'!Z$550*'LBMP_by_Year-Month-Hour'!Z570,$B$35*'LBMP_by_Year-Month-Hour'!Z$582*'LBMP_by_Year-Month-Hour'!Z602)*Z35/$C$6/24</f>
        <v>54904.882858316494</v>
      </c>
      <c r="AB66">
        <v>16</v>
      </c>
      <c r="AC66">
        <f>SUM($B$19*'LBMP_by_Year-Month-Hour'!AC$70*'LBMP_by_Year-Month-Hour'!AC90,$B$20*'LBMP_by_Year-Month-Hour'!AC$102*'LBMP_by_Year-Month-Hour'!AC122,$B$21*'LBMP_by_Year-Month-Hour'!AC$134*'LBMP_by_Year-Month-Hour'!AC154,$B$22*'LBMP_by_Year-Month-Hour'!AC$166*'LBMP_by_Year-Month-Hour'!AC186,$B$23*'LBMP_by_Year-Month-Hour'!AC$198*'LBMP_by_Year-Month-Hour'!AC218,$B$24*'LBMP_by_Year-Month-Hour'!AC$230*'LBMP_by_Year-Month-Hour'!AC250,$B$25*'LBMP_by_Year-Month-Hour'!AC$262*'LBMP_by_Year-Month-Hour'!AC282,$B$26*'LBMP_by_Year-Month-Hour'!AC$294*'LBMP_by_Year-Month-Hour'!AC314,$B$27*'LBMP_by_Year-Month-Hour'!AC$326*'LBMP_by_Year-Month-Hour'!AC346,$B$28*'LBMP_by_Year-Month-Hour'!AC$358*'LBMP_by_Year-Month-Hour'!AC378,$B$29*'LBMP_by_Year-Month-Hour'!AC$390*'LBMP_by_Year-Month-Hour'!AC410,$B$30*'LBMP_by_Year-Month-Hour'!AC$422*'LBMP_by_Year-Month-Hour'!AC442,$B$31*'LBMP_by_Year-Month-Hour'!AC$454*'LBMP_by_Year-Month-Hour'!AC474,$B$32*'LBMP_by_Year-Month-Hour'!AC$486*'LBMP_by_Year-Month-Hour'!AC506,$B$33*'LBMP_by_Year-Month-Hour'!AC$518*'LBMP_by_Year-Month-Hour'!AC538,$B$34*'LBMP_by_Year-Month-Hour'!AC$550*'LBMP_by_Year-Month-Hour'!AC570,$B$35*'LBMP_by_Year-Month-Hour'!AC$582*'LBMP_by_Year-Month-Hour'!AC602)*AC35/$C$6/24</f>
        <v>44209.929456741003</v>
      </c>
      <c r="AE66">
        <v>16</v>
      </c>
      <c r="AF66">
        <f>SUM($B$19*'LBMP_by_Year-Month-Hour'!AF$70*'LBMP_by_Year-Month-Hour'!AF90,$B$20*'LBMP_by_Year-Month-Hour'!AF$102*'LBMP_by_Year-Month-Hour'!AF122,$B$21*'LBMP_by_Year-Month-Hour'!AF$134*'LBMP_by_Year-Month-Hour'!AF154,$B$22*'LBMP_by_Year-Month-Hour'!AF$166*'LBMP_by_Year-Month-Hour'!AF186,$B$23*'LBMP_by_Year-Month-Hour'!AF$198*'LBMP_by_Year-Month-Hour'!AF218,$B$24*'LBMP_by_Year-Month-Hour'!AF$230*'LBMP_by_Year-Month-Hour'!AF250,$B$25*'LBMP_by_Year-Month-Hour'!AF$262*'LBMP_by_Year-Month-Hour'!AF282,$B$26*'LBMP_by_Year-Month-Hour'!AF$294*'LBMP_by_Year-Month-Hour'!AF314,$B$27*'LBMP_by_Year-Month-Hour'!AF$326*'LBMP_by_Year-Month-Hour'!AF346,$B$28*'LBMP_by_Year-Month-Hour'!AF$358*'LBMP_by_Year-Month-Hour'!AF378,$B$29*'LBMP_by_Year-Month-Hour'!AF$390*'LBMP_by_Year-Month-Hour'!AF410,$B$30*'LBMP_by_Year-Month-Hour'!AF$422*'LBMP_by_Year-Month-Hour'!AF442,$B$31*'LBMP_by_Year-Month-Hour'!AF$454*'LBMP_by_Year-Month-Hour'!AF474,$B$32*'LBMP_by_Year-Month-Hour'!AF$486*'LBMP_by_Year-Month-Hour'!AF506,$B$33*'LBMP_by_Year-Month-Hour'!AF$518*'LBMP_by_Year-Month-Hour'!AF538,$B$34*'LBMP_by_Year-Month-Hour'!AF$550*'LBMP_by_Year-Month-Hour'!AF570,$B$35*'LBMP_by_Year-Month-Hour'!AF$582*'LBMP_by_Year-Month-Hour'!AF602)*AF35/$C$6/24</f>
        <v>0</v>
      </c>
      <c r="AH66">
        <v>16</v>
      </c>
      <c r="AI66">
        <f>SUM($B$19*'LBMP_by_Year-Month-Hour'!AI$70*'LBMP_by_Year-Month-Hour'!AI90,$B$20*'LBMP_by_Year-Month-Hour'!AI$102*'LBMP_by_Year-Month-Hour'!AI122,$B$21*'LBMP_by_Year-Month-Hour'!AI$134*'LBMP_by_Year-Month-Hour'!AI154,$B$22*'LBMP_by_Year-Month-Hour'!AI$166*'LBMP_by_Year-Month-Hour'!AI186,$B$23*'LBMP_by_Year-Month-Hour'!AI$198*'LBMP_by_Year-Month-Hour'!AI218,$B$24*'LBMP_by_Year-Month-Hour'!AI$230*'LBMP_by_Year-Month-Hour'!AI250,$B$25*'LBMP_by_Year-Month-Hour'!AI$262*'LBMP_by_Year-Month-Hour'!AI282,$B$26*'LBMP_by_Year-Month-Hour'!AI$294*'LBMP_by_Year-Month-Hour'!AI314,$B$27*'LBMP_by_Year-Month-Hour'!AI$326*'LBMP_by_Year-Month-Hour'!AI346,$B$28*'LBMP_by_Year-Month-Hour'!AI$358*'LBMP_by_Year-Month-Hour'!AI378,$B$29*'LBMP_by_Year-Month-Hour'!AI$390*'LBMP_by_Year-Month-Hour'!AI410,$B$30*'LBMP_by_Year-Month-Hour'!AI$422*'LBMP_by_Year-Month-Hour'!AI442,$B$31*'LBMP_by_Year-Month-Hour'!AI$454*'LBMP_by_Year-Month-Hour'!AI474,$B$32*'LBMP_by_Year-Month-Hour'!AI$486*'LBMP_by_Year-Month-Hour'!AI506,$B$33*'LBMP_by_Year-Month-Hour'!AI$518*'LBMP_by_Year-Month-Hour'!AI538,$B$34*'LBMP_by_Year-Month-Hour'!AI$550*'LBMP_by_Year-Month-Hour'!AI570,$B$35*'LBMP_by_Year-Month-Hour'!AI$582*'LBMP_by_Year-Month-Hour'!AI602)*AI35/$C$6/24</f>
        <v>0</v>
      </c>
      <c r="AK66">
        <v>16</v>
      </c>
      <c r="AL66">
        <f>SUM($B$19*'LBMP_by_Year-Month-Hour'!AL$70*'LBMP_by_Year-Month-Hour'!AL90,$B$20*'LBMP_by_Year-Month-Hour'!AL$102*'LBMP_by_Year-Month-Hour'!AL122,$B$21*'LBMP_by_Year-Month-Hour'!AL$134*'LBMP_by_Year-Month-Hour'!AL154,$B$22*'LBMP_by_Year-Month-Hour'!AL$166*'LBMP_by_Year-Month-Hour'!AL186,$B$23*'LBMP_by_Year-Month-Hour'!AL$198*'LBMP_by_Year-Month-Hour'!AL218,$B$24*'LBMP_by_Year-Month-Hour'!AL$230*'LBMP_by_Year-Month-Hour'!AL250,$B$25*'LBMP_by_Year-Month-Hour'!AL$262*'LBMP_by_Year-Month-Hour'!AL282,$B$26*'LBMP_by_Year-Month-Hour'!AL$294*'LBMP_by_Year-Month-Hour'!AL314,$B$27*'LBMP_by_Year-Month-Hour'!AL$326*'LBMP_by_Year-Month-Hour'!AL346,$B$28*'LBMP_by_Year-Month-Hour'!AL$358*'LBMP_by_Year-Month-Hour'!AL378,$B$29*'LBMP_by_Year-Month-Hour'!AL$390*'LBMP_by_Year-Month-Hour'!AL410,$B$30*'LBMP_by_Year-Month-Hour'!AL$422*'LBMP_by_Year-Month-Hour'!AL442,$B$31*'LBMP_by_Year-Month-Hour'!AL$454*'LBMP_by_Year-Month-Hour'!AL474,$B$32*'LBMP_by_Year-Month-Hour'!AL$486*'LBMP_by_Year-Month-Hour'!AL506,$B$33*'LBMP_by_Year-Month-Hour'!AL$518*'LBMP_by_Year-Month-Hour'!AL538,$B$34*'LBMP_by_Year-Month-Hour'!AL$550*'LBMP_by_Year-Month-Hour'!AL570,$B$35*'LBMP_by_Year-Month-Hour'!AL$582*'LBMP_by_Year-Month-Hour'!AL602)*AL35/$C$6/24</f>
        <v>0</v>
      </c>
    </row>
    <row r="67" spans="1:38">
      <c r="A67">
        <v>17</v>
      </c>
      <c r="B67">
        <f t="shared" si="9"/>
        <v>193438.12554331933</v>
      </c>
      <c r="D67">
        <v>17</v>
      </c>
      <c r="E67">
        <f>SUM($B$19*'LBMP_by_Year-Month-Hour'!E$70*'LBMP_by_Year-Month-Hour'!E91,$B$20*'LBMP_by_Year-Month-Hour'!E$102*'LBMP_by_Year-Month-Hour'!E123,$B$21*'LBMP_by_Year-Month-Hour'!E$134*'LBMP_by_Year-Month-Hour'!E155,$B$22*'LBMP_by_Year-Month-Hour'!E$166*'LBMP_by_Year-Month-Hour'!E187,$B$23*'LBMP_by_Year-Month-Hour'!E$198*'LBMP_by_Year-Month-Hour'!E219,$B$24*'LBMP_by_Year-Month-Hour'!E$230*'LBMP_by_Year-Month-Hour'!E251,$B$25*'LBMP_by_Year-Month-Hour'!E$262*'LBMP_by_Year-Month-Hour'!E283,$B$26*'LBMP_by_Year-Month-Hour'!E$294*'LBMP_by_Year-Month-Hour'!E315,$B$27*'LBMP_by_Year-Month-Hour'!E$326*'LBMP_by_Year-Month-Hour'!E347,$B$28*'LBMP_by_Year-Month-Hour'!E$358*'LBMP_by_Year-Month-Hour'!E379,$B$29*'LBMP_by_Year-Month-Hour'!E$390*'LBMP_by_Year-Month-Hour'!E411,$B$30*'LBMP_by_Year-Month-Hour'!E$422*'LBMP_by_Year-Month-Hour'!E443,$B$31*'LBMP_by_Year-Month-Hour'!E$454*'LBMP_by_Year-Month-Hour'!E475,$B$32*'LBMP_by_Year-Month-Hour'!E$486*'LBMP_by_Year-Month-Hour'!E507,$B$33*'LBMP_by_Year-Month-Hour'!E$518*'LBMP_by_Year-Month-Hour'!E539,$B$34*'LBMP_by_Year-Month-Hour'!E$550*'LBMP_by_Year-Month-Hour'!E571,$B$35*'LBMP_by_Year-Month-Hour'!E$582*'LBMP_by_Year-Month-Hour'!E603)*E36/$C$6/24</f>
        <v>0</v>
      </c>
      <c r="G67">
        <v>17</v>
      </c>
      <c r="H67">
        <f>SUM($B$19*'LBMP_by_Year-Month-Hour'!H$70*'LBMP_by_Year-Month-Hour'!H91,$B$20*'LBMP_by_Year-Month-Hour'!H$102*'LBMP_by_Year-Month-Hour'!H123,$B$21*'LBMP_by_Year-Month-Hour'!H$134*'LBMP_by_Year-Month-Hour'!H155,$B$22*'LBMP_by_Year-Month-Hour'!H$166*'LBMP_by_Year-Month-Hour'!H187,$B$23*'LBMP_by_Year-Month-Hour'!H$198*'LBMP_by_Year-Month-Hour'!H219,$B$24*'LBMP_by_Year-Month-Hour'!H$230*'LBMP_by_Year-Month-Hour'!H251,$B$25*'LBMP_by_Year-Month-Hour'!H$262*'LBMP_by_Year-Month-Hour'!H283,$B$26*'LBMP_by_Year-Month-Hour'!H$294*'LBMP_by_Year-Month-Hour'!H315,$B$27*'LBMP_by_Year-Month-Hour'!H$326*'LBMP_by_Year-Month-Hour'!H347,$B$28*'LBMP_by_Year-Month-Hour'!H$358*'LBMP_by_Year-Month-Hour'!H379,$B$29*'LBMP_by_Year-Month-Hour'!H$390*'LBMP_by_Year-Month-Hour'!H411,$B$30*'LBMP_by_Year-Month-Hour'!H$422*'LBMP_by_Year-Month-Hour'!H443,$B$31*'LBMP_by_Year-Month-Hour'!H$454*'LBMP_by_Year-Month-Hour'!H475,$B$32*'LBMP_by_Year-Month-Hour'!H$486*'LBMP_by_Year-Month-Hour'!H507,$B$33*'LBMP_by_Year-Month-Hour'!H$518*'LBMP_by_Year-Month-Hour'!H539,$B$34*'LBMP_by_Year-Month-Hour'!H$550*'LBMP_by_Year-Month-Hour'!H571,$B$35*'LBMP_by_Year-Month-Hour'!H$582*'LBMP_by_Year-Month-Hour'!H603)*H36/$C$6/24</f>
        <v>0</v>
      </c>
      <c r="J67">
        <v>17</v>
      </c>
      <c r="K67">
        <f>SUM($B$19*'LBMP_by_Year-Month-Hour'!K$70*'LBMP_by_Year-Month-Hour'!K91,$B$20*'LBMP_by_Year-Month-Hour'!K$102*'LBMP_by_Year-Month-Hour'!K123,$B$21*'LBMP_by_Year-Month-Hour'!K$134*'LBMP_by_Year-Month-Hour'!K155,$B$22*'LBMP_by_Year-Month-Hour'!K$166*'LBMP_by_Year-Month-Hour'!K187,$B$23*'LBMP_by_Year-Month-Hour'!K$198*'LBMP_by_Year-Month-Hour'!K219,$B$24*'LBMP_by_Year-Month-Hour'!K$230*'LBMP_by_Year-Month-Hour'!K251,$B$25*'LBMP_by_Year-Month-Hour'!K$262*'LBMP_by_Year-Month-Hour'!K283,$B$26*'LBMP_by_Year-Month-Hour'!K$294*'LBMP_by_Year-Month-Hour'!K315,$B$27*'LBMP_by_Year-Month-Hour'!K$326*'LBMP_by_Year-Month-Hour'!K347,$B$28*'LBMP_by_Year-Month-Hour'!K$358*'LBMP_by_Year-Month-Hour'!K379,$B$29*'LBMP_by_Year-Month-Hour'!K$390*'LBMP_by_Year-Month-Hour'!K411,$B$30*'LBMP_by_Year-Month-Hour'!K$422*'LBMP_by_Year-Month-Hour'!K443,$B$31*'LBMP_by_Year-Month-Hour'!K$454*'LBMP_by_Year-Month-Hour'!K475,$B$32*'LBMP_by_Year-Month-Hour'!K$486*'LBMP_by_Year-Month-Hour'!K507,$B$33*'LBMP_by_Year-Month-Hour'!K$518*'LBMP_by_Year-Month-Hour'!K539,$B$34*'LBMP_by_Year-Month-Hour'!K$550*'LBMP_by_Year-Month-Hour'!K571,$B$35*'LBMP_by_Year-Month-Hour'!K$582*'LBMP_by_Year-Month-Hour'!K603)*K36/$C$6/24</f>
        <v>0</v>
      </c>
      <c r="M67">
        <v>17</v>
      </c>
      <c r="N67">
        <f>SUM($B$19*'LBMP_by_Year-Month-Hour'!N$70*'LBMP_by_Year-Month-Hour'!N91,$B$20*'LBMP_by_Year-Month-Hour'!N$102*'LBMP_by_Year-Month-Hour'!N123,$B$21*'LBMP_by_Year-Month-Hour'!N$134*'LBMP_by_Year-Month-Hour'!N155,$B$22*'LBMP_by_Year-Month-Hour'!N$166*'LBMP_by_Year-Month-Hour'!N187,$B$23*'LBMP_by_Year-Month-Hour'!N$198*'LBMP_by_Year-Month-Hour'!N219,$B$24*'LBMP_by_Year-Month-Hour'!N$230*'LBMP_by_Year-Month-Hour'!N251,$B$25*'LBMP_by_Year-Month-Hour'!N$262*'LBMP_by_Year-Month-Hour'!N283,$B$26*'LBMP_by_Year-Month-Hour'!N$294*'LBMP_by_Year-Month-Hour'!N315,$B$27*'LBMP_by_Year-Month-Hour'!N$326*'LBMP_by_Year-Month-Hour'!N347,$B$28*'LBMP_by_Year-Month-Hour'!N$358*'LBMP_by_Year-Month-Hour'!N379,$B$29*'LBMP_by_Year-Month-Hour'!N$390*'LBMP_by_Year-Month-Hour'!N411,$B$30*'LBMP_by_Year-Month-Hour'!N$422*'LBMP_by_Year-Month-Hour'!N443,$B$31*'LBMP_by_Year-Month-Hour'!N$454*'LBMP_by_Year-Month-Hour'!N475,$B$32*'LBMP_by_Year-Month-Hour'!N$486*'LBMP_by_Year-Month-Hour'!N507,$B$33*'LBMP_by_Year-Month-Hour'!N$518*'LBMP_by_Year-Month-Hour'!N539,$B$34*'LBMP_by_Year-Month-Hour'!N$550*'LBMP_by_Year-Month-Hour'!N571,$B$35*'LBMP_by_Year-Month-Hour'!N$582*'LBMP_by_Year-Month-Hour'!N603)*N36/$C$6/24</f>
        <v>0</v>
      </c>
      <c r="P67">
        <v>17</v>
      </c>
      <c r="Q67">
        <f>SUM($B$19*'LBMP_by_Year-Month-Hour'!Q$70*'LBMP_by_Year-Month-Hour'!Q91,$B$20*'LBMP_by_Year-Month-Hour'!Q$102*'LBMP_by_Year-Month-Hour'!Q123,$B$21*'LBMP_by_Year-Month-Hour'!Q$134*'LBMP_by_Year-Month-Hour'!Q155,$B$22*'LBMP_by_Year-Month-Hour'!Q$166*'LBMP_by_Year-Month-Hour'!Q187,$B$23*'LBMP_by_Year-Month-Hour'!Q$198*'LBMP_by_Year-Month-Hour'!Q219,$B$24*'LBMP_by_Year-Month-Hour'!Q$230*'LBMP_by_Year-Month-Hour'!Q251,$B$25*'LBMP_by_Year-Month-Hour'!Q$262*'LBMP_by_Year-Month-Hour'!Q283,$B$26*'LBMP_by_Year-Month-Hour'!Q$294*'LBMP_by_Year-Month-Hour'!Q315,$B$27*'LBMP_by_Year-Month-Hour'!Q$326*'LBMP_by_Year-Month-Hour'!Q347,$B$28*'LBMP_by_Year-Month-Hour'!Q$358*'LBMP_by_Year-Month-Hour'!Q379,$B$29*'LBMP_by_Year-Month-Hour'!Q$390*'LBMP_by_Year-Month-Hour'!Q411,$B$30*'LBMP_by_Year-Month-Hour'!Q$422*'LBMP_by_Year-Month-Hour'!Q443,$B$31*'LBMP_by_Year-Month-Hour'!Q$454*'LBMP_by_Year-Month-Hour'!Q475,$B$32*'LBMP_by_Year-Month-Hour'!Q$486*'LBMP_by_Year-Month-Hour'!Q507,$B$33*'LBMP_by_Year-Month-Hour'!Q$518*'LBMP_by_Year-Month-Hour'!Q539,$B$34*'LBMP_by_Year-Month-Hour'!Q$550*'LBMP_by_Year-Month-Hour'!Q571,$B$35*'LBMP_by_Year-Month-Hour'!Q$582*'LBMP_by_Year-Month-Hour'!Q603)*Q36/$C$6/24</f>
        <v>0</v>
      </c>
      <c r="S67">
        <v>17</v>
      </c>
      <c r="T67">
        <f>SUM($B$19*'LBMP_by_Year-Month-Hour'!T$70*'LBMP_by_Year-Month-Hour'!T91,$B$20*'LBMP_by_Year-Month-Hour'!T$102*'LBMP_by_Year-Month-Hour'!T123,$B$21*'LBMP_by_Year-Month-Hour'!T$134*'LBMP_by_Year-Month-Hour'!T155,$B$22*'LBMP_by_Year-Month-Hour'!T$166*'LBMP_by_Year-Month-Hour'!T187,$B$23*'LBMP_by_Year-Month-Hour'!T$198*'LBMP_by_Year-Month-Hour'!T219,$B$24*'LBMP_by_Year-Month-Hour'!T$230*'LBMP_by_Year-Month-Hour'!T251,$B$25*'LBMP_by_Year-Month-Hour'!T$262*'LBMP_by_Year-Month-Hour'!T283,$B$26*'LBMP_by_Year-Month-Hour'!T$294*'LBMP_by_Year-Month-Hour'!T315,$B$27*'LBMP_by_Year-Month-Hour'!T$326*'LBMP_by_Year-Month-Hour'!T347,$B$28*'LBMP_by_Year-Month-Hour'!T$358*'LBMP_by_Year-Month-Hour'!T379,$B$29*'LBMP_by_Year-Month-Hour'!T$390*'LBMP_by_Year-Month-Hour'!T411,$B$30*'LBMP_by_Year-Month-Hour'!T$422*'LBMP_by_Year-Month-Hour'!T443,$B$31*'LBMP_by_Year-Month-Hour'!T$454*'LBMP_by_Year-Month-Hour'!T475,$B$32*'LBMP_by_Year-Month-Hour'!T$486*'LBMP_by_Year-Month-Hour'!T507,$B$33*'LBMP_by_Year-Month-Hour'!T$518*'LBMP_by_Year-Month-Hour'!T539,$B$34*'LBMP_by_Year-Month-Hour'!T$550*'LBMP_by_Year-Month-Hour'!T571,$B$35*'LBMP_by_Year-Month-Hour'!T$582*'LBMP_by_Year-Month-Hour'!T603)*T36/$C$6/24</f>
        <v>40619.319095332336</v>
      </c>
      <c r="V67">
        <v>17</v>
      </c>
      <c r="W67">
        <f>SUM($B$19*'LBMP_by_Year-Month-Hour'!W$70*'LBMP_by_Year-Month-Hour'!W91,$B$20*'LBMP_by_Year-Month-Hour'!W$102*'LBMP_by_Year-Month-Hour'!W123,$B$21*'LBMP_by_Year-Month-Hour'!W$134*'LBMP_by_Year-Month-Hour'!W155,$B$22*'LBMP_by_Year-Month-Hour'!W$166*'LBMP_by_Year-Month-Hour'!W187,$B$23*'LBMP_by_Year-Month-Hour'!W$198*'LBMP_by_Year-Month-Hour'!W219,$B$24*'LBMP_by_Year-Month-Hour'!W$230*'LBMP_by_Year-Month-Hour'!W251,$B$25*'LBMP_by_Year-Month-Hour'!W$262*'LBMP_by_Year-Month-Hour'!W283,$B$26*'LBMP_by_Year-Month-Hour'!W$294*'LBMP_by_Year-Month-Hour'!W315,$B$27*'LBMP_by_Year-Month-Hour'!W$326*'LBMP_by_Year-Month-Hour'!W347,$B$28*'LBMP_by_Year-Month-Hour'!W$358*'LBMP_by_Year-Month-Hour'!W379,$B$29*'LBMP_by_Year-Month-Hour'!W$390*'LBMP_by_Year-Month-Hour'!W411,$B$30*'LBMP_by_Year-Month-Hour'!W$422*'LBMP_by_Year-Month-Hour'!W443,$B$31*'LBMP_by_Year-Month-Hour'!W$454*'LBMP_by_Year-Month-Hour'!W475,$B$32*'LBMP_by_Year-Month-Hour'!W$486*'LBMP_by_Year-Month-Hour'!W507,$B$33*'LBMP_by_Year-Month-Hour'!W$518*'LBMP_by_Year-Month-Hour'!W539,$B$34*'LBMP_by_Year-Month-Hour'!W$550*'LBMP_by_Year-Month-Hour'!W571,$B$35*'LBMP_by_Year-Month-Hour'!W$582*'LBMP_by_Year-Month-Hour'!W603)*W36/$C$6/24</f>
        <v>54389.149695905413</v>
      </c>
      <c r="Y67">
        <v>17</v>
      </c>
      <c r="Z67">
        <f>SUM($B$19*'LBMP_by_Year-Month-Hour'!Z$70*'LBMP_by_Year-Month-Hour'!Z91,$B$20*'LBMP_by_Year-Month-Hour'!Z$102*'LBMP_by_Year-Month-Hour'!Z123,$B$21*'LBMP_by_Year-Month-Hour'!Z$134*'LBMP_by_Year-Month-Hour'!Z155,$B$22*'LBMP_by_Year-Month-Hour'!Z$166*'LBMP_by_Year-Month-Hour'!Z187,$B$23*'LBMP_by_Year-Month-Hour'!Z$198*'LBMP_by_Year-Month-Hour'!Z219,$B$24*'LBMP_by_Year-Month-Hour'!Z$230*'LBMP_by_Year-Month-Hour'!Z251,$B$25*'LBMP_by_Year-Month-Hour'!Z$262*'LBMP_by_Year-Month-Hour'!Z283,$B$26*'LBMP_by_Year-Month-Hour'!Z$294*'LBMP_by_Year-Month-Hour'!Z315,$B$27*'LBMP_by_Year-Month-Hour'!Z$326*'LBMP_by_Year-Month-Hour'!Z347,$B$28*'LBMP_by_Year-Month-Hour'!Z$358*'LBMP_by_Year-Month-Hour'!Z379,$B$29*'LBMP_by_Year-Month-Hour'!Z$390*'LBMP_by_Year-Month-Hour'!Z411,$B$30*'LBMP_by_Year-Month-Hour'!Z$422*'LBMP_by_Year-Month-Hour'!Z443,$B$31*'LBMP_by_Year-Month-Hour'!Z$454*'LBMP_by_Year-Month-Hour'!Z475,$B$32*'LBMP_by_Year-Month-Hour'!Z$486*'LBMP_by_Year-Month-Hour'!Z507,$B$33*'LBMP_by_Year-Month-Hour'!Z$518*'LBMP_by_Year-Month-Hour'!Z539,$B$34*'LBMP_by_Year-Month-Hour'!Z$550*'LBMP_by_Year-Month-Hour'!Z571,$B$35*'LBMP_by_Year-Month-Hour'!Z$582*'LBMP_by_Year-Month-Hour'!Z603)*Z36/$C$6/24</f>
        <v>54168.508049332821</v>
      </c>
      <c r="AB67">
        <v>17</v>
      </c>
      <c r="AC67">
        <f>SUM($B$19*'LBMP_by_Year-Month-Hour'!AC$70*'LBMP_by_Year-Month-Hour'!AC91,$B$20*'LBMP_by_Year-Month-Hour'!AC$102*'LBMP_by_Year-Month-Hour'!AC123,$B$21*'LBMP_by_Year-Month-Hour'!AC$134*'LBMP_by_Year-Month-Hour'!AC155,$B$22*'LBMP_by_Year-Month-Hour'!AC$166*'LBMP_by_Year-Month-Hour'!AC187,$B$23*'LBMP_by_Year-Month-Hour'!AC$198*'LBMP_by_Year-Month-Hour'!AC219,$B$24*'LBMP_by_Year-Month-Hour'!AC$230*'LBMP_by_Year-Month-Hour'!AC251,$B$25*'LBMP_by_Year-Month-Hour'!AC$262*'LBMP_by_Year-Month-Hour'!AC283,$B$26*'LBMP_by_Year-Month-Hour'!AC$294*'LBMP_by_Year-Month-Hour'!AC315,$B$27*'LBMP_by_Year-Month-Hour'!AC$326*'LBMP_by_Year-Month-Hour'!AC347,$B$28*'LBMP_by_Year-Month-Hour'!AC$358*'LBMP_by_Year-Month-Hour'!AC379,$B$29*'LBMP_by_Year-Month-Hour'!AC$390*'LBMP_by_Year-Month-Hour'!AC411,$B$30*'LBMP_by_Year-Month-Hour'!AC$422*'LBMP_by_Year-Month-Hour'!AC443,$B$31*'LBMP_by_Year-Month-Hour'!AC$454*'LBMP_by_Year-Month-Hour'!AC475,$B$32*'LBMP_by_Year-Month-Hour'!AC$486*'LBMP_by_Year-Month-Hour'!AC507,$B$33*'LBMP_by_Year-Month-Hour'!AC$518*'LBMP_by_Year-Month-Hour'!AC539,$B$34*'LBMP_by_Year-Month-Hour'!AC$550*'LBMP_by_Year-Month-Hour'!AC571,$B$35*'LBMP_by_Year-Month-Hour'!AC$582*'LBMP_by_Year-Month-Hour'!AC603)*AC36/$C$6/24</f>
        <v>44261.148702748767</v>
      </c>
      <c r="AE67">
        <v>17</v>
      </c>
      <c r="AF67">
        <f>SUM($B$19*'LBMP_by_Year-Month-Hour'!AF$70*'LBMP_by_Year-Month-Hour'!AF91,$B$20*'LBMP_by_Year-Month-Hour'!AF$102*'LBMP_by_Year-Month-Hour'!AF123,$B$21*'LBMP_by_Year-Month-Hour'!AF$134*'LBMP_by_Year-Month-Hour'!AF155,$B$22*'LBMP_by_Year-Month-Hour'!AF$166*'LBMP_by_Year-Month-Hour'!AF187,$B$23*'LBMP_by_Year-Month-Hour'!AF$198*'LBMP_by_Year-Month-Hour'!AF219,$B$24*'LBMP_by_Year-Month-Hour'!AF$230*'LBMP_by_Year-Month-Hour'!AF251,$B$25*'LBMP_by_Year-Month-Hour'!AF$262*'LBMP_by_Year-Month-Hour'!AF283,$B$26*'LBMP_by_Year-Month-Hour'!AF$294*'LBMP_by_Year-Month-Hour'!AF315,$B$27*'LBMP_by_Year-Month-Hour'!AF$326*'LBMP_by_Year-Month-Hour'!AF347,$B$28*'LBMP_by_Year-Month-Hour'!AF$358*'LBMP_by_Year-Month-Hour'!AF379,$B$29*'LBMP_by_Year-Month-Hour'!AF$390*'LBMP_by_Year-Month-Hour'!AF411,$B$30*'LBMP_by_Year-Month-Hour'!AF$422*'LBMP_by_Year-Month-Hour'!AF443,$B$31*'LBMP_by_Year-Month-Hour'!AF$454*'LBMP_by_Year-Month-Hour'!AF475,$B$32*'LBMP_by_Year-Month-Hour'!AF$486*'LBMP_by_Year-Month-Hour'!AF507,$B$33*'LBMP_by_Year-Month-Hour'!AF$518*'LBMP_by_Year-Month-Hour'!AF539,$B$34*'LBMP_by_Year-Month-Hour'!AF$550*'LBMP_by_Year-Month-Hour'!AF571,$B$35*'LBMP_by_Year-Month-Hour'!AF$582*'LBMP_by_Year-Month-Hour'!AF603)*AF36/$C$6/24</f>
        <v>0</v>
      </c>
      <c r="AH67">
        <v>17</v>
      </c>
      <c r="AI67">
        <f>SUM($B$19*'LBMP_by_Year-Month-Hour'!AI$70*'LBMP_by_Year-Month-Hour'!AI91,$B$20*'LBMP_by_Year-Month-Hour'!AI$102*'LBMP_by_Year-Month-Hour'!AI123,$B$21*'LBMP_by_Year-Month-Hour'!AI$134*'LBMP_by_Year-Month-Hour'!AI155,$B$22*'LBMP_by_Year-Month-Hour'!AI$166*'LBMP_by_Year-Month-Hour'!AI187,$B$23*'LBMP_by_Year-Month-Hour'!AI$198*'LBMP_by_Year-Month-Hour'!AI219,$B$24*'LBMP_by_Year-Month-Hour'!AI$230*'LBMP_by_Year-Month-Hour'!AI251,$B$25*'LBMP_by_Year-Month-Hour'!AI$262*'LBMP_by_Year-Month-Hour'!AI283,$B$26*'LBMP_by_Year-Month-Hour'!AI$294*'LBMP_by_Year-Month-Hour'!AI315,$B$27*'LBMP_by_Year-Month-Hour'!AI$326*'LBMP_by_Year-Month-Hour'!AI347,$B$28*'LBMP_by_Year-Month-Hour'!AI$358*'LBMP_by_Year-Month-Hour'!AI379,$B$29*'LBMP_by_Year-Month-Hour'!AI$390*'LBMP_by_Year-Month-Hour'!AI411,$B$30*'LBMP_by_Year-Month-Hour'!AI$422*'LBMP_by_Year-Month-Hour'!AI443,$B$31*'LBMP_by_Year-Month-Hour'!AI$454*'LBMP_by_Year-Month-Hour'!AI475,$B$32*'LBMP_by_Year-Month-Hour'!AI$486*'LBMP_by_Year-Month-Hour'!AI507,$B$33*'LBMP_by_Year-Month-Hour'!AI$518*'LBMP_by_Year-Month-Hour'!AI539,$B$34*'LBMP_by_Year-Month-Hour'!AI$550*'LBMP_by_Year-Month-Hour'!AI571,$B$35*'LBMP_by_Year-Month-Hour'!AI$582*'LBMP_by_Year-Month-Hour'!AI603)*AI36/$C$6/24</f>
        <v>0</v>
      </c>
      <c r="AK67">
        <v>17</v>
      </c>
      <c r="AL67">
        <f>SUM($B$19*'LBMP_by_Year-Month-Hour'!AL$70*'LBMP_by_Year-Month-Hour'!AL91,$B$20*'LBMP_by_Year-Month-Hour'!AL$102*'LBMP_by_Year-Month-Hour'!AL123,$B$21*'LBMP_by_Year-Month-Hour'!AL$134*'LBMP_by_Year-Month-Hour'!AL155,$B$22*'LBMP_by_Year-Month-Hour'!AL$166*'LBMP_by_Year-Month-Hour'!AL187,$B$23*'LBMP_by_Year-Month-Hour'!AL$198*'LBMP_by_Year-Month-Hour'!AL219,$B$24*'LBMP_by_Year-Month-Hour'!AL$230*'LBMP_by_Year-Month-Hour'!AL251,$B$25*'LBMP_by_Year-Month-Hour'!AL$262*'LBMP_by_Year-Month-Hour'!AL283,$B$26*'LBMP_by_Year-Month-Hour'!AL$294*'LBMP_by_Year-Month-Hour'!AL315,$B$27*'LBMP_by_Year-Month-Hour'!AL$326*'LBMP_by_Year-Month-Hour'!AL347,$B$28*'LBMP_by_Year-Month-Hour'!AL$358*'LBMP_by_Year-Month-Hour'!AL379,$B$29*'LBMP_by_Year-Month-Hour'!AL$390*'LBMP_by_Year-Month-Hour'!AL411,$B$30*'LBMP_by_Year-Month-Hour'!AL$422*'LBMP_by_Year-Month-Hour'!AL443,$B$31*'LBMP_by_Year-Month-Hour'!AL$454*'LBMP_by_Year-Month-Hour'!AL475,$B$32*'LBMP_by_Year-Month-Hour'!AL$486*'LBMP_by_Year-Month-Hour'!AL507,$B$33*'LBMP_by_Year-Month-Hour'!AL$518*'LBMP_by_Year-Month-Hour'!AL539,$B$34*'LBMP_by_Year-Month-Hour'!AL$550*'LBMP_by_Year-Month-Hour'!AL571,$B$35*'LBMP_by_Year-Month-Hour'!AL$582*'LBMP_by_Year-Month-Hour'!AL603)*AL36/$C$6/24</f>
        <v>0</v>
      </c>
    </row>
    <row r="68" spans="1:38">
      <c r="A68">
        <v>18</v>
      </c>
      <c r="B68">
        <f t="shared" si="9"/>
        <v>172990.31935361621</v>
      </c>
      <c r="D68">
        <v>18</v>
      </c>
      <c r="E68">
        <f>SUM($B$19*'LBMP_by_Year-Month-Hour'!E$70*'LBMP_by_Year-Month-Hour'!E92,$B$20*'LBMP_by_Year-Month-Hour'!E$102*'LBMP_by_Year-Month-Hour'!E124,$B$21*'LBMP_by_Year-Month-Hour'!E$134*'LBMP_by_Year-Month-Hour'!E156,$B$22*'LBMP_by_Year-Month-Hour'!E$166*'LBMP_by_Year-Month-Hour'!E188,$B$23*'LBMP_by_Year-Month-Hour'!E$198*'LBMP_by_Year-Month-Hour'!E220,$B$24*'LBMP_by_Year-Month-Hour'!E$230*'LBMP_by_Year-Month-Hour'!E252,$B$25*'LBMP_by_Year-Month-Hour'!E$262*'LBMP_by_Year-Month-Hour'!E284,$B$26*'LBMP_by_Year-Month-Hour'!E$294*'LBMP_by_Year-Month-Hour'!E316,$B$27*'LBMP_by_Year-Month-Hour'!E$326*'LBMP_by_Year-Month-Hour'!E348,$B$28*'LBMP_by_Year-Month-Hour'!E$358*'LBMP_by_Year-Month-Hour'!E380,$B$29*'LBMP_by_Year-Month-Hour'!E$390*'LBMP_by_Year-Month-Hour'!E412,$B$30*'LBMP_by_Year-Month-Hour'!E$422*'LBMP_by_Year-Month-Hour'!E444,$B$31*'LBMP_by_Year-Month-Hour'!E$454*'LBMP_by_Year-Month-Hour'!E476,$B$32*'LBMP_by_Year-Month-Hour'!E$486*'LBMP_by_Year-Month-Hour'!E508,$B$33*'LBMP_by_Year-Month-Hour'!E$518*'LBMP_by_Year-Month-Hour'!E540,$B$34*'LBMP_by_Year-Month-Hour'!E$550*'LBMP_by_Year-Month-Hour'!E572,$B$35*'LBMP_by_Year-Month-Hour'!E$582*'LBMP_by_Year-Month-Hour'!E604)*E37/$C$6/24</f>
        <v>0</v>
      </c>
      <c r="G68">
        <v>18</v>
      </c>
      <c r="H68">
        <f>SUM($B$19*'LBMP_by_Year-Month-Hour'!H$70*'LBMP_by_Year-Month-Hour'!H92,$B$20*'LBMP_by_Year-Month-Hour'!H$102*'LBMP_by_Year-Month-Hour'!H124,$B$21*'LBMP_by_Year-Month-Hour'!H$134*'LBMP_by_Year-Month-Hour'!H156,$B$22*'LBMP_by_Year-Month-Hour'!H$166*'LBMP_by_Year-Month-Hour'!H188,$B$23*'LBMP_by_Year-Month-Hour'!H$198*'LBMP_by_Year-Month-Hour'!H220,$B$24*'LBMP_by_Year-Month-Hour'!H$230*'LBMP_by_Year-Month-Hour'!H252,$B$25*'LBMP_by_Year-Month-Hour'!H$262*'LBMP_by_Year-Month-Hour'!H284,$B$26*'LBMP_by_Year-Month-Hour'!H$294*'LBMP_by_Year-Month-Hour'!H316,$B$27*'LBMP_by_Year-Month-Hour'!H$326*'LBMP_by_Year-Month-Hour'!H348,$B$28*'LBMP_by_Year-Month-Hour'!H$358*'LBMP_by_Year-Month-Hour'!H380,$B$29*'LBMP_by_Year-Month-Hour'!H$390*'LBMP_by_Year-Month-Hour'!H412,$B$30*'LBMP_by_Year-Month-Hour'!H$422*'LBMP_by_Year-Month-Hour'!H444,$B$31*'LBMP_by_Year-Month-Hour'!H$454*'LBMP_by_Year-Month-Hour'!H476,$B$32*'LBMP_by_Year-Month-Hour'!H$486*'LBMP_by_Year-Month-Hour'!H508,$B$33*'LBMP_by_Year-Month-Hour'!H$518*'LBMP_by_Year-Month-Hour'!H540,$B$34*'LBMP_by_Year-Month-Hour'!H$550*'LBMP_by_Year-Month-Hour'!H572,$B$35*'LBMP_by_Year-Month-Hour'!H$582*'LBMP_by_Year-Month-Hour'!H604)*H37/$C$6/24</f>
        <v>0</v>
      </c>
      <c r="J68">
        <v>18</v>
      </c>
      <c r="K68">
        <f>SUM($B$19*'LBMP_by_Year-Month-Hour'!K$70*'LBMP_by_Year-Month-Hour'!K92,$B$20*'LBMP_by_Year-Month-Hour'!K$102*'LBMP_by_Year-Month-Hour'!K124,$B$21*'LBMP_by_Year-Month-Hour'!K$134*'LBMP_by_Year-Month-Hour'!K156,$B$22*'LBMP_by_Year-Month-Hour'!K$166*'LBMP_by_Year-Month-Hour'!K188,$B$23*'LBMP_by_Year-Month-Hour'!K$198*'LBMP_by_Year-Month-Hour'!K220,$B$24*'LBMP_by_Year-Month-Hour'!K$230*'LBMP_by_Year-Month-Hour'!K252,$B$25*'LBMP_by_Year-Month-Hour'!K$262*'LBMP_by_Year-Month-Hour'!K284,$B$26*'LBMP_by_Year-Month-Hour'!K$294*'LBMP_by_Year-Month-Hour'!K316,$B$27*'LBMP_by_Year-Month-Hour'!K$326*'LBMP_by_Year-Month-Hour'!K348,$B$28*'LBMP_by_Year-Month-Hour'!K$358*'LBMP_by_Year-Month-Hour'!K380,$B$29*'LBMP_by_Year-Month-Hour'!K$390*'LBMP_by_Year-Month-Hour'!K412,$B$30*'LBMP_by_Year-Month-Hour'!K$422*'LBMP_by_Year-Month-Hour'!K444,$B$31*'LBMP_by_Year-Month-Hour'!K$454*'LBMP_by_Year-Month-Hour'!K476,$B$32*'LBMP_by_Year-Month-Hour'!K$486*'LBMP_by_Year-Month-Hour'!K508,$B$33*'LBMP_by_Year-Month-Hour'!K$518*'LBMP_by_Year-Month-Hour'!K540,$B$34*'LBMP_by_Year-Month-Hour'!K$550*'LBMP_by_Year-Month-Hour'!K572,$B$35*'LBMP_by_Year-Month-Hour'!K$582*'LBMP_by_Year-Month-Hour'!K604)*K37/$C$6/24</f>
        <v>0</v>
      </c>
      <c r="M68">
        <v>18</v>
      </c>
      <c r="N68">
        <f>SUM($B$19*'LBMP_by_Year-Month-Hour'!N$70*'LBMP_by_Year-Month-Hour'!N92,$B$20*'LBMP_by_Year-Month-Hour'!N$102*'LBMP_by_Year-Month-Hour'!N124,$B$21*'LBMP_by_Year-Month-Hour'!N$134*'LBMP_by_Year-Month-Hour'!N156,$B$22*'LBMP_by_Year-Month-Hour'!N$166*'LBMP_by_Year-Month-Hour'!N188,$B$23*'LBMP_by_Year-Month-Hour'!N$198*'LBMP_by_Year-Month-Hour'!N220,$B$24*'LBMP_by_Year-Month-Hour'!N$230*'LBMP_by_Year-Month-Hour'!N252,$B$25*'LBMP_by_Year-Month-Hour'!N$262*'LBMP_by_Year-Month-Hour'!N284,$B$26*'LBMP_by_Year-Month-Hour'!N$294*'LBMP_by_Year-Month-Hour'!N316,$B$27*'LBMP_by_Year-Month-Hour'!N$326*'LBMP_by_Year-Month-Hour'!N348,$B$28*'LBMP_by_Year-Month-Hour'!N$358*'LBMP_by_Year-Month-Hour'!N380,$B$29*'LBMP_by_Year-Month-Hour'!N$390*'LBMP_by_Year-Month-Hour'!N412,$B$30*'LBMP_by_Year-Month-Hour'!N$422*'LBMP_by_Year-Month-Hour'!N444,$B$31*'LBMP_by_Year-Month-Hour'!N$454*'LBMP_by_Year-Month-Hour'!N476,$B$32*'LBMP_by_Year-Month-Hour'!N$486*'LBMP_by_Year-Month-Hour'!N508,$B$33*'LBMP_by_Year-Month-Hour'!N$518*'LBMP_by_Year-Month-Hour'!N540,$B$34*'LBMP_by_Year-Month-Hour'!N$550*'LBMP_by_Year-Month-Hour'!N572,$B$35*'LBMP_by_Year-Month-Hour'!N$582*'LBMP_by_Year-Month-Hour'!N604)*N37/$C$6/24</f>
        <v>0</v>
      </c>
      <c r="P68">
        <v>18</v>
      </c>
      <c r="Q68">
        <f>SUM($B$19*'LBMP_by_Year-Month-Hour'!Q$70*'LBMP_by_Year-Month-Hour'!Q92,$B$20*'LBMP_by_Year-Month-Hour'!Q$102*'LBMP_by_Year-Month-Hour'!Q124,$B$21*'LBMP_by_Year-Month-Hour'!Q$134*'LBMP_by_Year-Month-Hour'!Q156,$B$22*'LBMP_by_Year-Month-Hour'!Q$166*'LBMP_by_Year-Month-Hour'!Q188,$B$23*'LBMP_by_Year-Month-Hour'!Q$198*'LBMP_by_Year-Month-Hour'!Q220,$B$24*'LBMP_by_Year-Month-Hour'!Q$230*'LBMP_by_Year-Month-Hour'!Q252,$B$25*'LBMP_by_Year-Month-Hour'!Q$262*'LBMP_by_Year-Month-Hour'!Q284,$B$26*'LBMP_by_Year-Month-Hour'!Q$294*'LBMP_by_Year-Month-Hour'!Q316,$B$27*'LBMP_by_Year-Month-Hour'!Q$326*'LBMP_by_Year-Month-Hour'!Q348,$B$28*'LBMP_by_Year-Month-Hour'!Q$358*'LBMP_by_Year-Month-Hour'!Q380,$B$29*'LBMP_by_Year-Month-Hour'!Q$390*'LBMP_by_Year-Month-Hour'!Q412,$B$30*'LBMP_by_Year-Month-Hour'!Q$422*'LBMP_by_Year-Month-Hour'!Q444,$B$31*'LBMP_by_Year-Month-Hour'!Q$454*'LBMP_by_Year-Month-Hour'!Q476,$B$32*'LBMP_by_Year-Month-Hour'!Q$486*'LBMP_by_Year-Month-Hour'!Q508,$B$33*'LBMP_by_Year-Month-Hour'!Q$518*'LBMP_by_Year-Month-Hour'!Q540,$B$34*'LBMP_by_Year-Month-Hour'!Q$550*'LBMP_by_Year-Month-Hour'!Q572,$B$35*'LBMP_by_Year-Month-Hour'!Q$582*'LBMP_by_Year-Month-Hour'!Q604)*Q37/$C$6/24</f>
        <v>0</v>
      </c>
      <c r="S68">
        <v>18</v>
      </c>
      <c r="T68">
        <f>SUM($B$19*'LBMP_by_Year-Month-Hour'!T$70*'LBMP_by_Year-Month-Hour'!T92,$B$20*'LBMP_by_Year-Month-Hour'!T$102*'LBMP_by_Year-Month-Hour'!T124,$B$21*'LBMP_by_Year-Month-Hour'!T$134*'LBMP_by_Year-Month-Hour'!T156,$B$22*'LBMP_by_Year-Month-Hour'!T$166*'LBMP_by_Year-Month-Hour'!T188,$B$23*'LBMP_by_Year-Month-Hour'!T$198*'LBMP_by_Year-Month-Hour'!T220,$B$24*'LBMP_by_Year-Month-Hour'!T$230*'LBMP_by_Year-Month-Hour'!T252,$B$25*'LBMP_by_Year-Month-Hour'!T$262*'LBMP_by_Year-Month-Hour'!T284,$B$26*'LBMP_by_Year-Month-Hour'!T$294*'LBMP_by_Year-Month-Hour'!T316,$B$27*'LBMP_by_Year-Month-Hour'!T$326*'LBMP_by_Year-Month-Hour'!T348,$B$28*'LBMP_by_Year-Month-Hour'!T$358*'LBMP_by_Year-Month-Hour'!T380,$B$29*'LBMP_by_Year-Month-Hour'!T$390*'LBMP_by_Year-Month-Hour'!T412,$B$30*'LBMP_by_Year-Month-Hour'!T$422*'LBMP_by_Year-Month-Hour'!T444,$B$31*'LBMP_by_Year-Month-Hour'!T$454*'LBMP_by_Year-Month-Hour'!T476,$B$32*'LBMP_by_Year-Month-Hour'!T$486*'LBMP_by_Year-Month-Hour'!T508,$B$33*'LBMP_by_Year-Month-Hour'!T$518*'LBMP_by_Year-Month-Hour'!T540,$B$34*'LBMP_by_Year-Month-Hour'!T$550*'LBMP_by_Year-Month-Hour'!T572,$B$35*'LBMP_by_Year-Month-Hour'!T$582*'LBMP_by_Year-Month-Hour'!T604)*T37/$C$6/24</f>
        <v>36555.711157192498</v>
      </c>
      <c r="V68">
        <v>18</v>
      </c>
      <c r="W68">
        <f>SUM($B$19*'LBMP_by_Year-Month-Hour'!W$70*'LBMP_by_Year-Month-Hour'!W92,$B$20*'LBMP_by_Year-Month-Hour'!W$102*'LBMP_by_Year-Month-Hour'!W124,$B$21*'LBMP_by_Year-Month-Hour'!W$134*'LBMP_by_Year-Month-Hour'!W156,$B$22*'LBMP_by_Year-Month-Hour'!W$166*'LBMP_by_Year-Month-Hour'!W188,$B$23*'LBMP_by_Year-Month-Hour'!W$198*'LBMP_by_Year-Month-Hour'!W220,$B$24*'LBMP_by_Year-Month-Hour'!W$230*'LBMP_by_Year-Month-Hour'!W252,$B$25*'LBMP_by_Year-Month-Hour'!W$262*'LBMP_by_Year-Month-Hour'!W284,$B$26*'LBMP_by_Year-Month-Hour'!W$294*'LBMP_by_Year-Month-Hour'!W316,$B$27*'LBMP_by_Year-Month-Hour'!W$326*'LBMP_by_Year-Month-Hour'!W348,$B$28*'LBMP_by_Year-Month-Hour'!W$358*'LBMP_by_Year-Month-Hour'!W380,$B$29*'LBMP_by_Year-Month-Hour'!W$390*'LBMP_by_Year-Month-Hour'!W412,$B$30*'LBMP_by_Year-Month-Hour'!W$422*'LBMP_by_Year-Month-Hour'!W444,$B$31*'LBMP_by_Year-Month-Hour'!W$454*'LBMP_by_Year-Month-Hour'!W476,$B$32*'LBMP_by_Year-Month-Hour'!W$486*'LBMP_by_Year-Month-Hour'!W508,$B$33*'LBMP_by_Year-Month-Hour'!W$518*'LBMP_by_Year-Month-Hour'!W540,$B$34*'LBMP_by_Year-Month-Hour'!W$550*'LBMP_by_Year-Month-Hour'!W572,$B$35*'LBMP_by_Year-Month-Hour'!W$582*'LBMP_by_Year-Month-Hour'!W604)*W37/$C$6/24</f>
        <v>48520.818307653135</v>
      </c>
      <c r="Y68">
        <v>18</v>
      </c>
      <c r="Z68">
        <f>SUM($B$19*'LBMP_by_Year-Month-Hour'!Z$70*'LBMP_by_Year-Month-Hour'!Z92,$B$20*'LBMP_by_Year-Month-Hour'!Z$102*'LBMP_by_Year-Month-Hour'!Z124,$B$21*'LBMP_by_Year-Month-Hour'!Z$134*'LBMP_by_Year-Month-Hour'!Z156,$B$22*'LBMP_by_Year-Month-Hour'!Z$166*'LBMP_by_Year-Month-Hour'!Z188,$B$23*'LBMP_by_Year-Month-Hour'!Z$198*'LBMP_by_Year-Month-Hour'!Z220,$B$24*'LBMP_by_Year-Month-Hour'!Z$230*'LBMP_by_Year-Month-Hour'!Z252,$B$25*'LBMP_by_Year-Month-Hour'!Z$262*'LBMP_by_Year-Month-Hour'!Z284,$B$26*'LBMP_by_Year-Month-Hour'!Z$294*'LBMP_by_Year-Month-Hour'!Z316,$B$27*'LBMP_by_Year-Month-Hour'!Z$326*'LBMP_by_Year-Month-Hour'!Z348,$B$28*'LBMP_by_Year-Month-Hour'!Z$358*'LBMP_by_Year-Month-Hour'!Z380,$B$29*'LBMP_by_Year-Month-Hour'!Z$390*'LBMP_by_Year-Month-Hour'!Z412,$B$30*'LBMP_by_Year-Month-Hour'!Z$422*'LBMP_by_Year-Month-Hour'!Z444,$B$31*'LBMP_by_Year-Month-Hour'!Z$454*'LBMP_by_Year-Month-Hour'!Z476,$B$32*'LBMP_by_Year-Month-Hour'!Z$486*'LBMP_by_Year-Month-Hour'!Z508,$B$33*'LBMP_by_Year-Month-Hour'!Z$518*'LBMP_by_Year-Month-Hour'!Z540,$B$34*'LBMP_by_Year-Month-Hour'!Z$550*'LBMP_by_Year-Month-Hour'!Z572,$B$35*'LBMP_by_Year-Month-Hour'!Z$582*'LBMP_by_Year-Month-Hour'!Z604)*Z37/$C$6/24</f>
        <v>47644.690257274109</v>
      </c>
      <c r="AB68">
        <v>18</v>
      </c>
      <c r="AC68">
        <f>SUM($B$19*'LBMP_by_Year-Month-Hour'!AC$70*'LBMP_by_Year-Month-Hour'!AC92,$B$20*'LBMP_by_Year-Month-Hour'!AC$102*'LBMP_by_Year-Month-Hour'!AC124,$B$21*'LBMP_by_Year-Month-Hour'!AC$134*'LBMP_by_Year-Month-Hour'!AC156,$B$22*'LBMP_by_Year-Month-Hour'!AC$166*'LBMP_by_Year-Month-Hour'!AC188,$B$23*'LBMP_by_Year-Month-Hour'!AC$198*'LBMP_by_Year-Month-Hour'!AC220,$B$24*'LBMP_by_Year-Month-Hour'!AC$230*'LBMP_by_Year-Month-Hour'!AC252,$B$25*'LBMP_by_Year-Month-Hour'!AC$262*'LBMP_by_Year-Month-Hour'!AC284,$B$26*'LBMP_by_Year-Month-Hour'!AC$294*'LBMP_by_Year-Month-Hour'!AC316,$B$27*'LBMP_by_Year-Month-Hour'!AC$326*'LBMP_by_Year-Month-Hour'!AC348,$B$28*'LBMP_by_Year-Month-Hour'!AC$358*'LBMP_by_Year-Month-Hour'!AC380,$B$29*'LBMP_by_Year-Month-Hour'!AC$390*'LBMP_by_Year-Month-Hour'!AC412,$B$30*'LBMP_by_Year-Month-Hour'!AC$422*'LBMP_by_Year-Month-Hour'!AC444,$B$31*'LBMP_by_Year-Month-Hour'!AC$454*'LBMP_by_Year-Month-Hour'!AC476,$B$32*'LBMP_by_Year-Month-Hour'!AC$486*'LBMP_by_Year-Month-Hour'!AC508,$B$33*'LBMP_by_Year-Month-Hour'!AC$518*'LBMP_by_Year-Month-Hour'!AC540,$B$34*'LBMP_by_Year-Month-Hour'!AC$550*'LBMP_by_Year-Month-Hour'!AC572,$B$35*'LBMP_by_Year-Month-Hour'!AC$582*'LBMP_by_Year-Month-Hour'!AC604)*AC37/$C$6/24</f>
        <v>40269.09963149648</v>
      </c>
      <c r="AE68">
        <v>18</v>
      </c>
      <c r="AF68">
        <f>SUM($B$19*'LBMP_by_Year-Month-Hour'!AF$70*'LBMP_by_Year-Month-Hour'!AF92,$B$20*'LBMP_by_Year-Month-Hour'!AF$102*'LBMP_by_Year-Month-Hour'!AF124,$B$21*'LBMP_by_Year-Month-Hour'!AF$134*'LBMP_by_Year-Month-Hour'!AF156,$B$22*'LBMP_by_Year-Month-Hour'!AF$166*'LBMP_by_Year-Month-Hour'!AF188,$B$23*'LBMP_by_Year-Month-Hour'!AF$198*'LBMP_by_Year-Month-Hour'!AF220,$B$24*'LBMP_by_Year-Month-Hour'!AF$230*'LBMP_by_Year-Month-Hour'!AF252,$B$25*'LBMP_by_Year-Month-Hour'!AF$262*'LBMP_by_Year-Month-Hour'!AF284,$B$26*'LBMP_by_Year-Month-Hour'!AF$294*'LBMP_by_Year-Month-Hour'!AF316,$B$27*'LBMP_by_Year-Month-Hour'!AF$326*'LBMP_by_Year-Month-Hour'!AF348,$B$28*'LBMP_by_Year-Month-Hour'!AF$358*'LBMP_by_Year-Month-Hour'!AF380,$B$29*'LBMP_by_Year-Month-Hour'!AF$390*'LBMP_by_Year-Month-Hour'!AF412,$B$30*'LBMP_by_Year-Month-Hour'!AF$422*'LBMP_by_Year-Month-Hour'!AF444,$B$31*'LBMP_by_Year-Month-Hour'!AF$454*'LBMP_by_Year-Month-Hour'!AF476,$B$32*'LBMP_by_Year-Month-Hour'!AF$486*'LBMP_by_Year-Month-Hour'!AF508,$B$33*'LBMP_by_Year-Month-Hour'!AF$518*'LBMP_by_Year-Month-Hour'!AF540,$B$34*'LBMP_by_Year-Month-Hour'!AF$550*'LBMP_by_Year-Month-Hour'!AF572,$B$35*'LBMP_by_Year-Month-Hour'!AF$582*'LBMP_by_Year-Month-Hour'!AF604)*AF37/$C$6/24</f>
        <v>0</v>
      </c>
      <c r="AH68">
        <v>18</v>
      </c>
      <c r="AI68">
        <f>SUM($B$19*'LBMP_by_Year-Month-Hour'!AI$70*'LBMP_by_Year-Month-Hour'!AI92,$B$20*'LBMP_by_Year-Month-Hour'!AI$102*'LBMP_by_Year-Month-Hour'!AI124,$B$21*'LBMP_by_Year-Month-Hour'!AI$134*'LBMP_by_Year-Month-Hour'!AI156,$B$22*'LBMP_by_Year-Month-Hour'!AI$166*'LBMP_by_Year-Month-Hour'!AI188,$B$23*'LBMP_by_Year-Month-Hour'!AI$198*'LBMP_by_Year-Month-Hour'!AI220,$B$24*'LBMP_by_Year-Month-Hour'!AI$230*'LBMP_by_Year-Month-Hour'!AI252,$B$25*'LBMP_by_Year-Month-Hour'!AI$262*'LBMP_by_Year-Month-Hour'!AI284,$B$26*'LBMP_by_Year-Month-Hour'!AI$294*'LBMP_by_Year-Month-Hour'!AI316,$B$27*'LBMP_by_Year-Month-Hour'!AI$326*'LBMP_by_Year-Month-Hour'!AI348,$B$28*'LBMP_by_Year-Month-Hour'!AI$358*'LBMP_by_Year-Month-Hour'!AI380,$B$29*'LBMP_by_Year-Month-Hour'!AI$390*'LBMP_by_Year-Month-Hour'!AI412,$B$30*'LBMP_by_Year-Month-Hour'!AI$422*'LBMP_by_Year-Month-Hour'!AI444,$B$31*'LBMP_by_Year-Month-Hour'!AI$454*'LBMP_by_Year-Month-Hour'!AI476,$B$32*'LBMP_by_Year-Month-Hour'!AI$486*'LBMP_by_Year-Month-Hour'!AI508,$B$33*'LBMP_by_Year-Month-Hour'!AI$518*'LBMP_by_Year-Month-Hour'!AI540,$B$34*'LBMP_by_Year-Month-Hour'!AI$550*'LBMP_by_Year-Month-Hour'!AI572,$B$35*'LBMP_by_Year-Month-Hour'!AI$582*'LBMP_by_Year-Month-Hour'!AI604)*AI37/$C$6/24</f>
        <v>0</v>
      </c>
      <c r="AK68">
        <v>18</v>
      </c>
      <c r="AL68">
        <f>SUM($B$19*'LBMP_by_Year-Month-Hour'!AL$70*'LBMP_by_Year-Month-Hour'!AL92,$B$20*'LBMP_by_Year-Month-Hour'!AL$102*'LBMP_by_Year-Month-Hour'!AL124,$B$21*'LBMP_by_Year-Month-Hour'!AL$134*'LBMP_by_Year-Month-Hour'!AL156,$B$22*'LBMP_by_Year-Month-Hour'!AL$166*'LBMP_by_Year-Month-Hour'!AL188,$B$23*'LBMP_by_Year-Month-Hour'!AL$198*'LBMP_by_Year-Month-Hour'!AL220,$B$24*'LBMP_by_Year-Month-Hour'!AL$230*'LBMP_by_Year-Month-Hour'!AL252,$B$25*'LBMP_by_Year-Month-Hour'!AL$262*'LBMP_by_Year-Month-Hour'!AL284,$B$26*'LBMP_by_Year-Month-Hour'!AL$294*'LBMP_by_Year-Month-Hour'!AL316,$B$27*'LBMP_by_Year-Month-Hour'!AL$326*'LBMP_by_Year-Month-Hour'!AL348,$B$28*'LBMP_by_Year-Month-Hour'!AL$358*'LBMP_by_Year-Month-Hour'!AL380,$B$29*'LBMP_by_Year-Month-Hour'!AL$390*'LBMP_by_Year-Month-Hour'!AL412,$B$30*'LBMP_by_Year-Month-Hour'!AL$422*'LBMP_by_Year-Month-Hour'!AL444,$B$31*'LBMP_by_Year-Month-Hour'!AL$454*'LBMP_by_Year-Month-Hour'!AL476,$B$32*'LBMP_by_Year-Month-Hour'!AL$486*'LBMP_by_Year-Month-Hour'!AL508,$B$33*'LBMP_by_Year-Month-Hour'!AL$518*'LBMP_by_Year-Month-Hour'!AL540,$B$34*'LBMP_by_Year-Month-Hour'!AL$550*'LBMP_by_Year-Month-Hour'!AL572,$B$35*'LBMP_by_Year-Month-Hour'!AL$582*'LBMP_by_Year-Month-Hour'!AL604)*AL37/$C$6/24</f>
        <v>0</v>
      </c>
    </row>
    <row r="69" spans="1:38">
      <c r="A69">
        <v>19</v>
      </c>
      <c r="B69">
        <f t="shared" si="9"/>
        <v>139518.61740569101</v>
      </c>
      <c r="D69">
        <v>19</v>
      </c>
      <c r="E69">
        <f>SUM($B$19*'LBMP_by_Year-Month-Hour'!E$70*'LBMP_by_Year-Month-Hour'!E93,$B$20*'LBMP_by_Year-Month-Hour'!E$102*'LBMP_by_Year-Month-Hour'!E125,$B$21*'LBMP_by_Year-Month-Hour'!E$134*'LBMP_by_Year-Month-Hour'!E157,$B$22*'LBMP_by_Year-Month-Hour'!E$166*'LBMP_by_Year-Month-Hour'!E189,$B$23*'LBMP_by_Year-Month-Hour'!E$198*'LBMP_by_Year-Month-Hour'!E221,$B$24*'LBMP_by_Year-Month-Hour'!E$230*'LBMP_by_Year-Month-Hour'!E253,$B$25*'LBMP_by_Year-Month-Hour'!E$262*'LBMP_by_Year-Month-Hour'!E285,$B$26*'LBMP_by_Year-Month-Hour'!E$294*'LBMP_by_Year-Month-Hour'!E317,$B$27*'LBMP_by_Year-Month-Hour'!E$326*'LBMP_by_Year-Month-Hour'!E349,$B$28*'LBMP_by_Year-Month-Hour'!E$358*'LBMP_by_Year-Month-Hour'!E381,$B$29*'LBMP_by_Year-Month-Hour'!E$390*'LBMP_by_Year-Month-Hour'!E413,$B$30*'LBMP_by_Year-Month-Hour'!E$422*'LBMP_by_Year-Month-Hour'!E445,$B$31*'LBMP_by_Year-Month-Hour'!E$454*'LBMP_by_Year-Month-Hour'!E477,$B$32*'LBMP_by_Year-Month-Hour'!E$486*'LBMP_by_Year-Month-Hour'!E509,$B$33*'LBMP_by_Year-Month-Hour'!E$518*'LBMP_by_Year-Month-Hour'!E541,$B$34*'LBMP_by_Year-Month-Hour'!E$550*'LBMP_by_Year-Month-Hour'!E573,$B$35*'LBMP_by_Year-Month-Hour'!E$582*'LBMP_by_Year-Month-Hour'!E605)*E38/$C$6/24</f>
        <v>0</v>
      </c>
      <c r="G69">
        <v>19</v>
      </c>
      <c r="H69">
        <f>SUM($B$19*'LBMP_by_Year-Month-Hour'!H$70*'LBMP_by_Year-Month-Hour'!H93,$B$20*'LBMP_by_Year-Month-Hour'!H$102*'LBMP_by_Year-Month-Hour'!H125,$B$21*'LBMP_by_Year-Month-Hour'!H$134*'LBMP_by_Year-Month-Hour'!H157,$B$22*'LBMP_by_Year-Month-Hour'!H$166*'LBMP_by_Year-Month-Hour'!H189,$B$23*'LBMP_by_Year-Month-Hour'!H$198*'LBMP_by_Year-Month-Hour'!H221,$B$24*'LBMP_by_Year-Month-Hour'!H$230*'LBMP_by_Year-Month-Hour'!H253,$B$25*'LBMP_by_Year-Month-Hour'!H$262*'LBMP_by_Year-Month-Hour'!H285,$B$26*'LBMP_by_Year-Month-Hour'!H$294*'LBMP_by_Year-Month-Hour'!H317,$B$27*'LBMP_by_Year-Month-Hour'!H$326*'LBMP_by_Year-Month-Hour'!H349,$B$28*'LBMP_by_Year-Month-Hour'!H$358*'LBMP_by_Year-Month-Hour'!H381,$B$29*'LBMP_by_Year-Month-Hour'!H$390*'LBMP_by_Year-Month-Hour'!H413,$B$30*'LBMP_by_Year-Month-Hour'!H$422*'LBMP_by_Year-Month-Hour'!H445,$B$31*'LBMP_by_Year-Month-Hour'!H$454*'LBMP_by_Year-Month-Hour'!H477,$B$32*'LBMP_by_Year-Month-Hour'!H$486*'LBMP_by_Year-Month-Hour'!H509,$B$33*'LBMP_by_Year-Month-Hour'!H$518*'LBMP_by_Year-Month-Hour'!H541,$B$34*'LBMP_by_Year-Month-Hour'!H$550*'LBMP_by_Year-Month-Hour'!H573,$B$35*'LBMP_by_Year-Month-Hour'!H$582*'LBMP_by_Year-Month-Hour'!H605)*H38/$C$6/24</f>
        <v>0</v>
      </c>
      <c r="J69">
        <v>19</v>
      </c>
      <c r="K69">
        <f>SUM($B$19*'LBMP_by_Year-Month-Hour'!K$70*'LBMP_by_Year-Month-Hour'!K93,$B$20*'LBMP_by_Year-Month-Hour'!K$102*'LBMP_by_Year-Month-Hour'!K125,$B$21*'LBMP_by_Year-Month-Hour'!K$134*'LBMP_by_Year-Month-Hour'!K157,$B$22*'LBMP_by_Year-Month-Hour'!K$166*'LBMP_by_Year-Month-Hour'!K189,$B$23*'LBMP_by_Year-Month-Hour'!K$198*'LBMP_by_Year-Month-Hour'!K221,$B$24*'LBMP_by_Year-Month-Hour'!K$230*'LBMP_by_Year-Month-Hour'!K253,$B$25*'LBMP_by_Year-Month-Hour'!K$262*'LBMP_by_Year-Month-Hour'!K285,$B$26*'LBMP_by_Year-Month-Hour'!K$294*'LBMP_by_Year-Month-Hour'!K317,$B$27*'LBMP_by_Year-Month-Hour'!K$326*'LBMP_by_Year-Month-Hour'!K349,$B$28*'LBMP_by_Year-Month-Hour'!K$358*'LBMP_by_Year-Month-Hour'!K381,$B$29*'LBMP_by_Year-Month-Hour'!K$390*'LBMP_by_Year-Month-Hour'!K413,$B$30*'LBMP_by_Year-Month-Hour'!K$422*'LBMP_by_Year-Month-Hour'!K445,$B$31*'LBMP_by_Year-Month-Hour'!K$454*'LBMP_by_Year-Month-Hour'!K477,$B$32*'LBMP_by_Year-Month-Hour'!K$486*'LBMP_by_Year-Month-Hour'!K509,$B$33*'LBMP_by_Year-Month-Hour'!K$518*'LBMP_by_Year-Month-Hour'!K541,$B$34*'LBMP_by_Year-Month-Hour'!K$550*'LBMP_by_Year-Month-Hour'!K573,$B$35*'LBMP_by_Year-Month-Hour'!K$582*'LBMP_by_Year-Month-Hour'!K605)*K38/$C$6/24</f>
        <v>0</v>
      </c>
      <c r="M69">
        <v>19</v>
      </c>
      <c r="N69">
        <f>SUM($B$19*'LBMP_by_Year-Month-Hour'!N$70*'LBMP_by_Year-Month-Hour'!N93,$B$20*'LBMP_by_Year-Month-Hour'!N$102*'LBMP_by_Year-Month-Hour'!N125,$B$21*'LBMP_by_Year-Month-Hour'!N$134*'LBMP_by_Year-Month-Hour'!N157,$B$22*'LBMP_by_Year-Month-Hour'!N$166*'LBMP_by_Year-Month-Hour'!N189,$B$23*'LBMP_by_Year-Month-Hour'!N$198*'LBMP_by_Year-Month-Hour'!N221,$B$24*'LBMP_by_Year-Month-Hour'!N$230*'LBMP_by_Year-Month-Hour'!N253,$B$25*'LBMP_by_Year-Month-Hour'!N$262*'LBMP_by_Year-Month-Hour'!N285,$B$26*'LBMP_by_Year-Month-Hour'!N$294*'LBMP_by_Year-Month-Hour'!N317,$B$27*'LBMP_by_Year-Month-Hour'!N$326*'LBMP_by_Year-Month-Hour'!N349,$B$28*'LBMP_by_Year-Month-Hour'!N$358*'LBMP_by_Year-Month-Hour'!N381,$B$29*'LBMP_by_Year-Month-Hour'!N$390*'LBMP_by_Year-Month-Hour'!N413,$B$30*'LBMP_by_Year-Month-Hour'!N$422*'LBMP_by_Year-Month-Hour'!N445,$B$31*'LBMP_by_Year-Month-Hour'!N$454*'LBMP_by_Year-Month-Hour'!N477,$B$32*'LBMP_by_Year-Month-Hour'!N$486*'LBMP_by_Year-Month-Hour'!N509,$B$33*'LBMP_by_Year-Month-Hour'!N$518*'LBMP_by_Year-Month-Hour'!N541,$B$34*'LBMP_by_Year-Month-Hour'!N$550*'LBMP_by_Year-Month-Hour'!N573,$B$35*'LBMP_by_Year-Month-Hour'!N$582*'LBMP_by_Year-Month-Hour'!N605)*N38/$C$6/24</f>
        <v>0</v>
      </c>
      <c r="P69">
        <v>19</v>
      </c>
      <c r="Q69">
        <f>SUM($B$19*'LBMP_by_Year-Month-Hour'!Q$70*'LBMP_by_Year-Month-Hour'!Q93,$B$20*'LBMP_by_Year-Month-Hour'!Q$102*'LBMP_by_Year-Month-Hour'!Q125,$B$21*'LBMP_by_Year-Month-Hour'!Q$134*'LBMP_by_Year-Month-Hour'!Q157,$B$22*'LBMP_by_Year-Month-Hour'!Q$166*'LBMP_by_Year-Month-Hour'!Q189,$B$23*'LBMP_by_Year-Month-Hour'!Q$198*'LBMP_by_Year-Month-Hour'!Q221,$B$24*'LBMP_by_Year-Month-Hour'!Q$230*'LBMP_by_Year-Month-Hour'!Q253,$B$25*'LBMP_by_Year-Month-Hour'!Q$262*'LBMP_by_Year-Month-Hour'!Q285,$B$26*'LBMP_by_Year-Month-Hour'!Q$294*'LBMP_by_Year-Month-Hour'!Q317,$B$27*'LBMP_by_Year-Month-Hour'!Q$326*'LBMP_by_Year-Month-Hour'!Q349,$B$28*'LBMP_by_Year-Month-Hour'!Q$358*'LBMP_by_Year-Month-Hour'!Q381,$B$29*'LBMP_by_Year-Month-Hour'!Q$390*'LBMP_by_Year-Month-Hour'!Q413,$B$30*'LBMP_by_Year-Month-Hour'!Q$422*'LBMP_by_Year-Month-Hour'!Q445,$B$31*'LBMP_by_Year-Month-Hour'!Q$454*'LBMP_by_Year-Month-Hour'!Q477,$B$32*'LBMP_by_Year-Month-Hour'!Q$486*'LBMP_by_Year-Month-Hour'!Q509,$B$33*'LBMP_by_Year-Month-Hour'!Q$518*'LBMP_by_Year-Month-Hour'!Q541,$B$34*'LBMP_by_Year-Month-Hour'!Q$550*'LBMP_by_Year-Month-Hour'!Q573,$B$35*'LBMP_by_Year-Month-Hour'!Q$582*'LBMP_by_Year-Month-Hour'!Q605)*Q38/$C$6/24</f>
        <v>0</v>
      </c>
      <c r="S69">
        <v>19</v>
      </c>
      <c r="T69">
        <f>SUM($B$19*'LBMP_by_Year-Month-Hour'!T$70*'LBMP_by_Year-Month-Hour'!T93,$B$20*'LBMP_by_Year-Month-Hour'!T$102*'LBMP_by_Year-Month-Hour'!T125,$B$21*'LBMP_by_Year-Month-Hour'!T$134*'LBMP_by_Year-Month-Hour'!T157,$B$22*'LBMP_by_Year-Month-Hour'!T$166*'LBMP_by_Year-Month-Hour'!T189,$B$23*'LBMP_by_Year-Month-Hour'!T$198*'LBMP_by_Year-Month-Hour'!T221,$B$24*'LBMP_by_Year-Month-Hour'!T$230*'LBMP_by_Year-Month-Hour'!T253,$B$25*'LBMP_by_Year-Month-Hour'!T$262*'LBMP_by_Year-Month-Hour'!T285,$B$26*'LBMP_by_Year-Month-Hour'!T$294*'LBMP_by_Year-Month-Hour'!T317,$B$27*'LBMP_by_Year-Month-Hour'!T$326*'LBMP_by_Year-Month-Hour'!T349,$B$28*'LBMP_by_Year-Month-Hour'!T$358*'LBMP_by_Year-Month-Hour'!T381,$B$29*'LBMP_by_Year-Month-Hour'!T$390*'LBMP_by_Year-Month-Hour'!T413,$B$30*'LBMP_by_Year-Month-Hour'!T$422*'LBMP_by_Year-Month-Hour'!T445,$B$31*'LBMP_by_Year-Month-Hour'!T$454*'LBMP_by_Year-Month-Hour'!T477,$B$32*'LBMP_by_Year-Month-Hour'!T$486*'LBMP_by_Year-Month-Hour'!T509,$B$33*'LBMP_by_Year-Month-Hour'!T$518*'LBMP_by_Year-Month-Hour'!T541,$B$34*'LBMP_by_Year-Month-Hour'!T$550*'LBMP_by_Year-Month-Hour'!T573,$B$35*'LBMP_by_Year-Month-Hour'!T$582*'LBMP_by_Year-Month-Hour'!T605)*T38/$C$6/24</f>
        <v>29523.986972616676</v>
      </c>
      <c r="V69">
        <v>19</v>
      </c>
      <c r="W69">
        <f>SUM($B$19*'LBMP_by_Year-Month-Hour'!W$70*'LBMP_by_Year-Month-Hour'!W93,$B$20*'LBMP_by_Year-Month-Hour'!W$102*'LBMP_by_Year-Month-Hour'!W125,$B$21*'LBMP_by_Year-Month-Hour'!W$134*'LBMP_by_Year-Month-Hour'!W157,$B$22*'LBMP_by_Year-Month-Hour'!W$166*'LBMP_by_Year-Month-Hour'!W189,$B$23*'LBMP_by_Year-Month-Hour'!W$198*'LBMP_by_Year-Month-Hour'!W221,$B$24*'LBMP_by_Year-Month-Hour'!W$230*'LBMP_by_Year-Month-Hour'!W253,$B$25*'LBMP_by_Year-Month-Hour'!W$262*'LBMP_by_Year-Month-Hour'!W285,$B$26*'LBMP_by_Year-Month-Hour'!W$294*'LBMP_by_Year-Month-Hour'!W317,$B$27*'LBMP_by_Year-Month-Hour'!W$326*'LBMP_by_Year-Month-Hour'!W349,$B$28*'LBMP_by_Year-Month-Hour'!W$358*'LBMP_by_Year-Month-Hour'!W381,$B$29*'LBMP_by_Year-Month-Hour'!W$390*'LBMP_by_Year-Month-Hour'!W413,$B$30*'LBMP_by_Year-Month-Hour'!W$422*'LBMP_by_Year-Month-Hour'!W445,$B$31*'LBMP_by_Year-Month-Hour'!W$454*'LBMP_by_Year-Month-Hour'!W477,$B$32*'LBMP_by_Year-Month-Hour'!W$486*'LBMP_by_Year-Month-Hour'!W509,$B$33*'LBMP_by_Year-Month-Hour'!W$518*'LBMP_by_Year-Month-Hour'!W541,$B$34*'LBMP_by_Year-Month-Hour'!W$550*'LBMP_by_Year-Month-Hour'!W573,$B$35*'LBMP_by_Year-Month-Hour'!W$582*'LBMP_by_Year-Month-Hour'!W605)*W38/$C$6/24</f>
        <v>38270.25357162315</v>
      </c>
      <c r="Y69">
        <v>19</v>
      </c>
      <c r="Z69">
        <f>SUM($B$19*'LBMP_by_Year-Month-Hour'!Z$70*'LBMP_by_Year-Month-Hour'!Z93,$B$20*'LBMP_by_Year-Month-Hour'!Z$102*'LBMP_by_Year-Month-Hour'!Z125,$B$21*'LBMP_by_Year-Month-Hour'!Z$134*'LBMP_by_Year-Month-Hour'!Z157,$B$22*'LBMP_by_Year-Month-Hour'!Z$166*'LBMP_by_Year-Month-Hour'!Z189,$B$23*'LBMP_by_Year-Month-Hour'!Z$198*'LBMP_by_Year-Month-Hour'!Z221,$B$24*'LBMP_by_Year-Month-Hour'!Z$230*'LBMP_by_Year-Month-Hour'!Z253,$B$25*'LBMP_by_Year-Month-Hour'!Z$262*'LBMP_by_Year-Month-Hour'!Z285,$B$26*'LBMP_by_Year-Month-Hour'!Z$294*'LBMP_by_Year-Month-Hour'!Z317,$B$27*'LBMP_by_Year-Month-Hour'!Z$326*'LBMP_by_Year-Month-Hour'!Z349,$B$28*'LBMP_by_Year-Month-Hour'!Z$358*'LBMP_by_Year-Month-Hour'!Z381,$B$29*'LBMP_by_Year-Month-Hour'!Z$390*'LBMP_by_Year-Month-Hour'!Z413,$B$30*'LBMP_by_Year-Month-Hour'!Z$422*'LBMP_by_Year-Month-Hour'!Z445,$B$31*'LBMP_by_Year-Month-Hour'!Z$454*'LBMP_by_Year-Month-Hour'!Z477,$B$32*'LBMP_by_Year-Month-Hour'!Z$486*'LBMP_by_Year-Month-Hour'!Z509,$B$33*'LBMP_by_Year-Month-Hour'!Z$518*'LBMP_by_Year-Month-Hour'!Z541,$B$34*'LBMP_by_Year-Month-Hour'!Z$550*'LBMP_by_Year-Month-Hour'!Z573,$B$35*'LBMP_by_Year-Month-Hour'!Z$582*'LBMP_by_Year-Month-Hour'!Z605)*Z38/$C$6/24</f>
        <v>37822.752481166994</v>
      </c>
      <c r="AB69">
        <v>19</v>
      </c>
      <c r="AC69">
        <f>SUM($B$19*'LBMP_by_Year-Month-Hour'!AC$70*'LBMP_by_Year-Month-Hour'!AC93,$B$20*'LBMP_by_Year-Month-Hour'!AC$102*'LBMP_by_Year-Month-Hour'!AC125,$B$21*'LBMP_by_Year-Month-Hour'!AC$134*'LBMP_by_Year-Month-Hour'!AC157,$B$22*'LBMP_by_Year-Month-Hour'!AC$166*'LBMP_by_Year-Month-Hour'!AC189,$B$23*'LBMP_by_Year-Month-Hour'!AC$198*'LBMP_by_Year-Month-Hour'!AC221,$B$24*'LBMP_by_Year-Month-Hour'!AC$230*'LBMP_by_Year-Month-Hour'!AC253,$B$25*'LBMP_by_Year-Month-Hour'!AC$262*'LBMP_by_Year-Month-Hour'!AC285,$B$26*'LBMP_by_Year-Month-Hour'!AC$294*'LBMP_by_Year-Month-Hour'!AC317,$B$27*'LBMP_by_Year-Month-Hour'!AC$326*'LBMP_by_Year-Month-Hour'!AC349,$B$28*'LBMP_by_Year-Month-Hour'!AC$358*'LBMP_by_Year-Month-Hour'!AC381,$B$29*'LBMP_by_Year-Month-Hour'!AC$390*'LBMP_by_Year-Month-Hour'!AC413,$B$30*'LBMP_by_Year-Month-Hour'!AC$422*'LBMP_by_Year-Month-Hour'!AC445,$B$31*'LBMP_by_Year-Month-Hour'!AC$454*'LBMP_by_Year-Month-Hour'!AC477,$B$32*'LBMP_by_Year-Month-Hour'!AC$486*'LBMP_by_Year-Month-Hour'!AC509,$B$33*'LBMP_by_Year-Month-Hour'!AC$518*'LBMP_by_Year-Month-Hour'!AC541,$B$34*'LBMP_by_Year-Month-Hour'!AC$550*'LBMP_by_Year-Month-Hour'!AC573,$B$35*'LBMP_by_Year-Month-Hour'!AC$582*'LBMP_by_Year-Month-Hour'!AC605)*AC38/$C$6/24</f>
        <v>33901.624380284185</v>
      </c>
      <c r="AE69">
        <v>19</v>
      </c>
      <c r="AF69">
        <f>SUM($B$19*'LBMP_by_Year-Month-Hour'!AF$70*'LBMP_by_Year-Month-Hour'!AF93,$B$20*'LBMP_by_Year-Month-Hour'!AF$102*'LBMP_by_Year-Month-Hour'!AF125,$B$21*'LBMP_by_Year-Month-Hour'!AF$134*'LBMP_by_Year-Month-Hour'!AF157,$B$22*'LBMP_by_Year-Month-Hour'!AF$166*'LBMP_by_Year-Month-Hour'!AF189,$B$23*'LBMP_by_Year-Month-Hour'!AF$198*'LBMP_by_Year-Month-Hour'!AF221,$B$24*'LBMP_by_Year-Month-Hour'!AF$230*'LBMP_by_Year-Month-Hour'!AF253,$B$25*'LBMP_by_Year-Month-Hour'!AF$262*'LBMP_by_Year-Month-Hour'!AF285,$B$26*'LBMP_by_Year-Month-Hour'!AF$294*'LBMP_by_Year-Month-Hour'!AF317,$B$27*'LBMP_by_Year-Month-Hour'!AF$326*'LBMP_by_Year-Month-Hour'!AF349,$B$28*'LBMP_by_Year-Month-Hour'!AF$358*'LBMP_by_Year-Month-Hour'!AF381,$B$29*'LBMP_by_Year-Month-Hour'!AF$390*'LBMP_by_Year-Month-Hour'!AF413,$B$30*'LBMP_by_Year-Month-Hour'!AF$422*'LBMP_by_Year-Month-Hour'!AF445,$B$31*'LBMP_by_Year-Month-Hour'!AF$454*'LBMP_by_Year-Month-Hour'!AF477,$B$32*'LBMP_by_Year-Month-Hour'!AF$486*'LBMP_by_Year-Month-Hour'!AF509,$B$33*'LBMP_by_Year-Month-Hour'!AF$518*'LBMP_by_Year-Month-Hour'!AF541,$B$34*'LBMP_by_Year-Month-Hour'!AF$550*'LBMP_by_Year-Month-Hour'!AF573,$B$35*'LBMP_by_Year-Month-Hour'!AF$582*'LBMP_by_Year-Month-Hour'!AF605)*AF38/$C$6/24</f>
        <v>0</v>
      </c>
      <c r="AH69">
        <v>19</v>
      </c>
      <c r="AI69">
        <f>SUM($B$19*'LBMP_by_Year-Month-Hour'!AI$70*'LBMP_by_Year-Month-Hour'!AI93,$B$20*'LBMP_by_Year-Month-Hour'!AI$102*'LBMP_by_Year-Month-Hour'!AI125,$B$21*'LBMP_by_Year-Month-Hour'!AI$134*'LBMP_by_Year-Month-Hour'!AI157,$B$22*'LBMP_by_Year-Month-Hour'!AI$166*'LBMP_by_Year-Month-Hour'!AI189,$B$23*'LBMP_by_Year-Month-Hour'!AI$198*'LBMP_by_Year-Month-Hour'!AI221,$B$24*'LBMP_by_Year-Month-Hour'!AI$230*'LBMP_by_Year-Month-Hour'!AI253,$B$25*'LBMP_by_Year-Month-Hour'!AI$262*'LBMP_by_Year-Month-Hour'!AI285,$B$26*'LBMP_by_Year-Month-Hour'!AI$294*'LBMP_by_Year-Month-Hour'!AI317,$B$27*'LBMP_by_Year-Month-Hour'!AI$326*'LBMP_by_Year-Month-Hour'!AI349,$B$28*'LBMP_by_Year-Month-Hour'!AI$358*'LBMP_by_Year-Month-Hour'!AI381,$B$29*'LBMP_by_Year-Month-Hour'!AI$390*'LBMP_by_Year-Month-Hour'!AI413,$B$30*'LBMP_by_Year-Month-Hour'!AI$422*'LBMP_by_Year-Month-Hour'!AI445,$B$31*'LBMP_by_Year-Month-Hour'!AI$454*'LBMP_by_Year-Month-Hour'!AI477,$B$32*'LBMP_by_Year-Month-Hour'!AI$486*'LBMP_by_Year-Month-Hour'!AI509,$B$33*'LBMP_by_Year-Month-Hour'!AI$518*'LBMP_by_Year-Month-Hour'!AI541,$B$34*'LBMP_by_Year-Month-Hour'!AI$550*'LBMP_by_Year-Month-Hour'!AI573,$B$35*'LBMP_by_Year-Month-Hour'!AI$582*'LBMP_by_Year-Month-Hour'!AI605)*AI38/$C$6/24</f>
        <v>0</v>
      </c>
      <c r="AK69">
        <v>19</v>
      </c>
      <c r="AL69">
        <f>SUM($B$19*'LBMP_by_Year-Month-Hour'!AL$70*'LBMP_by_Year-Month-Hour'!AL93,$B$20*'LBMP_by_Year-Month-Hour'!AL$102*'LBMP_by_Year-Month-Hour'!AL125,$B$21*'LBMP_by_Year-Month-Hour'!AL$134*'LBMP_by_Year-Month-Hour'!AL157,$B$22*'LBMP_by_Year-Month-Hour'!AL$166*'LBMP_by_Year-Month-Hour'!AL189,$B$23*'LBMP_by_Year-Month-Hour'!AL$198*'LBMP_by_Year-Month-Hour'!AL221,$B$24*'LBMP_by_Year-Month-Hour'!AL$230*'LBMP_by_Year-Month-Hour'!AL253,$B$25*'LBMP_by_Year-Month-Hour'!AL$262*'LBMP_by_Year-Month-Hour'!AL285,$B$26*'LBMP_by_Year-Month-Hour'!AL$294*'LBMP_by_Year-Month-Hour'!AL317,$B$27*'LBMP_by_Year-Month-Hour'!AL$326*'LBMP_by_Year-Month-Hour'!AL349,$B$28*'LBMP_by_Year-Month-Hour'!AL$358*'LBMP_by_Year-Month-Hour'!AL381,$B$29*'LBMP_by_Year-Month-Hour'!AL$390*'LBMP_by_Year-Month-Hour'!AL413,$B$30*'LBMP_by_Year-Month-Hour'!AL$422*'LBMP_by_Year-Month-Hour'!AL445,$B$31*'LBMP_by_Year-Month-Hour'!AL$454*'LBMP_by_Year-Month-Hour'!AL477,$B$32*'LBMP_by_Year-Month-Hour'!AL$486*'LBMP_by_Year-Month-Hour'!AL509,$B$33*'LBMP_by_Year-Month-Hour'!AL$518*'LBMP_by_Year-Month-Hour'!AL541,$B$34*'LBMP_by_Year-Month-Hour'!AL$550*'LBMP_by_Year-Month-Hour'!AL573,$B$35*'LBMP_by_Year-Month-Hour'!AL$582*'LBMP_by_Year-Month-Hour'!AL605)*AL38/$C$6/24</f>
        <v>0</v>
      </c>
    </row>
    <row r="70" spans="1:38">
      <c r="A70">
        <v>20</v>
      </c>
      <c r="B70">
        <f t="shared" si="9"/>
        <v>93587.732012987093</v>
      </c>
      <c r="D70">
        <v>20</v>
      </c>
      <c r="E70">
        <f>SUM($B$19*'LBMP_by_Year-Month-Hour'!E$70*'LBMP_by_Year-Month-Hour'!E94,$B$20*'LBMP_by_Year-Month-Hour'!E$102*'LBMP_by_Year-Month-Hour'!E126,$B$21*'LBMP_by_Year-Month-Hour'!E$134*'LBMP_by_Year-Month-Hour'!E158,$B$22*'LBMP_by_Year-Month-Hour'!E$166*'LBMP_by_Year-Month-Hour'!E190,$B$23*'LBMP_by_Year-Month-Hour'!E$198*'LBMP_by_Year-Month-Hour'!E222,$B$24*'LBMP_by_Year-Month-Hour'!E$230*'LBMP_by_Year-Month-Hour'!E254,$B$25*'LBMP_by_Year-Month-Hour'!E$262*'LBMP_by_Year-Month-Hour'!E286,$B$26*'LBMP_by_Year-Month-Hour'!E$294*'LBMP_by_Year-Month-Hour'!E318,$B$27*'LBMP_by_Year-Month-Hour'!E$326*'LBMP_by_Year-Month-Hour'!E350,$B$28*'LBMP_by_Year-Month-Hour'!E$358*'LBMP_by_Year-Month-Hour'!E382,$B$29*'LBMP_by_Year-Month-Hour'!E$390*'LBMP_by_Year-Month-Hour'!E414,$B$30*'LBMP_by_Year-Month-Hour'!E$422*'LBMP_by_Year-Month-Hour'!E446,$B$31*'LBMP_by_Year-Month-Hour'!E$454*'LBMP_by_Year-Month-Hour'!E478,$B$32*'LBMP_by_Year-Month-Hour'!E$486*'LBMP_by_Year-Month-Hour'!E510,$B$33*'LBMP_by_Year-Month-Hour'!E$518*'LBMP_by_Year-Month-Hour'!E542,$B$34*'LBMP_by_Year-Month-Hour'!E$550*'LBMP_by_Year-Month-Hour'!E574,$B$35*'LBMP_by_Year-Month-Hour'!E$582*'LBMP_by_Year-Month-Hour'!E606)*E39/$C$6/24</f>
        <v>0</v>
      </c>
      <c r="G70">
        <v>20</v>
      </c>
      <c r="H70">
        <f>SUM($B$19*'LBMP_by_Year-Month-Hour'!H$70*'LBMP_by_Year-Month-Hour'!H94,$B$20*'LBMP_by_Year-Month-Hour'!H$102*'LBMP_by_Year-Month-Hour'!H126,$B$21*'LBMP_by_Year-Month-Hour'!H$134*'LBMP_by_Year-Month-Hour'!H158,$B$22*'LBMP_by_Year-Month-Hour'!H$166*'LBMP_by_Year-Month-Hour'!H190,$B$23*'LBMP_by_Year-Month-Hour'!H$198*'LBMP_by_Year-Month-Hour'!H222,$B$24*'LBMP_by_Year-Month-Hour'!H$230*'LBMP_by_Year-Month-Hour'!H254,$B$25*'LBMP_by_Year-Month-Hour'!H$262*'LBMP_by_Year-Month-Hour'!H286,$B$26*'LBMP_by_Year-Month-Hour'!H$294*'LBMP_by_Year-Month-Hour'!H318,$B$27*'LBMP_by_Year-Month-Hour'!H$326*'LBMP_by_Year-Month-Hour'!H350,$B$28*'LBMP_by_Year-Month-Hour'!H$358*'LBMP_by_Year-Month-Hour'!H382,$B$29*'LBMP_by_Year-Month-Hour'!H$390*'LBMP_by_Year-Month-Hour'!H414,$B$30*'LBMP_by_Year-Month-Hour'!H$422*'LBMP_by_Year-Month-Hour'!H446,$B$31*'LBMP_by_Year-Month-Hour'!H$454*'LBMP_by_Year-Month-Hour'!H478,$B$32*'LBMP_by_Year-Month-Hour'!H$486*'LBMP_by_Year-Month-Hour'!H510,$B$33*'LBMP_by_Year-Month-Hour'!H$518*'LBMP_by_Year-Month-Hour'!H542,$B$34*'LBMP_by_Year-Month-Hour'!H$550*'LBMP_by_Year-Month-Hour'!H574,$B$35*'LBMP_by_Year-Month-Hour'!H$582*'LBMP_by_Year-Month-Hour'!H606)*H39/$C$6/24</f>
        <v>0</v>
      </c>
      <c r="J70">
        <v>20</v>
      </c>
      <c r="K70">
        <f>SUM($B$19*'LBMP_by_Year-Month-Hour'!K$70*'LBMP_by_Year-Month-Hour'!K94,$B$20*'LBMP_by_Year-Month-Hour'!K$102*'LBMP_by_Year-Month-Hour'!K126,$B$21*'LBMP_by_Year-Month-Hour'!K$134*'LBMP_by_Year-Month-Hour'!K158,$B$22*'LBMP_by_Year-Month-Hour'!K$166*'LBMP_by_Year-Month-Hour'!K190,$B$23*'LBMP_by_Year-Month-Hour'!K$198*'LBMP_by_Year-Month-Hour'!K222,$B$24*'LBMP_by_Year-Month-Hour'!K$230*'LBMP_by_Year-Month-Hour'!K254,$B$25*'LBMP_by_Year-Month-Hour'!K$262*'LBMP_by_Year-Month-Hour'!K286,$B$26*'LBMP_by_Year-Month-Hour'!K$294*'LBMP_by_Year-Month-Hour'!K318,$B$27*'LBMP_by_Year-Month-Hour'!K$326*'LBMP_by_Year-Month-Hour'!K350,$B$28*'LBMP_by_Year-Month-Hour'!K$358*'LBMP_by_Year-Month-Hour'!K382,$B$29*'LBMP_by_Year-Month-Hour'!K$390*'LBMP_by_Year-Month-Hour'!K414,$B$30*'LBMP_by_Year-Month-Hour'!K$422*'LBMP_by_Year-Month-Hour'!K446,$B$31*'LBMP_by_Year-Month-Hour'!K$454*'LBMP_by_Year-Month-Hour'!K478,$B$32*'LBMP_by_Year-Month-Hour'!K$486*'LBMP_by_Year-Month-Hour'!K510,$B$33*'LBMP_by_Year-Month-Hour'!K$518*'LBMP_by_Year-Month-Hour'!K542,$B$34*'LBMP_by_Year-Month-Hour'!K$550*'LBMP_by_Year-Month-Hour'!K574,$B$35*'LBMP_by_Year-Month-Hour'!K$582*'LBMP_by_Year-Month-Hour'!K606)*K39/$C$6/24</f>
        <v>0</v>
      </c>
      <c r="M70">
        <v>20</v>
      </c>
      <c r="N70">
        <f>SUM($B$19*'LBMP_by_Year-Month-Hour'!N$70*'LBMP_by_Year-Month-Hour'!N94,$B$20*'LBMP_by_Year-Month-Hour'!N$102*'LBMP_by_Year-Month-Hour'!N126,$B$21*'LBMP_by_Year-Month-Hour'!N$134*'LBMP_by_Year-Month-Hour'!N158,$B$22*'LBMP_by_Year-Month-Hour'!N$166*'LBMP_by_Year-Month-Hour'!N190,$B$23*'LBMP_by_Year-Month-Hour'!N$198*'LBMP_by_Year-Month-Hour'!N222,$B$24*'LBMP_by_Year-Month-Hour'!N$230*'LBMP_by_Year-Month-Hour'!N254,$B$25*'LBMP_by_Year-Month-Hour'!N$262*'LBMP_by_Year-Month-Hour'!N286,$B$26*'LBMP_by_Year-Month-Hour'!N$294*'LBMP_by_Year-Month-Hour'!N318,$B$27*'LBMP_by_Year-Month-Hour'!N$326*'LBMP_by_Year-Month-Hour'!N350,$B$28*'LBMP_by_Year-Month-Hour'!N$358*'LBMP_by_Year-Month-Hour'!N382,$B$29*'LBMP_by_Year-Month-Hour'!N$390*'LBMP_by_Year-Month-Hour'!N414,$B$30*'LBMP_by_Year-Month-Hour'!N$422*'LBMP_by_Year-Month-Hour'!N446,$B$31*'LBMP_by_Year-Month-Hour'!N$454*'LBMP_by_Year-Month-Hour'!N478,$B$32*'LBMP_by_Year-Month-Hour'!N$486*'LBMP_by_Year-Month-Hour'!N510,$B$33*'LBMP_by_Year-Month-Hour'!N$518*'LBMP_by_Year-Month-Hour'!N542,$B$34*'LBMP_by_Year-Month-Hour'!N$550*'LBMP_by_Year-Month-Hour'!N574,$B$35*'LBMP_by_Year-Month-Hour'!N$582*'LBMP_by_Year-Month-Hour'!N606)*N39/$C$6/24</f>
        <v>0</v>
      </c>
      <c r="P70">
        <v>20</v>
      </c>
      <c r="Q70">
        <f>SUM($B$19*'LBMP_by_Year-Month-Hour'!Q$70*'LBMP_by_Year-Month-Hour'!Q94,$B$20*'LBMP_by_Year-Month-Hour'!Q$102*'LBMP_by_Year-Month-Hour'!Q126,$B$21*'LBMP_by_Year-Month-Hour'!Q$134*'LBMP_by_Year-Month-Hour'!Q158,$B$22*'LBMP_by_Year-Month-Hour'!Q$166*'LBMP_by_Year-Month-Hour'!Q190,$B$23*'LBMP_by_Year-Month-Hour'!Q$198*'LBMP_by_Year-Month-Hour'!Q222,$B$24*'LBMP_by_Year-Month-Hour'!Q$230*'LBMP_by_Year-Month-Hour'!Q254,$B$25*'LBMP_by_Year-Month-Hour'!Q$262*'LBMP_by_Year-Month-Hour'!Q286,$B$26*'LBMP_by_Year-Month-Hour'!Q$294*'LBMP_by_Year-Month-Hour'!Q318,$B$27*'LBMP_by_Year-Month-Hour'!Q$326*'LBMP_by_Year-Month-Hour'!Q350,$B$28*'LBMP_by_Year-Month-Hour'!Q$358*'LBMP_by_Year-Month-Hour'!Q382,$B$29*'LBMP_by_Year-Month-Hour'!Q$390*'LBMP_by_Year-Month-Hour'!Q414,$B$30*'LBMP_by_Year-Month-Hour'!Q$422*'LBMP_by_Year-Month-Hour'!Q446,$B$31*'LBMP_by_Year-Month-Hour'!Q$454*'LBMP_by_Year-Month-Hour'!Q478,$B$32*'LBMP_by_Year-Month-Hour'!Q$486*'LBMP_by_Year-Month-Hour'!Q510,$B$33*'LBMP_by_Year-Month-Hour'!Q$518*'LBMP_by_Year-Month-Hour'!Q542,$B$34*'LBMP_by_Year-Month-Hour'!Q$550*'LBMP_by_Year-Month-Hour'!Q574,$B$35*'LBMP_by_Year-Month-Hour'!Q$582*'LBMP_by_Year-Month-Hour'!Q606)*Q39/$C$6/24</f>
        <v>0</v>
      </c>
      <c r="S70">
        <v>20</v>
      </c>
      <c r="T70">
        <f>SUM($B$19*'LBMP_by_Year-Month-Hour'!T$70*'LBMP_by_Year-Month-Hour'!T94,$B$20*'LBMP_by_Year-Month-Hour'!T$102*'LBMP_by_Year-Month-Hour'!T126,$B$21*'LBMP_by_Year-Month-Hour'!T$134*'LBMP_by_Year-Month-Hour'!T158,$B$22*'LBMP_by_Year-Month-Hour'!T$166*'LBMP_by_Year-Month-Hour'!T190,$B$23*'LBMP_by_Year-Month-Hour'!T$198*'LBMP_by_Year-Month-Hour'!T222,$B$24*'LBMP_by_Year-Month-Hour'!T$230*'LBMP_by_Year-Month-Hour'!T254,$B$25*'LBMP_by_Year-Month-Hour'!T$262*'LBMP_by_Year-Month-Hour'!T286,$B$26*'LBMP_by_Year-Month-Hour'!T$294*'LBMP_by_Year-Month-Hour'!T318,$B$27*'LBMP_by_Year-Month-Hour'!T$326*'LBMP_by_Year-Month-Hour'!T350,$B$28*'LBMP_by_Year-Month-Hour'!T$358*'LBMP_by_Year-Month-Hour'!T382,$B$29*'LBMP_by_Year-Month-Hour'!T$390*'LBMP_by_Year-Month-Hour'!T414,$B$30*'LBMP_by_Year-Month-Hour'!T$422*'LBMP_by_Year-Month-Hour'!T446,$B$31*'LBMP_by_Year-Month-Hour'!T$454*'LBMP_by_Year-Month-Hour'!T478,$B$32*'LBMP_by_Year-Month-Hour'!T$486*'LBMP_by_Year-Month-Hour'!T510,$B$33*'LBMP_by_Year-Month-Hour'!T$518*'LBMP_by_Year-Month-Hour'!T542,$B$34*'LBMP_by_Year-Month-Hour'!T$550*'LBMP_by_Year-Month-Hour'!T574,$B$35*'LBMP_by_Year-Month-Hour'!T$582*'LBMP_by_Year-Month-Hour'!T606)*T39/$C$6/24</f>
        <v>20090.973820875053</v>
      </c>
      <c r="V70">
        <v>20</v>
      </c>
      <c r="W70">
        <f>SUM($B$19*'LBMP_by_Year-Month-Hour'!W$70*'LBMP_by_Year-Month-Hour'!W94,$B$20*'LBMP_by_Year-Month-Hour'!W$102*'LBMP_by_Year-Month-Hour'!W126,$B$21*'LBMP_by_Year-Month-Hour'!W$134*'LBMP_by_Year-Month-Hour'!W158,$B$22*'LBMP_by_Year-Month-Hour'!W$166*'LBMP_by_Year-Month-Hour'!W190,$B$23*'LBMP_by_Year-Month-Hour'!W$198*'LBMP_by_Year-Month-Hour'!W222,$B$24*'LBMP_by_Year-Month-Hour'!W$230*'LBMP_by_Year-Month-Hour'!W254,$B$25*'LBMP_by_Year-Month-Hour'!W$262*'LBMP_by_Year-Month-Hour'!W286,$B$26*'LBMP_by_Year-Month-Hour'!W$294*'LBMP_by_Year-Month-Hour'!W318,$B$27*'LBMP_by_Year-Month-Hour'!W$326*'LBMP_by_Year-Month-Hour'!W350,$B$28*'LBMP_by_Year-Month-Hour'!W$358*'LBMP_by_Year-Month-Hour'!W382,$B$29*'LBMP_by_Year-Month-Hour'!W$390*'LBMP_by_Year-Month-Hour'!W414,$B$30*'LBMP_by_Year-Month-Hour'!W$422*'LBMP_by_Year-Month-Hour'!W446,$B$31*'LBMP_by_Year-Month-Hour'!W$454*'LBMP_by_Year-Month-Hour'!W478,$B$32*'LBMP_by_Year-Month-Hour'!W$486*'LBMP_by_Year-Month-Hour'!W510,$B$33*'LBMP_by_Year-Month-Hour'!W$518*'LBMP_by_Year-Month-Hour'!W542,$B$34*'LBMP_by_Year-Month-Hour'!W$550*'LBMP_by_Year-Month-Hour'!W574,$B$35*'LBMP_by_Year-Month-Hour'!W$582*'LBMP_by_Year-Month-Hour'!W606)*W39/$C$6/24</f>
        <v>25376.058589451528</v>
      </c>
      <c r="Y70">
        <v>20</v>
      </c>
      <c r="Z70">
        <f>SUM($B$19*'LBMP_by_Year-Month-Hour'!Z$70*'LBMP_by_Year-Month-Hour'!Z94,$B$20*'LBMP_by_Year-Month-Hour'!Z$102*'LBMP_by_Year-Month-Hour'!Z126,$B$21*'LBMP_by_Year-Month-Hour'!Z$134*'LBMP_by_Year-Month-Hour'!Z158,$B$22*'LBMP_by_Year-Month-Hour'!Z$166*'LBMP_by_Year-Month-Hour'!Z190,$B$23*'LBMP_by_Year-Month-Hour'!Z$198*'LBMP_by_Year-Month-Hour'!Z222,$B$24*'LBMP_by_Year-Month-Hour'!Z$230*'LBMP_by_Year-Month-Hour'!Z254,$B$25*'LBMP_by_Year-Month-Hour'!Z$262*'LBMP_by_Year-Month-Hour'!Z286,$B$26*'LBMP_by_Year-Month-Hour'!Z$294*'LBMP_by_Year-Month-Hour'!Z318,$B$27*'LBMP_by_Year-Month-Hour'!Z$326*'LBMP_by_Year-Month-Hour'!Z350,$B$28*'LBMP_by_Year-Month-Hour'!Z$358*'LBMP_by_Year-Month-Hour'!Z382,$B$29*'LBMP_by_Year-Month-Hour'!Z$390*'LBMP_by_Year-Month-Hour'!Z414,$B$30*'LBMP_by_Year-Month-Hour'!Z$422*'LBMP_by_Year-Month-Hour'!Z446,$B$31*'LBMP_by_Year-Month-Hour'!Z$454*'LBMP_by_Year-Month-Hour'!Z478,$B$32*'LBMP_by_Year-Month-Hour'!Z$486*'LBMP_by_Year-Month-Hour'!Z510,$B$33*'LBMP_by_Year-Month-Hour'!Z$518*'LBMP_by_Year-Month-Hour'!Z542,$B$34*'LBMP_by_Year-Month-Hour'!Z$550*'LBMP_by_Year-Month-Hour'!Z574,$B$35*'LBMP_by_Year-Month-Hour'!Z$582*'LBMP_by_Year-Month-Hour'!Z606)*Z39/$C$6/24</f>
        <v>25563.51779890055</v>
      </c>
      <c r="AB70">
        <v>20</v>
      </c>
      <c r="AC70">
        <f>SUM($B$19*'LBMP_by_Year-Month-Hour'!AC$70*'LBMP_by_Year-Month-Hour'!AC94,$B$20*'LBMP_by_Year-Month-Hour'!AC$102*'LBMP_by_Year-Month-Hour'!AC126,$B$21*'LBMP_by_Year-Month-Hour'!AC$134*'LBMP_by_Year-Month-Hour'!AC158,$B$22*'LBMP_by_Year-Month-Hour'!AC$166*'LBMP_by_Year-Month-Hour'!AC190,$B$23*'LBMP_by_Year-Month-Hour'!AC$198*'LBMP_by_Year-Month-Hour'!AC222,$B$24*'LBMP_by_Year-Month-Hour'!AC$230*'LBMP_by_Year-Month-Hour'!AC254,$B$25*'LBMP_by_Year-Month-Hour'!AC$262*'LBMP_by_Year-Month-Hour'!AC286,$B$26*'LBMP_by_Year-Month-Hour'!AC$294*'LBMP_by_Year-Month-Hour'!AC318,$B$27*'LBMP_by_Year-Month-Hour'!AC$326*'LBMP_by_Year-Month-Hour'!AC350,$B$28*'LBMP_by_Year-Month-Hour'!AC$358*'LBMP_by_Year-Month-Hour'!AC382,$B$29*'LBMP_by_Year-Month-Hour'!AC$390*'LBMP_by_Year-Month-Hour'!AC414,$B$30*'LBMP_by_Year-Month-Hour'!AC$422*'LBMP_by_Year-Month-Hour'!AC446,$B$31*'LBMP_by_Year-Month-Hour'!AC$454*'LBMP_by_Year-Month-Hour'!AC478,$B$32*'LBMP_by_Year-Month-Hour'!AC$486*'LBMP_by_Year-Month-Hour'!AC510,$B$33*'LBMP_by_Year-Month-Hour'!AC$518*'LBMP_by_Year-Month-Hour'!AC542,$B$34*'LBMP_by_Year-Month-Hour'!AC$550*'LBMP_by_Year-Month-Hour'!AC574,$B$35*'LBMP_by_Year-Month-Hour'!AC$582*'LBMP_by_Year-Month-Hour'!AC606)*AC39/$C$6/24</f>
        <v>22557.181803759959</v>
      </c>
      <c r="AE70">
        <v>20</v>
      </c>
      <c r="AF70">
        <f>SUM($B$19*'LBMP_by_Year-Month-Hour'!AF$70*'LBMP_by_Year-Month-Hour'!AF94,$B$20*'LBMP_by_Year-Month-Hour'!AF$102*'LBMP_by_Year-Month-Hour'!AF126,$B$21*'LBMP_by_Year-Month-Hour'!AF$134*'LBMP_by_Year-Month-Hour'!AF158,$B$22*'LBMP_by_Year-Month-Hour'!AF$166*'LBMP_by_Year-Month-Hour'!AF190,$B$23*'LBMP_by_Year-Month-Hour'!AF$198*'LBMP_by_Year-Month-Hour'!AF222,$B$24*'LBMP_by_Year-Month-Hour'!AF$230*'LBMP_by_Year-Month-Hour'!AF254,$B$25*'LBMP_by_Year-Month-Hour'!AF$262*'LBMP_by_Year-Month-Hour'!AF286,$B$26*'LBMP_by_Year-Month-Hour'!AF$294*'LBMP_by_Year-Month-Hour'!AF318,$B$27*'LBMP_by_Year-Month-Hour'!AF$326*'LBMP_by_Year-Month-Hour'!AF350,$B$28*'LBMP_by_Year-Month-Hour'!AF$358*'LBMP_by_Year-Month-Hour'!AF382,$B$29*'LBMP_by_Year-Month-Hour'!AF$390*'LBMP_by_Year-Month-Hour'!AF414,$B$30*'LBMP_by_Year-Month-Hour'!AF$422*'LBMP_by_Year-Month-Hour'!AF446,$B$31*'LBMP_by_Year-Month-Hour'!AF$454*'LBMP_by_Year-Month-Hour'!AF478,$B$32*'LBMP_by_Year-Month-Hour'!AF$486*'LBMP_by_Year-Month-Hour'!AF510,$B$33*'LBMP_by_Year-Month-Hour'!AF$518*'LBMP_by_Year-Month-Hour'!AF542,$B$34*'LBMP_by_Year-Month-Hour'!AF$550*'LBMP_by_Year-Month-Hour'!AF574,$B$35*'LBMP_by_Year-Month-Hour'!AF$582*'LBMP_by_Year-Month-Hour'!AF606)*AF39/$C$6/24</f>
        <v>0</v>
      </c>
      <c r="AH70">
        <v>20</v>
      </c>
      <c r="AI70">
        <f>SUM($B$19*'LBMP_by_Year-Month-Hour'!AI$70*'LBMP_by_Year-Month-Hour'!AI94,$B$20*'LBMP_by_Year-Month-Hour'!AI$102*'LBMP_by_Year-Month-Hour'!AI126,$B$21*'LBMP_by_Year-Month-Hour'!AI$134*'LBMP_by_Year-Month-Hour'!AI158,$B$22*'LBMP_by_Year-Month-Hour'!AI$166*'LBMP_by_Year-Month-Hour'!AI190,$B$23*'LBMP_by_Year-Month-Hour'!AI$198*'LBMP_by_Year-Month-Hour'!AI222,$B$24*'LBMP_by_Year-Month-Hour'!AI$230*'LBMP_by_Year-Month-Hour'!AI254,$B$25*'LBMP_by_Year-Month-Hour'!AI$262*'LBMP_by_Year-Month-Hour'!AI286,$B$26*'LBMP_by_Year-Month-Hour'!AI$294*'LBMP_by_Year-Month-Hour'!AI318,$B$27*'LBMP_by_Year-Month-Hour'!AI$326*'LBMP_by_Year-Month-Hour'!AI350,$B$28*'LBMP_by_Year-Month-Hour'!AI$358*'LBMP_by_Year-Month-Hour'!AI382,$B$29*'LBMP_by_Year-Month-Hour'!AI$390*'LBMP_by_Year-Month-Hour'!AI414,$B$30*'LBMP_by_Year-Month-Hour'!AI$422*'LBMP_by_Year-Month-Hour'!AI446,$B$31*'LBMP_by_Year-Month-Hour'!AI$454*'LBMP_by_Year-Month-Hour'!AI478,$B$32*'LBMP_by_Year-Month-Hour'!AI$486*'LBMP_by_Year-Month-Hour'!AI510,$B$33*'LBMP_by_Year-Month-Hour'!AI$518*'LBMP_by_Year-Month-Hour'!AI542,$B$34*'LBMP_by_Year-Month-Hour'!AI$550*'LBMP_by_Year-Month-Hour'!AI574,$B$35*'LBMP_by_Year-Month-Hour'!AI$582*'LBMP_by_Year-Month-Hour'!AI606)*AI39/$C$6/24</f>
        <v>0</v>
      </c>
      <c r="AK70">
        <v>20</v>
      </c>
      <c r="AL70">
        <f>SUM($B$19*'LBMP_by_Year-Month-Hour'!AL$70*'LBMP_by_Year-Month-Hour'!AL94,$B$20*'LBMP_by_Year-Month-Hour'!AL$102*'LBMP_by_Year-Month-Hour'!AL126,$B$21*'LBMP_by_Year-Month-Hour'!AL$134*'LBMP_by_Year-Month-Hour'!AL158,$B$22*'LBMP_by_Year-Month-Hour'!AL$166*'LBMP_by_Year-Month-Hour'!AL190,$B$23*'LBMP_by_Year-Month-Hour'!AL$198*'LBMP_by_Year-Month-Hour'!AL222,$B$24*'LBMP_by_Year-Month-Hour'!AL$230*'LBMP_by_Year-Month-Hour'!AL254,$B$25*'LBMP_by_Year-Month-Hour'!AL$262*'LBMP_by_Year-Month-Hour'!AL286,$B$26*'LBMP_by_Year-Month-Hour'!AL$294*'LBMP_by_Year-Month-Hour'!AL318,$B$27*'LBMP_by_Year-Month-Hour'!AL$326*'LBMP_by_Year-Month-Hour'!AL350,$B$28*'LBMP_by_Year-Month-Hour'!AL$358*'LBMP_by_Year-Month-Hour'!AL382,$B$29*'LBMP_by_Year-Month-Hour'!AL$390*'LBMP_by_Year-Month-Hour'!AL414,$B$30*'LBMP_by_Year-Month-Hour'!AL$422*'LBMP_by_Year-Month-Hour'!AL446,$B$31*'LBMP_by_Year-Month-Hour'!AL$454*'LBMP_by_Year-Month-Hour'!AL478,$B$32*'LBMP_by_Year-Month-Hour'!AL$486*'LBMP_by_Year-Month-Hour'!AL510,$B$33*'LBMP_by_Year-Month-Hour'!AL$518*'LBMP_by_Year-Month-Hour'!AL542,$B$34*'LBMP_by_Year-Month-Hour'!AL$550*'LBMP_by_Year-Month-Hour'!AL574,$B$35*'LBMP_by_Year-Month-Hour'!AL$582*'LBMP_by_Year-Month-Hour'!AL606)*AL39/$C$6/24</f>
        <v>0</v>
      </c>
    </row>
    <row r="71" spans="1:38">
      <c r="A71">
        <v>21</v>
      </c>
      <c r="B71">
        <f t="shared" si="9"/>
        <v>32477.635738060548</v>
      </c>
      <c r="D71">
        <v>21</v>
      </c>
      <c r="E71">
        <f>SUM($B$19*'LBMP_by_Year-Month-Hour'!E$70*'LBMP_by_Year-Month-Hour'!E95,$B$20*'LBMP_by_Year-Month-Hour'!E$102*'LBMP_by_Year-Month-Hour'!E127,$B$21*'LBMP_by_Year-Month-Hour'!E$134*'LBMP_by_Year-Month-Hour'!E159,$B$22*'LBMP_by_Year-Month-Hour'!E$166*'LBMP_by_Year-Month-Hour'!E191,$B$23*'LBMP_by_Year-Month-Hour'!E$198*'LBMP_by_Year-Month-Hour'!E223,$B$24*'LBMP_by_Year-Month-Hour'!E$230*'LBMP_by_Year-Month-Hour'!E255,$B$25*'LBMP_by_Year-Month-Hour'!E$262*'LBMP_by_Year-Month-Hour'!E287,$B$26*'LBMP_by_Year-Month-Hour'!E$294*'LBMP_by_Year-Month-Hour'!E319,$B$27*'LBMP_by_Year-Month-Hour'!E$326*'LBMP_by_Year-Month-Hour'!E351,$B$28*'LBMP_by_Year-Month-Hour'!E$358*'LBMP_by_Year-Month-Hour'!E383,$B$29*'LBMP_by_Year-Month-Hour'!E$390*'LBMP_by_Year-Month-Hour'!E415,$B$30*'LBMP_by_Year-Month-Hour'!E$422*'LBMP_by_Year-Month-Hour'!E447,$B$31*'LBMP_by_Year-Month-Hour'!E$454*'LBMP_by_Year-Month-Hour'!E479,$B$32*'LBMP_by_Year-Month-Hour'!E$486*'LBMP_by_Year-Month-Hour'!E511,$B$33*'LBMP_by_Year-Month-Hour'!E$518*'LBMP_by_Year-Month-Hour'!E543,$B$34*'LBMP_by_Year-Month-Hour'!E$550*'LBMP_by_Year-Month-Hour'!E575,$B$35*'LBMP_by_Year-Month-Hour'!E$582*'LBMP_by_Year-Month-Hour'!E607)*E40/$C$6/24</f>
        <v>0</v>
      </c>
      <c r="G71">
        <v>21</v>
      </c>
      <c r="H71">
        <f>SUM($B$19*'LBMP_by_Year-Month-Hour'!H$70*'LBMP_by_Year-Month-Hour'!H95,$B$20*'LBMP_by_Year-Month-Hour'!H$102*'LBMP_by_Year-Month-Hour'!H127,$B$21*'LBMP_by_Year-Month-Hour'!H$134*'LBMP_by_Year-Month-Hour'!H159,$B$22*'LBMP_by_Year-Month-Hour'!H$166*'LBMP_by_Year-Month-Hour'!H191,$B$23*'LBMP_by_Year-Month-Hour'!H$198*'LBMP_by_Year-Month-Hour'!H223,$B$24*'LBMP_by_Year-Month-Hour'!H$230*'LBMP_by_Year-Month-Hour'!H255,$B$25*'LBMP_by_Year-Month-Hour'!H$262*'LBMP_by_Year-Month-Hour'!H287,$B$26*'LBMP_by_Year-Month-Hour'!H$294*'LBMP_by_Year-Month-Hour'!H319,$B$27*'LBMP_by_Year-Month-Hour'!H$326*'LBMP_by_Year-Month-Hour'!H351,$B$28*'LBMP_by_Year-Month-Hour'!H$358*'LBMP_by_Year-Month-Hour'!H383,$B$29*'LBMP_by_Year-Month-Hour'!H$390*'LBMP_by_Year-Month-Hour'!H415,$B$30*'LBMP_by_Year-Month-Hour'!H$422*'LBMP_by_Year-Month-Hour'!H447,$B$31*'LBMP_by_Year-Month-Hour'!H$454*'LBMP_by_Year-Month-Hour'!H479,$B$32*'LBMP_by_Year-Month-Hour'!H$486*'LBMP_by_Year-Month-Hour'!H511,$B$33*'LBMP_by_Year-Month-Hour'!H$518*'LBMP_by_Year-Month-Hour'!H543,$B$34*'LBMP_by_Year-Month-Hour'!H$550*'LBMP_by_Year-Month-Hour'!H575,$B$35*'LBMP_by_Year-Month-Hour'!H$582*'LBMP_by_Year-Month-Hour'!H607)*H40/$C$6/24</f>
        <v>0</v>
      </c>
      <c r="J71">
        <v>21</v>
      </c>
      <c r="K71">
        <f>SUM($B$19*'LBMP_by_Year-Month-Hour'!K$70*'LBMP_by_Year-Month-Hour'!K95,$B$20*'LBMP_by_Year-Month-Hour'!K$102*'LBMP_by_Year-Month-Hour'!K127,$B$21*'LBMP_by_Year-Month-Hour'!K$134*'LBMP_by_Year-Month-Hour'!K159,$B$22*'LBMP_by_Year-Month-Hour'!K$166*'LBMP_by_Year-Month-Hour'!K191,$B$23*'LBMP_by_Year-Month-Hour'!K$198*'LBMP_by_Year-Month-Hour'!K223,$B$24*'LBMP_by_Year-Month-Hour'!K$230*'LBMP_by_Year-Month-Hour'!K255,$B$25*'LBMP_by_Year-Month-Hour'!K$262*'LBMP_by_Year-Month-Hour'!K287,$B$26*'LBMP_by_Year-Month-Hour'!K$294*'LBMP_by_Year-Month-Hour'!K319,$B$27*'LBMP_by_Year-Month-Hour'!K$326*'LBMP_by_Year-Month-Hour'!K351,$B$28*'LBMP_by_Year-Month-Hour'!K$358*'LBMP_by_Year-Month-Hour'!K383,$B$29*'LBMP_by_Year-Month-Hour'!K$390*'LBMP_by_Year-Month-Hour'!K415,$B$30*'LBMP_by_Year-Month-Hour'!K$422*'LBMP_by_Year-Month-Hour'!K447,$B$31*'LBMP_by_Year-Month-Hour'!K$454*'LBMP_by_Year-Month-Hour'!K479,$B$32*'LBMP_by_Year-Month-Hour'!K$486*'LBMP_by_Year-Month-Hour'!K511,$B$33*'LBMP_by_Year-Month-Hour'!K$518*'LBMP_by_Year-Month-Hour'!K543,$B$34*'LBMP_by_Year-Month-Hour'!K$550*'LBMP_by_Year-Month-Hour'!K575,$B$35*'LBMP_by_Year-Month-Hour'!K$582*'LBMP_by_Year-Month-Hour'!K607)*K40/$C$6/24</f>
        <v>0</v>
      </c>
      <c r="M71">
        <v>21</v>
      </c>
      <c r="N71">
        <f>SUM($B$19*'LBMP_by_Year-Month-Hour'!N$70*'LBMP_by_Year-Month-Hour'!N95,$B$20*'LBMP_by_Year-Month-Hour'!N$102*'LBMP_by_Year-Month-Hour'!N127,$B$21*'LBMP_by_Year-Month-Hour'!N$134*'LBMP_by_Year-Month-Hour'!N159,$B$22*'LBMP_by_Year-Month-Hour'!N$166*'LBMP_by_Year-Month-Hour'!N191,$B$23*'LBMP_by_Year-Month-Hour'!N$198*'LBMP_by_Year-Month-Hour'!N223,$B$24*'LBMP_by_Year-Month-Hour'!N$230*'LBMP_by_Year-Month-Hour'!N255,$B$25*'LBMP_by_Year-Month-Hour'!N$262*'LBMP_by_Year-Month-Hour'!N287,$B$26*'LBMP_by_Year-Month-Hour'!N$294*'LBMP_by_Year-Month-Hour'!N319,$B$27*'LBMP_by_Year-Month-Hour'!N$326*'LBMP_by_Year-Month-Hour'!N351,$B$28*'LBMP_by_Year-Month-Hour'!N$358*'LBMP_by_Year-Month-Hour'!N383,$B$29*'LBMP_by_Year-Month-Hour'!N$390*'LBMP_by_Year-Month-Hour'!N415,$B$30*'LBMP_by_Year-Month-Hour'!N$422*'LBMP_by_Year-Month-Hour'!N447,$B$31*'LBMP_by_Year-Month-Hour'!N$454*'LBMP_by_Year-Month-Hour'!N479,$B$32*'LBMP_by_Year-Month-Hour'!N$486*'LBMP_by_Year-Month-Hour'!N511,$B$33*'LBMP_by_Year-Month-Hour'!N$518*'LBMP_by_Year-Month-Hour'!N543,$B$34*'LBMP_by_Year-Month-Hour'!N$550*'LBMP_by_Year-Month-Hour'!N575,$B$35*'LBMP_by_Year-Month-Hour'!N$582*'LBMP_by_Year-Month-Hour'!N607)*N40/$C$6/24</f>
        <v>0</v>
      </c>
      <c r="P71">
        <v>21</v>
      </c>
      <c r="Q71">
        <f>SUM($B$19*'LBMP_by_Year-Month-Hour'!Q$70*'LBMP_by_Year-Month-Hour'!Q95,$B$20*'LBMP_by_Year-Month-Hour'!Q$102*'LBMP_by_Year-Month-Hour'!Q127,$B$21*'LBMP_by_Year-Month-Hour'!Q$134*'LBMP_by_Year-Month-Hour'!Q159,$B$22*'LBMP_by_Year-Month-Hour'!Q$166*'LBMP_by_Year-Month-Hour'!Q191,$B$23*'LBMP_by_Year-Month-Hour'!Q$198*'LBMP_by_Year-Month-Hour'!Q223,$B$24*'LBMP_by_Year-Month-Hour'!Q$230*'LBMP_by_Year-Month-Hour'!Q255,$B$25*'LBMP_by_Year-Month-Hour'!Q$262*'LBMP_by_Year-Month-Hour'!Q287,$B$26*'LBMP_by_Year-Month-Hour'!Q$294*'LBMP_by_Year-Month-Hour'!Q319,$B$27*'LBMP_by_Year-Month-Hour'!Q$326*'LBMP_by_Year-Month-Hour'!Q351,$B$28*'LBMP_by_Year-Month-Hour'!Q$358*'LBMP_by_Year-Month-Hour'!Q383,$B$29*'LBMP_by_Year-Month-Hour'!Q$390*'LBMP_by_Year-Month-Hour'!Q415,$B$30*'LBMP_by_Year-Month-Hour'!Q$422*'LBMP_by_Year-Month-Hour'!Q447,$B$31*'LBMP_by_Year-Month-Hour'!Q$454*'LBMP_by_Year-Month-Hour'!Q479,$B$32*'LBMP_by_Year-Month-Hour'!Q$486*'LBMP_by_Year-Month-Hour'!Q511,$B$33*'LBMP_by_Year-Month-Hour'!Q$518*'LBMP_by_Year-Month-Hour'!Q543,$B$34*'LBMP_by_Year-Month-Hour'!Q$550*'LBMP_by_Year-Month-Hour'!Q575,$B$35*'LBMP_by_Year-Month-Hour'!Q$582*'LBMP_by_Year-Month-Hour'!Q607)*Q40/$C$6/24</f>
        <v>0</v>
      </c>
      <c r="S71">
        <v>21</v>
      </c>
      <c r="T71">
        <f>SUM($B$19*'LBMP_by_Year-Month-Hour'!T$70*'LBMP_by_Year-Month-Hour'!T95,$B$20*'LBMP_by_Year-Month-Hour'!T$102*'LBMP_by_Year-Month-Hour'!T127,$B$21*'LBMP_by_Year-Month-Hour'!T$134*'LBMP_by_Year-Month-Hour'!T159,$B$22*'LBMP_by_Year-Month-Hour'!T$166*'LBMP_by_Year-Month-Hour'!T191,$B$23*'LBMP_by_Year-Month-Hour'!T$198*'LBMP_by_Year-Month-Hour'!T223,$B$24*'LBMP_by_Year-Month-Hour'!T$230*'LBMP_by_Year-Month-Hour'!T255,$B$25*'LBMP_by_Year-Month-Hour'!T$262*'LBMP_by_Year-Month-Hour'!T287,$B$26*'LBMP_by_Year-Month-Hour'!T$294*'LBMP_by_Year-Month-Hour'!T319,$B$27*'LBMP_by_Year-Month-Hour'!T$326*'LBMP_by_Year-Month-Hour'!T351,$B$28*'LBMP_by_Year-Month-Hour'!T$358*'LBMP_by_Year-Month-Hour'!T383,$B$29*'LBMP_by_Year-Month-Hour'!T$390*'LBMP_by_Year-Month-Hour'!T415,$B$30*'LBMP_by_Year-Month-Hour'!T$422*'LBMP_by_Year-Month-Hour'!T447,$B$31*'LBMP_by_Year-Month-Hour'!T$454*'LBMP_by_Year-Month-Hour'!T479,$B$32*'LBMP_by_Year-Month-Hour'!T$486*'LBMP_by_Year-Month-Hour'!T511,$B$33*'LBMP_by_Year-Month-Hour'!T$518*'LBMP_by_Year-Month-Hour'!T543,$B$34*'LBMP_by_Year-Month-Hour'!T$550*'LBMP_by_Year-Month-Hour'!T575,$B$35*'LBMP_by_Year-Month-Hour'!T$582*'LBMP_by_Year-Month-Hour'!T607)*T40/$C$6/24</f>
        <v>7300.7748252480742</v>
      </c>
      <c r="V71">
        <v>21</v>
      </c>
      <c r="W71">
        <f>SUM($B$19*'LBMP_by_Year-Month-Hour'!W$70*'LBMP_by_Year-Month-Hour'!W95,$B$20*'LBMP_by_Year-Month-Hour'!W$102*'LBMP_by_Year-Month-Hour'!W127,$B$21*'LBMP_by_Year-Month-Hour'!W$134*'LBMP_by_Year-Month-Hour'!W159,$B$22*'LBMP_by_Year-Month-Hour'!W$166*'LBMP_by_Year-Month-Hour'!W191,$B$23*'LBMP_by_Year-Month-Hour'!W$198*'LBMP_by_Year-Month-Hour'!W223,$B$24*'LBMP_by_Year-Month-Hour'!W$230*'LBMP_by_Year-Month-Hour'!W255,$B$25*'LBMP_by_Year-Month-Hour'!W$262*'LBMP_by_Year-Month-Hour'!W287,$B$26*'LBMP_by_Year-Month-Hour'!W$294*'LBMP_by_Year-Month-Hour'!W319,$B$27*'LBMP_by_Year-Month-Hour'!W$326*'LBMP_by_Year-Month-Hour'!W351,$B$28*'LBMP_by_Year-Month-Hour'!W$358*'LBMP_by_Year-Month-Hour'!W383,$B$29*'LBMP_by_Year-Month-Hour'!W$390*'LBMP_by_Year-Month-Hour'!W415,$B$30*'LBMP_by_Year-Month-Hour'!W$422*'LBMP_by_Year-Month-Hour'!W447,$B$31*'LBMP_by_Year-Month-Hour'!W$454*'LBMP_by_Year-Month-Hour'!W479,$B$32*'LBMP_by_Year-Month-Hour'!W$486*'LBMP_by_Year-Month-Hour'!W511,$B$33*'LBMP_by_Year-Month-Hour'!W$518*'LBMP_by_Year-Month-Hour'!W543,$B$34*'LBMP_by_Year-Month-Hour'!W$550*'LBMP_by_Year-Month-Hour'!W575,$B$35*'LBMP_by_Year-Month-Hour'!W$582*'LBMP_by_Year-Month-Hour'!W607)*W40/$C$6/24</f>
        <v>8971.4268597739974</v>
      </c>
      <c r="Y71">
        <v>21</v>
      </c>
      <c r="Z71">
        <f>SUM($B$19*'LBMP_by_Year-Month-Hour'!Z$70*'LBMP_by_Year-Month-Hour'!Z95,$B$20*'LBMP_by_Year-Month-Hour'!Z$102*'LBMP_by_Year-Month-Hour'!Z127,$B$21*'LBMP_by_Year-Month-Hour'!Z$134*'LBMP_by_Year-Month-Hour'!Z159,$B$22*'LBMP_by_Year-Month-Hour'!Z$166*'LBMP_by_Year-Month-Hour'!Z191,$B$23*'LBMP_by_Year-Month-Hour'!Z$198*'LBMP_by_Year-Month-Hour'!Z223,$B$24*'LBMP_by_Year-Month-Hour'!Z$230*'LBMP_by_Year-Month-Hour'!Z255,$B$25*'LBMP_by_Year-Month-Hour'!Z$262*'LBMP_by_Year-Month-Hour'!Z287,$B$26*'LBMP_by_Year-Month-Hour'!Z$294*'LBMP_by_Year-Month-Hour'!Z319,$B$27*'LBMP_by_Year-Month-Hour'!Z$326*'LBMP_by_Year-Month-Hour'!Z351,$B$28*'LBMP_by_Year-Month-Hour'!Z$358*'LBMP_by_Year-Month-Hour'!Z383,$B$29*'LBMP_by_Year-Month-Hour'!Z$390*'LBMP_by_Year-Month-Hour'!Z415,$B$30*'LBMP_by_Year-Month-Hour'!Z$422*'LBMP_by_Year-Month-Hour'!Z447,$B$31*'LBMP_by_Year-Month-Hour'!Z$454*'LBMP_by_Year-Month-Hour'!Z479,$B$32*'LBMP_by_Year-Month-Hour'!Z$486*'LBMP_by_Year-Month-Hour'!Z511,$B$33*'LBMP_by_Year-Month-Hour'!Z$518*'LBMP_by_Year-Month-Hour'!Z543,$B$34*'LBMP_by_Year-Month-Hour'!Z$550*'LBMP_by_Year-Month-Hour'!Z575,$B$35*'LBMP_by_Year-Month-Hour'!Z$582*'LBMP_by_Year-Month-Hour'!Z607)*Z40/$C$6/24</f>
        <v>8760.3097037219013</v>
      </c>
      <c r="AB71">
        <v>21</v>
      </c>
      <c r="AC71">
        <f>SUM($B$19*'LBMP_by_Year-Month-Hour'!AC$70*'LBMP_by_Year-Month-Hour'!AC95,$B$20*'LBMP_by_Year-Month-Hour'!AC$102*'LBMP_by_Year-Month-Hour'!AC127,$B$21*'LBMP_by_Year-Month-Hour'!AC$134*'LBMP_by_Year-Month-Hour'!AC159,$B$22*'LBMP_by_Year-Month-Hour'!AC$166*'LBMP_by_Year-Month-Hour'!AC191,$B$23*'LBMP_by_Year-Month-Hour'!AC$198*'LBMP_by_Year-Month-Hour'!AC223,$B$24*'LBMP_by_Year-Month-Hour'!AC$230*'LBMP_by_Year-Month-Hour'!AC255,$B$25*'LBMP_by_Year-Month-Hour'!AC$262*'LBMP_by_Year-Month-Hour'!AC287,$B$26*'LBMP_by_Year-Month-Hour'!AC$294*'LBMP_by_Year-Month-Hour'!AC319,$B$27*'LBMP_by_Year-Month-Hour'!AC$326*'LBMP_by_Year-Month-Hour'!AC351,$B$28*'LBMP_by_Year-Month-Hour'!AC$358*'LBMP_by_Year-Month-Hour'!AC383,$B$29*'LBMP_by_Year-Month-Hour'!AC$390*'LBMP_by_Year-Month-Hour'!AC415,$B$30*'LBMP_by_Year-Month-Hour'!AC$422*'LBMP_by_Year-Month-Hour'!AC447,$B$31*'LBMP_by_Year-Month-Hour'!AC$454*'LBMP_by_Year-Month-Hour'!AC479,$B$32*'LBMP_by_Year-Month-Hour'!AC$486*'LBMP_by_Year-Month-Hour'!AC511,$B$33*'LBMP_by_Year-Month-Hour'!AC$518*'LBMP_by_Year-Month-Hour'!AC543,$B$34*'LBMP_by_Year-Month-Hour'!AC$550*'LBMP_by_Year-Month-Hour'!AC575,$B$35*'LBMP_by_Year-Month-Hour'!AC$582*'LBMP_by_Year-Month-Hour'!AC607)*AC40/$C$6/24</f>
        <v>7445.1243493165757</v>
      </c>
      <c r="AE71">
        <v>21</v>
      </c>
      <c r="AF71">
        <f>SUM($B$19*'LBMP_by_Year-Month-Hour'!AF$70*'LBMP_by_Year-Month-Hour'!AF95,$B$20*'LBMP_by_Year-Month-Hour'!AF$102*'LBMP_by_Year-Month-Hour'!AF127,$B$21*'LBMP_by_Year-Month-Hour'!AF$134*'LBMP_by_Year-Month-Hour'!AF159,$B$22*'LBMP_by_Year-Month-Hour'!AF$166*'LBMP_by_Year-Month-Hour'!AF191,$B$23*'LBMP_by_Year-Month-Hour'!AF$198*'LBMP_by_Year-Month-Hour'!AF223,$B$24*'LBMP_by_Year-Month-Hour'!AF$230*'LBMP_by_Year-Month-Hour'!AF255,$B$25*'LBMP_by_Year-Month-Hour'!AF$262*'LBMP_by_Year-Month-Hour'!AF287,$B$26*'LBMP_by_Year-Month-Hour'!AF$294*'LBMP_by_Year-Month-Hour'!AF319,$B$27*'LBMP_by_Year-Month-Hour'!AF$326*'LBMP_by_Year-Month-Hour'!AF351,$B$28*'LBMP_by_Year-Month-Hour'!AF$358*'LBMP_by_Year-Month-Hour'!AF383,$B$29*'LBMP_by_Year-Month-Hour'!AF$390*'LBMP_by_Year-Month-Hour'!AF415,$B$30*'LBMP_by_Year-Month-Hour'!AF$422*'LBMP_by_Year-Month-Hour'!AF447,$B$31*'LBMP_by_Year-Month-Hour'!AF$454*'LBMP_by_Year-Month-Hour'!AF479,$B$32*'LBMP_by_Year-Month-Hour'!AF$486*'LBMP_by_Year-Month-Hour'!AF511,$B$33*'LBMP_by_Year-Month-Hour'!AF$518*'LBMP_by_Year-Month-Hour'!AF543,$B$34*'LBMP_by_Year-Month-Hour'!AF$550*'LBMP_by_Year-Month-Hour'!AF575,$B$35*'LBMP_by_Year-Month-Hour'!AF$582*'LBMP_by_Year-Month-Hour'!AF607)*AF40/$C$6/24</f>
        <v>0</v>
      </c>
      <c r="AH71">
        <v>21</v>
      </c>
      <c r="AI71">
        <f>SUM($B$19*'LBMP_by_Year-Month-Hour'!AI$70*'LBMP_by_Year-Month-Hour'!AI95,$B$20*'LBMP_by_Year-Month-Hour'!AI$102*'LBMP_by_Year-Month-Hour'!AI127,$B$21*'LBMP_by_Year-Month-Hour'!AI$134*'LBMP_by_Year-Month-Hour'!AI159,$B$22*'LBMP_by_Year-Month-Hour'!AI$166*'LBMP_by_Year-Month-Hour'!AI191,$B$23*'LBMP_by_Year-Month-Hour'!AI$198*'LBMP_by_Year-Month-Hour'!AI223,$B$24*'LBMP_by_Year-Month-Hour'!AI$230*'LBMP_by_Year-Month-Hour'!AI255,$B$25*'LBMP_by_Year-Month-Hour'!AI$262*'LBMP_by_Year-Month-Hour'!AI287,$B$26*'LBMP_by_Year-Month-Hour'!AI$294*'LBMP_by_Year-Month-Hour'!AI319,$B$27*'LBMP_by_Year-Month-Hour'!AI$326*'LBMP_by_Year-Month-Hour'!AI351,$B$28*'LBMP_by_Year-Month-Hour'!AI$358*'LBMP_by_Year-Month-Hour'!AI383,$B$29*'LBMP_by_Year-Month-Hour'!AI$390*'LBMP_by_Year-Month-Hour'!AI415,$B$30*'LBMP_by_Year-Month-Hour'!AI$422*'LBMP_by_Year-Month-Hour'!AI447,$B$31*'LBMP_by_Year-Month-Hour'!AI$454*'LBMP_by_Year-Month-Hour'!AI479,$B$32*'LBMP_by_Year-Month-Hour'!AI$486*'LBMP_by_Year-Month-Hour'!AI511,$B$33*'LBMP_by_Year-Month-Hour'!AI$518*'LBMP_by_Year-Month-Hour'!AI543,$B$34*'LBMP_by_Year-Month-Hour'!AI$550*'LBMP_by_Year-Month-Hour'!AI575,$B$35*'LBMP_by_Year-Month-Hour'!AI$582*'LBMP_by_Year-Month-Hour'!AI607)*AI40/$C$6/24</f>
        <v>0</v>
      </c>
      <c r="AK71">
        <v>21</v>
      </c>
      <c r="AL71">
        <f>SUM($B$19*'LBMP_by_Year-Month-Hour'!AL$70*'LBMP_by_Year-Month-Hour'!AL95,$B$20*'LBMP_by_Year-Month-Hour'!AL$102*'LBMP_by_Year-Month-Hour'!AL127,$B$21*'LBMP_by_Year-Month-Hour'!AL$134*'LBMP_by_Year-Month-Hour'!AL159,$B$22*'LBMP_by_Year-Month-Hour'!AL$166*'LBMP_by_Year-Month-Hour'!AL191,$B$23*'LBMP_by_Year-Month-Hour'!AL$198*'LBMP_by_Year-Month-Hour'!AL223,$B$24*'LBMP_by_Year-Month-Hour'!AL$230*'LBMP_by_Year-Month-Hour'!AL255,$B$25*'LBMP_by_Year-Month-Hour'!AL$262*'LBMP_by_Year-Month-Hour'!AL287,$B$26*'LBMP_by_Year-Month-Hour'!AL$294*'LBMP_by_Year-Month-Hour'!AL319,$B$27*'LBMP_by_Year-Month-Hour'!AL$326*'LBMP_by_Year-Month-Hour'!AL351,$B$28*'LBMP_by_Year-Month-Hour'!AL$358*'LBMP_by_Year-Month-Hour'!AL383,$B$29*'LBMP_by_Year-Month-Hour'!AL$390*'LBMP_by_Year-Month-Hour'!AL415,$B$30*'LBMP_by_Year-Month-Hour'!AL$422*'LBMP_by_Year-Month-Hour'!AL447,$B$31*'LBMP_by_Year-Month-Hour'!AL$454*'LBMP_by_Year-Month-Hour'!AL479,$B$32*'LBMP_by_Year-Month-Hour'!AL$486*'LBMP_by_Year-Month-Hour'!AL511,$B$33*'LBMP_by_Year-Month-Hour'!AL$518*'LBMP_by_Year-Month-Hour'!AL543,$B$34*'LBMP_by_Year-Month-Hour'!AL$550*'LBMP_by_Year-Month-Hour'!AL575,$B$35*'LBMP_by_Year-Month-Hour'!AL$582*'LBMP_by_Year-Month-Hour'!AL607)*AL40/$C$6/24</f>
        <v>0</v>
      </c>
    </row>
    <row r="72" spans="1:38">
      <c r="A72">
        <v>22</v>
      </c>
      <c r="B72">
        <f t="shared" si="9"/>
        <v>0</v>
      </c>
      <c r="D72">
        <v>22</v>
      </c>
      <c r="E72">
        <f>SUM($B$19*'LBMP_by_Year-Month-Hour'!E$70*'LBMP_by_Year-Month-Hour'!E96,$B$20*'LBMP_by_Year-Month-Hour'!E$102*'LBMP_by_Year-Month-Hour'!E128,$B$21*'LBMP_by_Year-Month-Hour'!E$134*'LBMP_by_Year-Month-Hour'!E160,$B$22*'LBMP_by_Year-Month-Hour'!E$166*'LBMP_by_Year-Month-Hour'!E192,$B$23*'LBMP_by_Year-Month-Hour'!E$198*'LBMP_by_Year-Month-Hour'!E224,$B$24*'LBMP_by_Year-Month-Hour'!E$230*'LBMP_by_Year-Month-Hour'!E256,$B$25*'LBMP_by_Year-Month-Hour'!E$262*'LBMP_by_Year-Month-Hour'!E288,$B$26*'LBMP_by_Year-Month-Hour'!E$294*'LBMP_by_Year-Month-Hour'!E320,$B$27*'LBMP_by_Year-Month-Hour'!E$326*'LBMP_by_Year-Month-Hour'!E352,$B$28*'LBMP_by_Year-Month-Hour'!E$358*'LBMP_by_Year-Month-Hour'!E384,$B$29*'LBMP_by_Year-Month-Hour'!E$390*'LBMP_by_Year-Month-Hour'!E416,$B$30*'LBMP_by_Year-Month-Hour'!E$422*'LBMP_by_Year-Month-Hour'!E448,$B$31*'LBMP_by_Year-Month-Hour'!E$454*'LBMP_by_Year-Month-Hour'!E480,$B$32*'LBMP_by_Year-Month-Hour'!E$486*'LBMP_by_Year-Month-Hour'!E512,$B$33*'LBMP_by_Year-Month-Hour'!E$518*'LBMP_by_Year-Month-Hour'!E544,$B$34*'LBMP_by_Year-Month-Hour'!E$550*'LBMP_by_Year-Month-Hour'!E576,$B$35*'LBMP_by_Year-Month-Hour'!E$582*'LBMP_by_Year-Month-Hour'!E608)*E41/$C$6/24</f>
        <v>0</v>
      </c>
      <c r="G72">
        <v>22</v>
      </c>
      <c r="H72">
        <f>SUM($B$19*'LBMP_by_Year-Month-Hour'!H$70*'LBMP_by_Year-Month-Hour'!H96,$B$20*'LBMP_by_Year-Month-Hour'!H$102*'LBMP_by_Year-Month-Hour'!H128,$B$21*'LBMP_by_Year-Month-Hour'!H$134*'LBMP_by_Year-Month-Hour'!H160,$B$22*'LBMP_by_Year-Month-Hour'!H$166*'LBMP_by_Year-Month-Hour'!H192,$B$23*'LBMP_by_Year-Month-Hour'!H$198*'LBMP_by_Year-Month-Hour'!H224,$B$24*'LBMP_by_Year-Month-Hour'!H$230*'LBMP_by_Year-Month-Hour'!H256,$B$25*'LBMP_by_Year-Month-Hour'!H$262*'LBMP_by_Year-Month-Hour'!H288,$B$26*'LBMP_by_Year-Month-Hour'!H$294*'LBMP_by_Year-Month-Hour'!H320,$B$27*'LBMP_by_Year-Month-Hour'!H$326*'LBMP_by_Year-Month-Hour'!H352,$B$28*'LBMP_by_Year-Month-Hour'!H$358*'LBMP_by_Year-Month-Hour'!H384,$B$29*'LBMP_by_Year-Month-Hour'!H$390*'LBMP_by_Year-Month-Hour'!H416,$B$30*'LBMP_by_Year-Month-Hour'!H$422*'LBMP_by_Year-Month-Hour'!H448,$B$31*'LBMP_by_Year-Month-Hour'!H$454*'LBMP_by_Year-Month-Hour'!H480,$B$32*'LBMP_by_Year-Month-Hour'!H$486*'LBMP_by_Year-Month-Hour'!H512,$B$33*'LBMP_by_Year-Month-Hour'!H$518*'LBMP_by_Year-Month-Hour'!H544,$B$34*'LBMP_by_Year-Month-Hour'!H$550*'LBMP_by_Year-Month-Hour'!H576,$B$35*'LBMP_by_Year-Month-Hour'!H$582*'LBMP_by_Year-Month-Hour'!H608)*H41/$C$6/24</f>
        <v>0</v>
      </c>
      <c r="J72">
        <v>22</v>
      </c>
      <c r="K72">
        <f>SUM($B$19*'LBMP_by_Year-Month-Hour'!K$70*'LBMP_by_Year-Month-Hour'!K96,$B$20*'LBMP_by_Year-Month-Hour'!K$102*'LBMP_by_Year-Month-Hour'!K128,$B$21*'LBMP_by_Year-Month-Hour'!K$134*'LBMP_by_Year-Month-Hour'!K160,$B$22*'LBMP_by_Year-Month-Hour'!K$166*'LBMP_by_Year-Month-Hour'!K192,$B$23*'LBMP_by_Year-Month-Hour'!K$198*'LBMP_by_Year-Month-Hour'!K224,$B$24*'LBMP_by_Year-Month-Hour'!K$230*'LBMP_by_Year-Month-Hour'!K256,$B$25*'LBMP_by_Year-Month-Hour'!K$262*'LBMP_by_Year-Month-Hour'!K288,$B$26*'LBMP_by_Year-Month-Hour'!K$294*'LBMP_by_Year-Month-Hour'!K320,$B$27*'LBMP_by_Year-Month-Hour'!K$326*'LBMP_by_Year-Month-Hour'!K352,$B$28*'LBMP_by_Year-Month-Hour'!K$358*'LBMP_by_Year-Month-Hour'!K384,$B$29*'LBMP_by_Year-Month-Hour'!K$390*'LBMP_by_Year-Month-Hour'!K416,$B$30*'LBMP_by_Year-Month-Hour'!K$422*'LBMP_by_Year-Month-Hour'!K448,$B$31*'LBMP_by_Year-Month-Hour'!K$454*'LBMP_by_Year-Month-Hour'!K480,$B$32*'LBMP_by_Year-Month-Hour'!K$486*'LBMP_by_Year-Month-Hour'!K512,$B$33*'LBMP_by_Year-Month-Hour'!K$518*'LBMP_by_Year-Month-Hour'!K544,$B$34*'LBMP_by_Year-Month-Hour'!K$550*'LBMP_by_Year-Month-Hour'!K576,$B$35*'LBMP_by_Year-Month-Hour'!K$582*'LBMP_by_Year-Month-Hour'!K608)*K41/$C$6/24</f>
        <v>0</v>
      </c>
      <c r="M72">
        <v>22</v>
      </c>
      <c r="N72">
        <f>SUM($B$19*'LBMP_by_Year-Month-Hour'!N$70*'LBMP_by_Year-Month-Hour'!N96,$B$20*'LBMP_by_Year-Month-Hour'!N$102*'LBMP_by_Year-Month-Hour'!N128,$B$21*'LBMP_by_Year-Month-Hour'!N$134*'LBMP_by_Year-Month-Hour'!N160,$B$22*'LBMP_by_Year-Month-Hour'!N$166*'LBMP_by_Year-Month-Hour'!N192,$B$23*'LBMP_by_Year-Month-Hour'!N$198*'LBMP_by_Year-Month-Hour'!N224,$B$24*'LBMP_by_Year-Month-Hour'!N$230*'LBMP_by_Year-Month-Hour'!N256,$B$25*'LBMP_by_Year-Month-Hour'!N$262*'LBMP_by_Year-Month-Hour'!N288,$B$26*'LBMP_by_Year-Month-Hour'!N$294*'LBMP_by_Year-Month-Hour'!N320,$B$27*'LBMP_by_Year-Month-Hour'!N$326*'LBMP_by_Year-Month-Hour'!N352,$B$28*'LBMP_by_Year-Month-Hour'!N$358*'LBMP_by_Year-Month-Hour'!N384,$B$29*'LBMP_by_Year-Month-Hour'!N$390*'LBMP_by_Year-Month-Hour'!N416,$B$30*'LBMP_by_Year-Month-Hour'!N$422*'LBMP_by_Year-Month-Hour'!N448,$B$31*'LBMP_by_Year-Month-Hour'!N$454*'LBMP_by_Year-Month-Hour'!N480,$B$32*'LBMP_by_Year-Month-Hour'!N$486*'LBMP_by_Year-Month-Hour'!N512,$B$33*'LBMP_by_Year-Month-Hour'!N$518*'LBMP_by_Year-Month-Hour'!N544,$B$34*'LBMP_by_Year-Month-Hour'!N$550*'LBMP_by_Year-Month-Hour'!N576,$B$35*'LBMP_by_Year-Month-Hour'!N$582*'LBMP_by_Year-Month-Hour'!N608)*N41/$C$6/24</f>
        <v>0</v>
      </c>
      <c r="P72">
        <v>22</v>
      </c>
      <c r="Q72">
        <f>SUM($B$19*'LBMP_by_Year-Month-Hour'!Q$70*'LBMP_by_Year-Month-Hour'!Q96,$B$20*'LBMP_by_Year-Month-Hour'!Q$102*'LBMP_by_Year-Month-Hour'!Q128,$B$21*'LBMP_by_Year-Month-Hour'!Q$134*'LBMP_by_Year-Month-Hour'!Q160,$B$22*'LBMP_by_Year-Month-Hour'!Q$166*'LBMP_by_Year-Month-Hour'!Q192,$B$23*'LBMP_by_Year-Month-Hour'!Q$198*'LBMP_by_Year-Month-Hour'!Q224,$B$24*'LBMP_by_Year-Month-Hour'!Q$230*'LBMP_by_Year-Month-Hour'!Q256,$B$25*'LBMP_by_Year-Month-Hour'!Q$262*'LBMP_by_Year-Month-Hour'!Q288,$B$26*'LBMP_by_Year-Month-Hour'!Q$294*'LBMP_by_Year-Month-Hour'!Q320,$B$27*'LBMP_by_Year-Month-Hour'!Q$326*'LBMP_by_Year-Month-Hour'!Q352,$B$28*'LBMP_by_Year-Month-Hour'!Q$358*'LBMP_by_Year-Month-Hour'!Q384,$B$29*'LBMP_by_Year-Month-Hour'!Q$390*'LBMP_by_Year-Month-Hour'!Q416,$B$30*'LBMP_by_Year-Month-Hour'!Q$422*'LBMP_by_Year-Month-Hour'!Q448,$B$31*'LBMP_by_Year-Month-Hour'!Q$454*'LBMP_by_Year-Month-Hour'!Q480,$B$32*'LBMP_by_Year-Month-Hour'!Q$486*'LBMP_by_Year-Month-Hour'!Q512,$B$33*'LBMP_by_Year-Month-Hour'!Q$518*'LBMP_by_Year-Month-Hour'!Q544,$B$34*'LBMP_by_Year-Month-Hour'!Q$550*'LBMP_by_Year-Month-Hour'!Q576,$B$35*'LBMP_by_Year-Month-Hour'!Q$582*'LBMP_by_Year-Month-Hour'!Q608)*Q41/$C$6/24</f>
        <v>0</v>
      </c>
      <c r="S72">
        <v>22</v>
      </c>
      <c r="T72">
        <f>SUM($B$19*'LBMP_by_Year-Month-Hour'!T$70*'LBMP_by_Year-Month-Hour'!T96,$B$20*'LBMP_by_Year-Month-Hour'!T$102*'LBMP_by_Year-Month-Hour'!T128,$B$21*'LBMP_by_Year-Month-Hour'!T$134*'LBMP_by_Year-Month-Hour'!T160,$B$22*'LBMP_by_Year-Month-Hour'!T$166*'LBMP_by_Year-Month-Hour'!T192,$B$23*'LBMP_by_Year-Month-Hour'!T$198*'LBMP_by_Year-Month-Hour'!T224,$B$24*'LBMP_by_Year-Month-Hour'!T$230*'LBMP_by_Year-Month-Hour'!T256,$B$25*'LBMP_by_Year-Month-Hour'!T$262*'LBMP_by_Year-Month-Hour'!T288,$B$26*'LBMP_by_Year-Month-Hour'!T$294*'LBMP_by_Year-Month-Hour'!T320,$B$27*'LBMP_by_Year-Month-Hour'!T$326*'LBMP_by_Year-Month-Hour'!T352,$B$28*'LBMP_by_Year-Month-Hour'!T$358*'LBMP_by_Year-Month-Hour'!T384,$B$29*'LBMP_by_Year-Month-Hour'!T$390*'LBMP_by_Year-Month-Hour'!T416,$B$30*'LBMP_by_Year-Month-Hour'!T$422*'LBMP_by_Year-Month-Hour'!T448,$B$31*'LBMP_by_Year-Month-Hour'!T$454*'LBMP_by_Year-Month-Hour'!T480,$B$32*'LBMP_by_Year-Month-Hour'!T$486*'LBMP_by_Year-Month-Hour'!T512,$B$33*'LBMP_by_Year-Month-Hour'!T$518*'LBMP_by_Year-Month-Hour'!T544,$B$34*'LBMP_by_Year-Month-Hour'!T$550*'LBMP_by_Year-Month-Hour'!T576,$B$35*'LBMP_by_Year-Month-Hour'!T$582*'LBMP_by_Year-Month-Hour'!T608)*T41/$C$6/24</f>
        <v>0</v>
      </c>
      <c r="V72">
        <v>22</v>
      </c>
      <c r="W72">
        <f>SUM($B$19*'LBMP_by_Year-Month-Hour'!W$70*'LBMP_by_Year-Month-Hour'!W96,$B$20*'LBMP_by_Year-Month-Hour'!W$102*'LBMP_by_Year-Month-Hour'!W128,$B$21*'LBMP_by_Year-Month-Hour'!W$134*'LBMP_by_Year-Month-Hour'!W160,$B$22*'LBMP_by_Year-Month-Hour'!W$166*'LBMP_by_Year-Month-Hour'!W192,$B$23*'LBMP_by_Year-Month-Hour'!W$198*'LBMP_by_Year-Month-Hour'!W224,$B$24*'LBMP_by_Year-Month-Hour'!W$230*'LBMP_by_Year-Month-Hour'!W256,$B$25*'LBMP_by_Year-Month-Hour'!W$262*'LBMP_by_Year-Month-Hour'!W288,$B$26*'LBMP_by_Year-Month-Hour'!W$294*'LBMP_by_Year-Month-Hour'!W320,$B$27*'LBMP_by_Year-Month-Hour'!W$326*'LBMP_by_Year-Month-Hour'!W352,$B$28*'LBMP_by_Year-Month-Hour'!W$358*'LBMP_by_Year-Month-Hour'!W384,$B$29*'LBMP_by_Year-Month-Hour'!W$390*'LBMP_by_Year-Month-Hour'!W416,$B$30*'LBMP_by_Year-Month-Hour'!W$422*'LBMP_by_Year-Month-Hour'!W448,$B$31*'LBMP_by_Year-Month-Hour'!W$454*'LBMP_by_Year-Month-Hour'!W480,$B$32*'LBMP_by_Year-Month-Hour'!W$486*'LBMP_by_Year-Month-Hour'!W512,$B$33*'LBMP_by_Year-Month-Hour'!W$518*'LBMP_by_Year-Month-Hour'!W544,$B$34*'LBMP_by_Year-Month-Hour'!W$550*'LBMP_by_Year-Month-Hour'!W576,$B$35*'LBMP_by_Year-Month-Hour'!W$582*'LBMP_by_Year-Month-Hour'!W608)*W41/$C$6/24</f>
        <v>0</v>
      </c>
      <c r="Y72">
        <v>22</v>
      </c>
      <c r="Z72">
        <f>SUM($B$19*'LBMP_by_Year-Month-Hour'!Z$70*'LBMP_by_Year-Month-Hour'!Z96,$B$20*'LBMP_by_Year-Month-Hour'!Z$102*'LBMP_by_Year-Month-Hour'!Z128,$B$21*'LBMP_by_Year-Month-Hour'!Z$134*'LBMP_by_Year-Month-Hour'!Z160,$B$22*'LBMP_by_Year-Month-Hour'!Z$166*'LBMP_by_Year-Month-Hour'!Z192,$B$23*'LBMP_by_Year-Month-Hour'!Z$198*'LBMP_by_Year-Month-Hour'!Z224,$B$24*'LBMP_by_Year-Month-Hour'!Z$230*'LBMP_by_Year-Month-Hour'!Z256,$B$25*'LBMP_by_Year-Month-Hour'!Z$262*'LBMP_by_Year-Month-Hour'!Z288,$B$26*'LBMP_by_Year-Month-Hour'!Z$294*'LBMP_by_Year-Month-Hour'!Z320,$B$27*'LBMP_by_Year-Month-Hour'!Z$326*'LBMP_by_Year-Month-Hour'!Z352,$B$28*'LBMP_by_Year-Month-Hour'!Z$358*'LBMP_by_Year-Month-Hour'!Z384,$B$29*'LBMP_by_Year-Month-Hour'!Z$390*'LBMP_by_Year-Month-Hour'!Z416,$B$30*'LBMP_by_Year-Month-Hour'!Z$422*'LBMP_by_Year-Month-Hour'!Z448,$B$31*'LBMP_by_Year-Month-Hour'!Z$454*'LBMP_by_Year-Month-Hour'!Z480,$B$32*'LBMP_by_Year-Month-Hour'!Z$486*'LBMP_by_Year-Month-Hour'!Z512,$B$33*'LBMP_by_Year-Month-Hour'!Z$518*'LBMP_by_Year-Month-Hour'!Z544,$B$34*'LBMP_by_Year-Month-Hour'!Z$550*'LBMP_by_Year-Month-Hour'!Z576,$B$35*'LBMP_by_Year-Month-Hour'!Z$582*'LBMP_by_Year-Month-Hour'!Z608)*Z41/$C$6/24</f>
        <v>0</v>
      </c>
      <c r="AB72">
        <v>22</v>
      </c>
      <c r="AC72">
        <f>SUM($B$19*'LBMP_by_Year-Month-Hour'!AC$70*'LBMP_by_Year-Month-Hour'!AC96,$B$20*'LBMP_by_Year-Month-Hour'!AC$102*'LBMP_by_Year-Month-Hour'!AC128,$B$21*'LBMP_by_Year-Month-Hour'!AC$134*'LBMP_by_Year-Month-Hour'!AC160,$B$22*'LBMP_by_Year-Month-Hour'!AC$166*'LBMP_by_Year-Month-Hour'!AC192,$B$23*'LBMP_by_Year-Month-Hour'!AC$198*'LBMP_by_Year-Month-Hour'!AC224,$B$24*'LBMP_by_Year-Month-Hour'!AC$230*'LBMP_by_Year-Month-Hour'!AC256,$B$25*'LBMP_by_Year-Month-Hour'!AC$262*'LBMP_by_Year-Month-Hour'!AC288,$B$26*'LBMP_by_Year-Month-Hour'!AC$294*'LBMP_by_Year-Month-Hour'!AC320,$B$27*'LBMP_by_Year-Month-Hour'!AC$326*'LBMP_by_Year-Month-Hour'!AC352,$B$28*'LBMP_by_Year-Month-Hour'!AC$358*'LBMP_by_Year-Month-Hour'!AC384,$B$29*'LBMP_by_Year-Month-Hour'!AC$390*'LBMP_by_Year-Month-Hour'!AC416,$B$30*'LBMP_by_Year-Month-Hour'!AC$422*'LBMP_by_Year-Month-Hour'!AC448,$B$31*'LBMP_by_Year-Month-Hour'!AC$454*'LBMP_by_Year-Month-Hour'!AC480,$B$32*'LBMP_by_Year-Month-Hour'!AC$486*'LBMP_by_Year-Month-Hour'!AC512,$B$33*'LBMP_by_Year-Month-Hour'!AC$518*'LBMP_by_Year-Month-Hour'!AC544,$B$34*'LBMP_by_Year-Month-Hour'!AC$550*'LBMP_by_Year-Month-Hour'!AC576,$B$35*'LBMP_by_Year-Month-Hour'!AC$582*'LBMP_by_Year-Month-Hour'!AC608)*AC41/$C$6/24</f>
        <v>0</v>
      </c>
      <c r="AE72">
        <v>22</v>
      </c>
      <c r="AF72">
        <f>SUM($B$19*'LBMP_by_Year-Month-Hour'!AF$70*'LBMP_by_Year-Month-Hour'!AF96,$B$20*'LBMP_by_Year-Month-Hour'!AF$102*'LBMP_by_Year-Month-Hour'!AF128,$B$21*'LBMP_by_Year-Month-Hour'!AF$134*'LBMP_by_Year-Month-Hour'!AF160,$B$22*'LBMP_by_Year-Month-Hour'!AF$166*'LBMP_by_Year-Month-Hour'!AF192,$B$23*'LBMP_by_Year-Month-Hour'!AF$198*'LBMP_by_Year-Month-Hour'!AF224,$B$24*'LBMP_by_Year-Month-Hour'!AF$230*'LBMP_by_Year-Month-Hour'!AF256,$B$25*'LBMP_by_Year-Month-Hour'!AF$262*'LBMP_by_Year-Month-Hour'!AF288,$B$26*'LBMP_by_Year-Month-Hour'!AF$294*'LBMP_by_Year-Month-Hour'!AF320,$B$27*'LBMP_by_Year-Month-Hour'!AF$326*'LBMP_by_Year-Month-Hour'!AF352,$B$28*'LBMP_by_Year-Month-Hour'!AF$358*'LBMP_by_Year-Month-Hour'!AF384,$B$29*'LBMP_by_Year-Month-Hour'!AF$390*'LBMP_by_Year-Month-Hour'!AF416,$B$30*'LBMP_by_Year-Month-Hour'!AF$422*'LBMP_by_Year-Month-Hour'!AF448,$B$31*'LBMP_by_Year-Month-Hour'!AF$454*'LBMP_by_Year-Month-Hour'!AF480,$B$32*'LBMP_by_Year-Month-Hour'!AF$486*'LBMP_by_Year-Month-Hour'!AF512,$B$33*'LBMP_by_Year-Month-Hour'!AF$518*'LBMP_by_Year-Month-Hour'!AF544,$B$34*'LBMP_by_Year-Month-Hour'!AF$550*'LBMP_by_Year-Month-Hour'!AF576,$B$35*'LBMP_by_Year-Month-Hour'!AF$582*'LBMP_by_Year-Month-Hour'!AF608)*AF41/$C$6/24</f>
        <v>0</v>
      </c>
      <c r="AH72">
        <v>22</v>
      </c>
      <c r="AI72">
        <f>SUM($B$19*'LBMP_by_Year-Month-Hour'!AI$70*'LBMP_by_Year-Month-Hour'!AI96,$B$20*'LBMP_by_Year-Month-Hour'!AI$102*'LBMP_by_Year-Month-Hour'!AI128,$B$21*'LBMP_by_Year-Month-Hour'!AI$134*'LBMP_by_Year-Month-Hour'!AI160,$B$22*'LBMP_by_Year-Month-Hour'!AI$166*'LBMP_by_Year-Month-Hour'!AI192,$B$23*'LBMP_by_Year-Month-Hour'!AI$198*'LBMP_by_Year-Month-Hour'!AI224,$B$24*'LBMP_by_Year-Month-Hour'!AI$230*'LBMP_by_Year-Month-Hour'!AI256,$B$25*'LBMP_by_Year-Month-Hour'!AI$262*'LBMP_by_Year-Month-Hour'!AI288,$B$26*'LBMP_by_Year-Month-Hour'!AI$294*'LBMP_by_Year-Month-Hour'!AI320,$B$27*'LBMP_by_Year-Month-Hour'!AI$326*'LBMP_by_Year-Month-Hour'!AI352,$B$28*'LBMP_by_Year-Month-Hour'!AI$358*'LBMP_by_Year-Month-Hour'!AI384,$B$29*'LBMP_by_Year-Month-Hour'!AI$390*'LBMP_by_Year-Month-Hour'!AI416,$B$30*'LBMP_by_Year-Month-Hour'!AI$422*'LBMP_by_Year-Month-Hour'!AI448,$B$31*'LBMP_by_Year-Month-Hour'!AI$454*'LBMP_by_Year-Month-Hour'!AI480,$B$32*'LBMP_by_Year-Month-Hour'!AI$486*'LBMP_by_Year-Month-Hour'!AI512,$B$33*'LBMP_by_Year-Month-Hour'!AI$518*'LBMP_by_Year-Month-Hour'!AI544,$B$34*'LBMP_by_Year-Month-Hour'!AI$550*'LBMP_by_Year-Month-Hour'!AI576,$B$35*'LBMP_by_Year-Month-Hour'!AI$582*'LBMP_by_Year-Month-Hour'!AI608)*AI41/$C$6/24</f>
        <v>0</v>
      </c>
      <c r="AK72">
        <v>22</v>
      </c>
      <c r="AL72">
        <f>SUM($B$19*'LBMP_by_Year-Month-Hour'!AL$70*'LBMP_by_Year-Month-Hour'!AL96,$B$20*'LBMP_by_Year-Month-Hour'!AL$102*'LBMP_by_Year-Month-Hour'!AL128,$B$21*'LBMP_by_Year-Month-Hour'!AL$134*'LBMP_by_Year-Month-Hour'!AL160,$B$22*'LBMP_by_Year-Month-Hour'!AL$166*'LBMP_by_Year-Month-Hour'!AL192,$B$23*'LBMP_by_Year-Month-Hour'!AL$198*'LBMP_by_Year-Month-Hour'!AL224,$B$24*'LBMP_by_Year-Month-Hour'!AL$230*'LBMP_by_Year-Month-Hour'!AL256,$B$25*'LBMP_by_Year-Month-Hour'!AL$262*'LBMP_by_Year-Month-Hour'!AL288,$B$26*'LBMP_by_Year-Month-Hour'!AL$294*'LBMP_by_Year-Month-Hour'!AL320,$B$27*'LBMP_by_Year-Month-Hour'!AL$326*'LBMP_by_Year-Month-Hour'!AL352,$B$28*'LBMP_by_Year-Month-Hour'!AL$358*'LBMP_by_Year-Month-Hour'!AL384,$B$29*'LBMP_by_Year-Month-Hour'!AL$390*'LBMP_by_Year-Month-Hour'!AL416,$B$30*'LBMP_by_Year-Month-Hour'!AL$422*'LBMP_by_Year-Month-Hour'!AL448,$B$31*'LBMP_by_Year-Month-Hour'!AL$454*'LBMP_by_Year-Month-Hour'!AL480,$B$32*'LBMP_by_Year-Month-Hour'!AL$486*'LBMP_by_Year-Month-Hour'!AL512,$B$33*'LBMP_by_Year-Month-Hour'!AL$518*'LBMP_by_Year-Month-Hour'!AL544,$B$34*'LBMP_by_Year-Month-Hour'!AL$550*'LBMP_by_Year-Month-Hour'!AL576,$B$35*'LBMP_by_Year-Month-Hour'!AL$582*'LBMP_by_Year-Month-Hour'!AL608)*AL41/$C$6/24</f>
        <v>0</v>
      </c>
    </row>
    <row r="73" spans="1:38">
      <c r="A73">
        <v>23</v>
      </c>
      <c r="B73">
        <f t="shared" si="9"/>
        <v>0</v>
      </c>
      <c r="D73">
        <v>23</v>
      </c>
      <c r="E73">
        <f>SUM($B$19*'LBMP_by_Year-Month-Hour'!E$70*'LBMP_by_Year-Month-Hour'!E97,$B$20*'LBMP_by_Year-Month-Hour'!E$102*'LBMP_by_Year-Month-Hour'!E129,$B$21*'LBMP_by_Year-Month-Hour'!E$134*'LBMP_by_Year-Month-Hour'!E161,$B$22*'LBMP_by_Year-Month-Hour'!E$166*'LBMP_by_Year-Month-Hour'!E193,$B$23*'LBMP_by_Year-Month-Hour'!E$198*'LBMP_by_Year-Month-Hour'!E225,$B$24*'LBMP_by_Year-Month-Hour'!E$230*'LBMP_by_Year-Month-Hour'!E257,$B$25*'LBMP_by_Year-Month-Hour'!E$262*'LBMP_by_Year-Month-Hour'!E289,$B$26*'LBMP_by_Year-Month-Hour'!E$294*'LBMP_by_Year-Month-Hour'!E321,$B$27*'LBMP_by_Year-Month-Hour'!E$326*'LBMP_by_Year-Month-Hour'!E353,$B$28*'LBMP_by_Year-Month-Hour'!E$358*'LBMP_by_Year-Month-Hour'!E385,$B$29*'LBMP_by_Year-Month-Hour'!E$390*'LBMP_by_Year-Month-Hour'!E417,$B$30*'LBMP_by_Year-Month-Hour'!E$422*'LBMP_by_Year-Month-Hour'!E449,$B$31*'LBMP_by_Year-Month-Hour'!E$454*'LBMP_by_Year-Month-Hour'!E481,$B$32*'LBMP_by_Year-Month-Hour'!E$486*'LBMP_by_Year-Month-Hour'!E513,$B$33*'LBMP_by_Year-Month-Hour'!E$518*'LBMP_by_Year-Month-Hour'!E545,$B$34*'LBMP_by_Year-Month-Hour'!E$550*'LBMP_by_Year-Month-Hour'!E577,$B$35*'LBMP_by_Year-Month-Hour'!E$582*'LBMP_by_Year-Month-Hour'!E609)*E42/$C$6/24</f>
        <v>0</v>
      </c>
      <c r="G73">
        <v>23</v>
      </c>
      <c r="H73">
        <f>SUM($B$19*'LBMP_by_Year-Month-Hour'!H$70*'LBMP_by_Year-Month-Hour'!H97,$B$20*'LBMP_by_Year-Month-Hour'!H$102*'LBMP_by_Year-Month-Hour'!H129,$B$21*'LBMP_by_Year-Month-Hour'!H$134*'LBMP_by_Year-Month-Hour'!H161,$B$22*'LBMP_by_Year-Month-Hour'!H$166*'LBMP_by_Year-Month-Hour'!H193,$B$23*'LBMP_by_Year-Month-Hour'!H$198*'LBMP_by_Year-Month-Hour'!H225,$B$24*'LBMP_by_Year-Month-Hour'!H$230*'LBMP_by_Year-Month-Hour'!H257,$B$25*'LBMP_by_Year-Month-Hour'!H$262*'LBMP_by_Year-Month-Hour'!H289,$B$26*'LBMP_by_Year-Month-Hour'!H$294*'LBMP_by_Year-Month-Hour'!H321,$B$27*'LBMP_by_Year-Month-Hour'!H$326*'LBMP_by_Year-Month-Hour'!H353,$B$28*'LBMP_by_Year-Month-Hour'!H$358*'LBMP_by_Year-Month-Hour'!H385,$B$29*'LBMP_by_Year-Month-Hour'!H$390*'LBMP_by_Year-Month-Hour'!H417,$B$30*'LBMP_by_Year-Month-Hour'!H$422*'LBMP_by_Year-Month-Hour'!H449,$B$31*'LBMP_by_Year-Month-Hour'!H$454*'LBMP_by_Year-Month-Hour'!H481,$B$32*'LBMP_by_Year-Month-Hour'!H$486*'LBMP_by_Year-Month-Hour'!H513,$B$33*'LBMP_by_Year-Month-Hour'!H$518*'LBMP_by_Year-Month-Hour'!H545,$B$34*'LBMP_by_Year-Month-Hour'!H$550*'LBMP_by_Year-Month-Hour'!H577,$B$35*'LBMP_by_Year-Month-Hour'!H$582*'LBMP_by_Year-Month-Hour'!H609)*H42/$C$6/24</f>
        <v>0</v>
      </c>
      <c r="J73">
        <v>23</v>
      </c>
      <c r="K73">
        <f>SUM($B$19*'LBMP_by_Year-Month-Hour'!K$70*'LBMP_by_Year-Month-Hour'!K97,$B$20*'LBMP_by_Year-Month-Hour'!K$102*'LBMP_by_Year-Month-Hour'!K129,$B$21*'LBMP_by_Year-Month-Hour'!K$134*'LBMP_by_Year-Month-Hour'!K161,$B$22*'LBMP_by_Year-Month-Hour'!K$166*'LBMP_by_Year-Month-Hour'!K193,$B$23*'LBMP_by_Year-Month-Hour'!K$198*'LBMP_by_Year-Month-Hour'!K225,$B$24*'LBMP_by_Year-Month-Hour'!K$230*'LBMP_by_Year-Month-Hour'!K257,$B$25*'LBMP_by_Year-Month-Hour'!K$262*'LBMP_by_Year-Month-Hour'!K289,$B$26*'LBMP_by_Year-Month-Hour'!K$294*'LBMP_by_Year-Month-Hour'!K321,$B$27*'LBMP_by_Year-Month-Hour'!K$326*'LBMP_by_Year-Month-Hour'!K353,$B$28*'LBMP_by_Year-Month-Hour'!K$358*'LBMP_by_Year-Month-Hour'!K385,$B$29*'LBMP_by_Year-Month-Hour'!K$390*'LBMP_by_Year-Month-Hour'!K417,$B$30*'LBMP_by_Year-Month-Hour'!K$422*'LBMP_by_Year-Month-Hour'!K449,$B$31*'LBMP_by_Year-Month-Hour'!K$454*'LBMP_by_Year-Month-Hour'!K481,$B$32*'LBMP_by_Year-Month-Hour'!K$486*'LBMP_by_Year-Month-Hour'!K513,$B$33*'LBMP_by_Year-Month-Hour'!K$518*'LBMP_by_Year-Month-Hour'!K545,$B$34*'LBMP_by_Year-Month-Hour'!K$550*'LBMP_by_Year-Month-Hour'!K577,$B$35*'LBMP_by_Year-Month-Hour'!K$582*'LBMP_by_Year-Month-Hour'!K609)*K42/$C$6/24</f>
        <v>0</v>
      </c>
      <c r="M73">
        <v>23</v>
      </c>
      <c r="N73">
        <f>SUM($B$19*'LBMP_by_Year-Month-Hour'!N$70*'LBMP_by_Year-Month-Hour'!N97,$B$20*'LBMP_by_Year-Month-Hour'!N$102*'LBMP_by_Year-Month-Hour'!N129,$B$21*'LBMP_by_Year-Month-Hour'!N$134*'LBMP_by_Year-Month-Hour'!N161,$B$22*'LBMP_by_Year-Month-Hour'!N$166*'LBMP_by_Year-Month-Hour'!N193,$B$23*'LBMP_by_Year-Month-Hour'!N$198*'LBMP_by_Year-Month-Hour'!N225,$B$24*'LBMP_by_Year-Month-Hour'!N$230*'LBMP_by_Year-Month-Hour'!N257,$B$25*'LBMP_by_Year-Month-Hour'!N$262*'LBMP_by_Year-Month-Hour'!N289,$B$26*'LBMP_by_Year-Month-Hour'!N$294*'LBMP_by_Year-Month-Hour'!N321,$B$27*'LBMP_by_Year-Month-Hour'!N$326*'LBMP_by_Year-Month-Hour'!N353,$B$28*'LBMP_by_Year-Month-Hour'!N$358*'LBMP_by_Year-Month-Hour'!N385,$B$29*'LBMP_by_Year-Month-Hour'!N$390*'LBMP_by_Year-Month-Hour'!N417,$B$30*'LBMP_by_Year-Month-Hour'!N$422*'LBMP_by_Year-Month-Hour'!N449,$B$31*'LBMP_by_Year-Month-Hour'!N$454*'LBMP_by_Year-Month-Hour'!N481,$B$32*'LBMP_by_Year-Month-Hour'!N$486*'LBMP_by_Year-Month-Hour'!N513,$B$33*'LBMP_by_Year-Month-Hour'!N$518*'LBMP_by_Year-Month-Hour'!N545,$B$34*'LBMP_by_Year-Month-Hour'!N$550*'LBMP_by_Year-Month-Hour'!N577,$B$35*'LBMP_by_Year-Month-Hour'!N$582*'LBMP_by_Year-Month-Hour'!N609)*N42/$C$6/24</f>
        <v>0</v>
      </c>
      <c r="P73">
        <v>23</v>
      </c>
      <c r="Q73">
        <f>SUM($B$19*'LBMP_by_Year-Month-Hour'!Q$70*'LBMP_by_Year-Month-Hour'!Q97,$B$20*'LBMP_by_Year-Month-Hour'!Q$102*'LBMP_by_Year-Month-Hour'!Q129,$B$21*'LBMP_by_Year-Month-Hour'!Q$134*'LBMP_by_Year-Month-Hour'!Q161,$B$22*'LBMP_by_Year-Month-Hour'!Q$166*'LBMP_by_Year-Month-Hour'!Q193,$B$23*'LBMP_by_Year-Month-Hour'!Q$198*'LBMP_by_Year-Month-Hour'!Q225,$B$24*'LBMP_by_Year-Month-Hour'!Q$230*'LBMP_by_Year-Month-Hour'!Q257,$B$25*'LBMP_by_Year-Month-Hour'!Q$262*'LBMP_by_Year-Month-Hour'!Q289,$B$26*'LBMP_by_Year-Month-Hour'!Q$294*'LBMP_by_Year-Month-Hour'!Q321,$B$27*'LBMP_by_Year-Month-Hour'!Q$326*'LBMP_by_Year-Month-Hour'!Q353,$B$28*'LBMP_by_Year-Month-Hour'!Q$358*'LBMP_by_Year-Month-Hour'!Q385,$B$29*'LBMP_by_Year-Month-Hour'!Q$390*'LBMP_by_Year-Month-Hour'!Q417,$B$30*'LBMP_by_Year-Month-Hour'!Q$422*'LBMP_by_Year-Month-Hour'!Q449,$B$31*'LBMP_by_Year-Month-Hour'!Q$454*'LBMP_by_Year-Month-Hour'!Q481,$B$32*'LBMP_by_Year-Month-Hour'!Q$486*'LBMP_by_Year-Month-Hour'!Q513,$B$33*'LBMP_by_Year-Month-Hour'!Q$518*'LBMP_by_Year-Month-Hour'!Q545,$B$34*'LBMP_by_Year-Month-Hour'!Q$550*'LBMP_by_Year-Month-Hour'!Q577,$B$35*'LBMP_by_Year-Month-Hour'!Q$582*'LBMP_by_Year-Month-Hour'!Q609)*Q42/$C$6/24</f>
        <v>0</v>
      </c>
      <c r="S73">
        <v>23</v>
      </c>
      <c r="T73">
        <f>SUM($B$19*'LBMP_by_Year-Month-Hour'!T$70*'LBMP_by_Year-Month-Hour'!T97,$B$20*'LBMP_by_Year-Month-Hour'!T$102*'LBMP_by_Year-Month-Hour'!T129,$B$21*'LBMP_by_Year-Month-Hour'!T$134*'LBMP_by_Year-Month-Hour'!T161,$B$22*'LBMP_by_Year-Month-Hour'!T$166*'LBMP_by_Year-Month-Hour'!T193,$B$23*'LBMP_by_Year-Month-Hour'!T$198*'LBMP_by_Year-Month-Hour'!T225,$B$24*'LBMP_by_Year-Month-Hour'!T$230*'LBMP_by_Year-Month-Hour'!T257,$B$25*'LBMP_by_Year-Month-Hour'!T$262*'LBMP_by_Year-Month-Hour'!T289,$B$26*'LBMP_by_Year-Month-Hour'!T$294*'LBMP_by_Year-Month-Hour'!T321,$B$27*'LBMP_by_Year-Month-Hour'!T$326*'LBMP_by_Year-Month-Hour'!T353,$B$28*'LBMP_by_Year-Month-Hour'!T$358*'LBMP_by_Year-Month-Hour'!T385,$B$29*'LBMP_by_Year-Month-Hour'!T$390*'LBMP_by_Year-Month-Hour'!T417,$B$30*'LBMP_by_Year-Month-Hour'!T$422*'LBMP_by_Year-Month-Hour'!T449,$B$31*'LBMP_by_Year-Month-Hour'!T$454*'LBMP_by_Year-Month-Hour'!T481,$B$32*'LBMP_by_Year-Month-Hour'!T$486*'LBMP_by_Year-Month-Hour'!T513,$B$33*'LBMP_by_Year-Month-Hour'!T$518*'LBMP_by_Year-Month-Hour'!T545,$B$34*'LBMP_by_Year-Month-Hour'!T$550*'LBMP_by_Year-Month-Hour'!T577,$B$35*'LBMP_by_Year-Month-Hour'!T$582*'LBMP_by_Year-Month-Hour'!T609)*T42/$C$6/24</f>
        <v>0</v>
      </c>
      <c r="V73">
        <v>23</v>
      </c>
      <c r="W73">
        <f>SUM($B$19*'LBMP_by_Year-Month-Hour'!W$70*'LBMP_by_Year-Month-Hour'!W97,$B$20*'LBMP_by_Year-Month-Hour'!W$102*'LBMP_by_Year-Month-Hour'!W129,$B$21*'LBMP_by_Year-Month-Hour'!W$134*'LBMP_by_Year-Month-Hour'!W161,$B$22*'LBMP_by_Year-Month-Hour'!W$166*'LBMP_by_Year-Month-Hour'!W193,$B$23*'LBMP_by_Year-Month-Hour'!W$198*'LBMP_by_Year-Month-Hour'!W225,$B$24*'LBMP_by_Year-Month-Hour'!W$230*'LBMP_by_Year-Month-Hour'!W257,$B$25*'LBMP_by_Year-Month-Hour'!W$262*'LBMP_by_Year-Month-Hour'!W289,$B$26*'LBMP_by_Year-Month-Hour'!W$294*'LBMP_by_Year-Month-Hour'!W321,$B$27*'LBMP_by_Year-Month-Hour'!W$326*'LBMP_by_Year-Month-Hour'!W353,$B$28*'LBMP_by_Year-Month-Hour'!W$358*'LBMP_by_Year-Month-Hour'!W385,$B$29*'LBMP_by_Year-Month-Hour'!W$390*'LBMP_by_Year-Month-Hour'!W417,$B$30*'LBMP_by_Year-Month-Hour'!W$422*'LBMP_by_Year-Month-Hour'!W449,$B$31*'LBMP_by_Year-Month-Hour'!W$454*'LBMP_by_Year-Month-Hour'!W481,$B$32*'LBMP_by_Year-Month-Hour'!W$486*'LBMP_by_Year-Month-Hour'!W513,$B$33*'LBMP_by_Year-Month-Hour'!W$518*'LBMP_by_Year-Month-Hour'!W545,$B$34*'LBMP_by_Year-Month-Hour'!W$550*'LBMP_by_Year-Month-Hour'!W577,$B$35*'LBMP_by_Year-Month-Hour'!W$582*'LBMP_by_Year-Month-Hour'!W609)*W42/$C$6/24</f>
        <v>0</v>
      </c>
      <c r="Y73">
        <v>23</v>
      </c>
      <c r="Z73">
        <f>SUM($B$19*'LBMP_by_Year-Month-Hour'!Z$70*'LBMP_by_Year-Month-Hour'!Z97,$B$20*'LBMP_by_Year-Month-Hour'!Z$102*'LBMP_by_Year-Month-Hour'!Z129,$B$21*'LBMP_by_Year-Month-Hour'!Z$134*'LBMP_by_Year-Month-Hour'!Z161,$B$22*'LBMP_by_Year-Month-Hour'!Z$166*'LBMP_by_Year-Month-Hour'!Z193,$B$23*'LBMP_by_Year-Month-Hour'!Z$198*'LBMP_by_Year-Month-Hour'!Z225,$B$24*'LBMP_by_Year-Month-Hour'!Z$230*'LBMP_by_Year-Month-Hour'!Z257,$B$25*'LBMP_by_Year-Month-Hour'!Z$262*'LBMP_by_Year-Month-Hour'!Z289,$B$26*'LBMP_by_Year-Month-Hour'!Z$294*'LBMP_by_Year-Month-Hour'!Z321,$B$27*'LBMP_by_Year-Month-Hour'!Z$326*'LBMP_by_Year-Month-Hour'!Z353,$B$28*'LBMP_by_Year-Month-Hour'!Z$358*'LBMP_by_Year-Month-Hour'!Z385,$B$29*'LBMP_by_Year-Month-Hour'!Z$390*'LBMP_by_Year-Month-Hour'!Z417,$B$30*'LBMP_by_Year-Month-Hour'!Z$422*'LBMP_by_Year-Month-Hour'!Z449,$B$31*'LBMP_by_Year-Month-Hour'!Z$454*'LBMP_by_Year-Month-Hour'!Z481,$B$32*'LBMP_by_Year-Month-Hour'!Z$486*'LBMP_by_Year-Month-Hour'!Z513,$B$33*'LBMP_by_Year-Month-Hour'!Z$518*'LBMP_by_Year-Month-Hour'!Z545,$B$34*'LBMP_by_Year-Month-Hour'!Z$550*'LBMP_by_Year-Month-Hour'!Z577,$B$35*'LBMP_by_Year-Month-Hour'!Z$582*'LBMP_by_Year-Month-Hour'!Z609)*Z42/$C$6/24</f>
        <v>0</v>
      </c>
      <c r="AB73">
        <v>23</v>
      </c>
      <c r="AC73">
        <f>SUM($B$19*'LBMP_by_Year-Month-Hour'!AC$70*'LBMP_by_Year-Month-Hour'!AC97,$B$20*'LBMP_by_Year-Month-Hour'!AC$102*'LBMP_by_Year-Month-Hour'!AC129,$B$21*'LBMP_by_Year-Month-Hour'!AC$134*'LBMP_by_Year-Month-Hour'!AC161,$B$22*'LBMP_by_Year-Month-Hour'!AC$166*'LBMP_by_Year-Month-Hour'!AC193,$B$23*'LBMP_by_Year-Month-Hour'!AC$198*'LBMP_by_Year-Month-Hour'!AC225,$B$24*'LBMP_by_Year-Month-Hour'!AC$230*'LBMP_by_Year-Month-Hour'!AC257,$B$25*'LBMP_by_Year-Month-Hour'!AC$262*'LBMP_by_Year-Month-Hour'!AC289,$B$26*'LBMP_by_Year-Month-Hour'!AC$294*'LBMP_by_Year-Month-Hour'!AC321,$B$27*'LBMP_by_Year-Month-Hour'!AC$326*'LBMP_by_Year-Month-Hour'!AC353,$B$28*'LBMP_by_Year-Month-Hour'!AC$358*'LBMP_by_Year-Month-Hour'!AC385,$B$29*'LBMP_by_Year-Month-Hour'!AC$390*'LBMP_by_Year-Month-Hour'!AC417,$B$30*'LBMP_by_Year-Month-Hour'!AC$422*'LBMP_by_Year-Month-Hour'!AC449,$B$31*'LBMP_by_Year-Month-Hour'!AC$454*'LBMP_by_Year-Month-Hour'!AC481,$B$32*'LBMP_by_Year-Month-Hour'!AC$486*'LBMP_by_Year-Month-Hour'!AC513,$B$33*'LBMP_by_Year-Month-Hour'!AC$518*'LBMP_by_Year-Month-Hour'!AC545,$B$34*'LBMP_by_Year-Month-Hour'!AC$550*'LBMP_by_Year-Month-Hour'!AC577,$B$35*'LBMP_by_Year-Month-Hour'!AC$582*'LBMP_by_Year-Month-Hour'!AC609)*AC42/$C$6/24</f>
        <v>0</v>
      </c>
      <c r="AE73">
        <v>23</v>
      </c>
      <c r="AF73">
        <f>SUM($B$19*'LBMP_by_Year-Month-Hour'!AF$70*'LBMP_by_Year-Month-Hour'!AF97,$B$20*'LBMP_by_Year-Month-Hour'!AF$102*'LBMP_by_Year-Month-Hour'!AF129,$B$21*'LBMP_by_Year-Month-Hour'!AF$134*'LBMP_by_Year-Month-Hour'!AF161,$B$22*'LBMP_by_Year-Month-Hour'!AF$166*'LBMP_by_Year-Month-Hour'!AF193,$B$23*'LBMP_by_Year-Month-Hour'!AF$198*'LBMP_by_Year-Month-Hour'!AF225,$B$24*'LBMP_by_Year-Month-Hour'!AF$230*'LBMP_by_Year-Month-Hour'!AF257,$B$25*'LBMP_by_Year-Month-Hour'!AF$262*'LBMP_by_Year-Month-Hour'!AF289,$B$26*'LBMP_by_Year-Month-Hour'!AF$294*'LBMP_by_Year-Month-Hour'!AF321,$B$27*'LBMP_by_Year-Month-Hour'!AF$326*'LBMP_by_Year-Month-Hour'!AF353,$B$28*'LBMP_by_Year-Month-Hour'!AF$358*'LBMP_by_Year-Month-Hour'!AF385,$B$29*'LBMP_by_Year-Month-Hour'!AF$390*'LBMP_by_Year-Month-Hour'!AF417,$B$30*'LBMP_by_Year-Month-Hour'!AF$422*'LBMP_by_Year-Month-Hour'!AF449,$B$31*'LBMP_by_Year-Month-Hour'!AF$454*'LBMP_by_Year-Month-Hour'!AF481,$B$32*'LBMP_by_Year-Month-Hour'!AF$486*'LBMP_by_Year-Month-Hour'!AF513,$B$33*'LBMP_by_Year-Month-Hour'!AF$518*'LBMP_by_Year-Month-Hour'!AF545,$B$34*'LBMP_by_Year-Month-Hour'!AF$550*'LBMP_by_Year-Month-Hour'!AF577,$B$35*'LBMP_by_Year-Month-Hour'!AF$582*'LBMP_by_Year-Month-Hour'!AF609)*AF42/$C$6/24</f>
        <v>0</v>
      </c>
      <c r="AH73">
        <v>23</v>
      </c>
      <c r="AI73">
        <f>SUM($B$19*'LBMP_by_Year-Month-Hour'!AI$70*'LBMP_by_Year-Month-Hour'!AI97,$B$20*'LBMP_by_Year-Month-Hour'!AI$102*'LBMP_by_Year-Month-Hour'!AI129,$B$21*'LBMP_by_Year-Month-Hour'!AI$134*'LBMP_by_Year-Month-Hour'!AI161,$B$22*'LBMP_by_Year-Month-Hour'!AI$166*'LBMP_by_Year-Month-Hour'!AI193,$B$23*'LBMP_by_Year-Month-Hour'!AI$198*'LBMP_by_Year-Month-Hour'!AI225,$B$24*'LBMP_by_Year-Month-Hour'!AI$230*'LBMP_by_Year-Month-Hour'!AI257,$B$25*'LBMP_by_Year-Month-Hour'!AI$262*'LBMP_by_Year-Month-Hour'!AI289,$B$26*'LBMP_by_Year-Month-Hour'!AI$294*'LBMP_by_Year-Month-Hour'!AI321,$B$27*'LBMP_by_Year-Month-Hour'!AI$326*'LBMP_by_Year-Month-Hour'!AI353,$B$28*'LBMP_by_Year-Month-Hour'!AI$358*'LBMP_by_Year-Month-Hour'!AI385,$B$29*'LBMP_by_Year-Month-Hour'!AI$390*'LBMP_by_Year-Month-Hour'!AI417,$B$30*'LBMP_by_Year-Month-Hour'!AI$422*'LBMP_by_Year-Month-Hour'!AI449,$B$31*'LBMP_by_Year-Month-Hour'!AI$454*'LBMP_by_Year-Month-Hour'!AI481,$B$32*'LBMP_by_Year-Month-Hour'!AI$486*'LBMP_by_Year-Month-Hour'!AI513,$B$33*'LBMP_by_Year-Month-Hour'!AI$518*'LBMP_by_Year-Month-Hour'!AI545,$B$34*'LBMP_by_Year-Month-Hour'!AI$550*'LBMP_by_Year-Month-Hour'!AI577,$B$35*'LBMP_by_Year-Month-Hour'!AI$582*'LBMP_by_Year-Month-Hour'!AI609)*AI42/$C$6/24</f>
        <v>0</v>
      </c>
      <c r="AK73">
        <v>23</v>
      </c>
      <c r="AL73">
        <f>SUM($B$19*'LBMP_by_Year-Month-Hour'!AL$70*'LBMP_by_Year-Month-Hour'!AL97,$B$20*'LBMP_by_Year-Month-Hour'!AL$102*'LBMP_by_Year-Month-Hour'!AL129,$B$21*'LBMP_by_Year-Month-Hour'!AL$134*'LBMP_by_Year-Month-Hour'!AL161,$B$22*'LBMP_by_Year-Month-Hour'!AL$166*'LBMP_by_Year-Month-Hour'!AL193,$B$23*'LBMP_by_Year-Month-Hour'!AL$198*'LBMP_by_Year-Month-Hour'!AL225,$B$24*'LBMP_by_Year-Month-Hour'!AL$230*'LBMP_by_Year-Month-Hour'!AL257,$B$25*'LBMP_by_Year-Month-Hour'!AL$262*'LBMP_by_Year-Month-Hour'!AL289,$B$26*'LBMP_by_Year-Month-Hour'!AL$294*'LBMP_by_Year-Month-Hour'!AL321,$B$27*'LBMP_by_Year-Month-Hour'!AL$326*'LBMP_by_Year-Month-Hour'!AL353,$B$28*'LBMP_by_Year-Month-Hour'!AL$358*'LBMP_by_Year-Month-Hour'!AL385,$B$29*'LBMP_by_Year-Month-Hour'!AL$390*'LBMP_by_Year-Month-Hour'!AL417,$B$30*'LBMP_by_Year-Month-Hour'!AL$422*'LBMP_by_Year-Month-Hour'!AL449,$B$31*'LBMP_by_Year-Month-Hour'!AL$454*'LBMP_by_Year-Month-Hour'!AL481,$B$32*'LBMP_by_Year-Month-Hour'!AL$486*'LBMP_by_Year-Month-Hour'!AL513,$B$33*'LBMP_by_Year-Month-Hour'!AL$518*'LBMP_by_Year-Month-Hour'!AL545,$B$34*'LBMP_by_Year-Month-Hour'!AL$550*'LBMP_by_Year-Month-Hour'!AL577,$B$35*'LBMP_by_Year-Month-Hour'!AL$582*'LBMP_by_Year-Month-Hour'!AL609)*AL42/$C$6/24</f>
        <v>0</v>
      </c>
    </row>
    <row r="74" spans="1:38">
      <c r="A74" s="94" t="s">
        <v>312</v>
      </c>
      <c r="B74">
        <f>SUM(B50:B73)</f>
        <v>251820.87356821159</v>
      </c>
      <c r="D74" t="s">
        <v>312</v>
      </c>
      <c r="E74">
        <f>SUM(E50:E73)</f>
        <v>0</v>
      </c>
      <c r="G74" t="s">
        <v>312</v>
      </c>
      <c r="H74">
        <f>SUM(H50:H73)</f>
        <v>0</v>
      </c>
      <c r="J74" t="s">
        <v>312</v>
      </c>
      <c r="K74">
        <f>SUM(K50:K73)</f>
        <v>0</v>
      </c>
      <c r="M74" t="s">
        <v>312</v>
      </c>
      <c r="N74">
        <f>SUM(N50:N73)</f>
        <v>0</v>
      </c>
      <c r="P74" t="s">
        <v>312</v>
      </c>
      <c r="Q74">
        <f>SUM(Q50:Q73)</f>
        <v>0</v>
      </c>
      <c r="S74" t="s">
        <v>312</v>
      </c>
      <c r="T74">
        <f>SUM(T50:T73)</f>
        <v>22749.837790240577</v>
      </c>
      <c r="V74" t="s">
        <v>312</v>
      </c>
      <c r="W74">
        <f>SUM(W50:W73)</f>
        <v>80972.539251384878</v>
      </c>
      <c r="Y74" t="s">
        <v>312</v>
      </c>
      <c r="Z74">
        <f>SUM(Z50:Z73)</f>
        <v>93849.269988816042</v>
      </c>
      <c r="AB74" t="s">
        <v>312</v>
      </c>
      <c r="AC74">
        <f>SUM(AC50:AC73)</f>
        <v>54249.226537770024</v>
      </c>
      <c r="AE74" t="s">
        <v>312</v>
      </c>
      <c r="AF74">
        <f>SUM(AF50:AF73)</f>
        <v>0</v>
      </c>
      <c r="AH74" t="s">
        <v>312</v>
      </c>
      <c r="AI74">
        <f>SUM(AI50:AI73)</f>
        <v>0</v>
      </c>
      <c r="AK74" t="s">
        <v>312</v>
      </c>
      <c r="AL74">
        <f>SUM(AL50:AL73)</f>
        <v>0</v>
      </c>
    </row>
    <row r="76" spans="1:38">
      <c r="A76" s="94" t="s">
        <v>319</v>
      </c>
    </row>
    <row r="78" spans="1:38">
      <c r="A78" s="94" t="s">
        <v>314</v>
      </c>
      <c r="B78" s="99" t="s">
        <v>315</v>
      </c>
      <c r="D78">
        <v>1</v>
      </c>
      <c r="E78" s="99" t="s">
        <v>316</v>
      </c>
      <c r="G78">
        <v>2</v>
      </c>
      <c r="H78" s="99" t="s">
        <v>316</v>
      </c>
      <c r="J78">
        <v>3</v>
      </c>
      <c r="K78" s="99" t="s">
        <v>316</v>
      </c>
      <c r="M78">
        <v>4</v>
      </c>
      <c r="N78" s="99" t="s">
        <v>316</v>
      </c>
      <c r="P78">
        <v>5</v>
      </c>
      <c r="Q78" s="99" t="s">
        <v>316</v>
      </c>
      <c r="S78">
        <v>6</v>
      </c>
      <c r="T78" s="99" t="s">
        <v>316</v>
      </c>
      <c r="V78">
        <v>7</v>
      </c>
      <c r="W78" s="99" t="s">
        <v>316</v>
      </c>
      <c r="Y78">
        <v>8</v>
      </c>
      <c r="Z78" s="99" t="s">
        <v>316</v>
      </c>
      <c r="AB78">
        <v>9</v>
      </c>
      <c r="AC78" s="99" t="s">
        <v>316</v>
      </c>
      <c r="AE78">
        <v>10</v>
      </c>
      <c r="AF78" s="99" t="s">
        <v>316</v>
      </c>
      <c r="AH78">
        <v>11</v>
      </c>
      <c r="AI78" s="99" t="s">
        <v>316</v>
      </c>
      <c r="AK78">
        <v>12</v>
      </c>
      <c r="AL78" s="99" t="s">
        <v>316</v>
      </c>
    </row>
    <row r="79" spans="1:38">
      <c r="A79" s="94" t="s">
        <v>317</v>
      </c>
      <c r="B79" s="58">
        <f>'LBMP_by_Year-Month-Hour'!B70+'LBMP_by_Year-Month-Hour'!B102+'LBMP_by_Year-Month-Hour'!B134+'LBMP_by_Year-Month-Hour'!B166+'LBMP_by_Year-Month-Hour'!B198+'LBMP_by_Year-Month-Hour'!B230+'LBMP_by_Year-Month-Hour'!B262+'LBMP_by_Year-Month-Hour'!B294+'LBMP_by_Year-Month-Hour'!B326+'LBMP_by_Year-Month-Hour'!B358+'LBMP_by_Year-Month-Hour'!B390+'LBMP_by_Year-Month-Hour'!B422+'LBMP_by_Year-Month-Hour'!B454+'LBMP_by_Year-Month-Hour'!B486+'LBMP_by_Year-Month-Hour'!B518+'LBMP_by_Year-Month-Hour'!B550+'LBMP_by_Year-Month-Hour'!B582</f>
        <v>149016</v>
      </c>
      <c r="D79" s="94" t="str">
        <f ca="1">TEXT(DATE(YEAR(TODAY()),D78,1),"mmmm")</f>
        <v>January</v>
      </c>
      <c r="E79" s="58">
        <f>'LBMP_by_Year-Month-Hour'!E70+'LBMP_by_Year-Month-Hour'!E102+'LBMP_by_Year-Month-Hour'!E134+'LBMP_by_Year-Month-Hour'!E166+'LBMP_by_Year-Month-Hour'!E198+'LBMP_by_Year-Month-Hour'!E230+'LBMP_by_Year-Month-Hour'!E262+'LBMP_by_Year-Month-Hour'!E294+'LBMP_by_Year-Month-Hour'!E326+'LBMP_by_Year-Month-Hour'!E358+'LBMP_by_Year-Month-Hour'!E390+'LBMP_by_Year-Month-Hour'!E422+'LBMP_by_Year-Month-Hour'!E454+'LBMP_by_Year-Month-Hour'!E486+'LBMP_by_Year-Month-Hour'!E518+'LBMP_by_Year-Month-Hour'!E550+'LBMP_by_Year-Month-Hour'!E582</f>
        <v>12648</v>
      </c>
      <c r="G79" s="94" t="str">
        <f ca="1">TEXT(DATE(YEAR(TODAY()),G78,1),"mmmm")</f>
        <v>February</v>
      </c>
      <c r="H79" s="58">
        <f>'LBMP_by_Year-Month-Hour'!H70+'LBMP_by_Year-Month-Hour'!H102+'LBMP_by_Year-Month-Hour'!H134+'LBMP_by_Year-Month-Hour'!H166+'LBMP_by_Year-Month-Hour'!H198+'LBMP_by_Year-Month-Hour'!H230+'LBMP_by_Year-Month-Hour'!H262+'LBMP_by_Year-Month-Hour'!H294+'LBMP_by_Year-Month-Hour'!H326+'LBMP_by_Year-Month-Hour'!H358+'LBMP_by_Year-Month-Hour'!H390+'LBMP_by_Year-Month-Hour'!H422+'LBMP_by_Year-Month-Hour'!H454+'LBMP_by_Year-Month-Hour'!H486+'LBMP_by_Year-Month-Hour'!H518+'LBMP_by_Year-Month-Hour'!H550+'LBMP_by_Year-Month-Hour'!H582</f>
        <v>11520</v>
      </c>
      <c r="J79" s="94" t="str">
        <f ca="1">TEXT(DATE(YEAR(TODAY()),J78,1),"mmmm")</f>
        <v>March</v>
      </c>
      <c r="K79" s="58">
        <f>'LBMP_by_Year-Month-Hour'!K70+'LBMP_by_Year-Month-Hour'!K102+'LBMP_by_Year-Month-Hour'!K134+'LBMP_by_Year-Month-Hour'!K166+'LBMP_by_Year-Month-Hour'!K198+'LBMP_by_Year-Month-Hour'!K230+'LBMP_by_Year-Month-Hour'!K262+'LBMP_by_Year-Month-Hour'!K294+'LBMP_by_Year-Month-Hour'!K326+'LBMP_by_Year-Month-Hour'!K358+'LBMP_by_Year-Month-Hour'!K390+'LBMP_by_Year-Month-Hour'!K422+'LBMP_by_Year-Month-Hour'!K454+'LBMP_by_Year-Month-Hour'!K486+'LBMP_by_Year-Month-Hour'!K518+'LBMP_by_Year-Month-Hour'!K550+'LBMP_by_Year-Month-Hour'!K582</f>
        <v>12631</v>
      </c>
      <c r="M79" s="94" t="str">
        <f ca="1">TEXT(DATE(YEAR(TODAY()),M78,1),"mmmm")</f>
        <v>April</v>
      </c>
      <c r="N79" s="58">
        <f>'LBMP_by_Year-Month-Hour'!N70+'LBMP_by_Year-Month-Hour'!N102+'LBMP_by_Year-Month-Hour'!N134+'LBMP_by_Year-Month-Hour'!N166+'LBMP_by_Year-Month-Hour'!N198+'LBMP_by_Year-Month-Hour'!N230+'LBMP_by_Year-Month-Hour'!N262+'LBMP_by_Year-Month-Hour'!N294+'LBMP_by_Year-Month-Hour'!N326+'LBMP_by_Year-Month-Hour'!N358+'LBMP_by_Year-Month-Hour'!N390+'LBMP_by_Year-Month-Hour'!N422+'LBMP_by_Year-Month-Hour'!N454+'LBMP_by_Year-Month-Hour'!N486+'LBMP_by_Year-Month-Hour'!N518+'LBMP_by_Year-Month-Hour'!N550+'LBMP_by_Year-Month-Hour'!N582</f>
        <v>12240</v>
      </c>
      <c r="P79" s="94" t="str">
        <f ca="1">TEXT(DATE(YEAR(TODAY()),P78,1),"mmmm")</f>
        <v>May</v>
      </c>
      <c r="Q79" s="58">
        <f>'LBMP_by_Year-Month-Hour'!Q70+'LBMP_by_Year-Month-Hour'!Q102+'LBMP_by_Year-Month-Hour'!Q134+'LBMP_by_Year-Month-Hour'!Q166+'LBMP_by_Year-Month-Hour'!Q198+'LBMP_by_Year-Month-Hour'!Q230+'LBMP_by_Year-Month-Hour'!Q262+'LBMP_by_Year-Month-Hour'!Q294+'LBMP_by_Year-Month-Hour'!Q326+'LBMP_by_Year-Month-Hour'!Q358+'LBMP_by_Year-Month-Hour'!Q390+'LBMP_by_Year-Month-Hour'!Q422+'LBMP_by_Year-Month-Hour'!Q454+'LBMP_by_Year-Month-Hour'!Q486+'LBMP_by_Year-Month-Hour'!Q518+'LBMP_by_Year-Month-Hour'!Q550+'LBMP_by_Year-Month-Hour'!Q582</f>
        <v>12648</v>
      </c>
      <c r="S79" s="94" t="str">
        <f ca="1">TEXT(DATE(YEAR(TODAY()),S78,1),"mmmm")</f>
        <v>June</v>
      </c>
      <c r="T79" s="58">
        <f>'LBMP_by_Year-Month-Hour'!T70+'LBMP_by_Year-Month-Hour'!T102+'LBMP_by_Year-Month-Hour'!T134+'LBMP_by_Year-Month-Hour'!T166+'LBMP_by_Year-Month-Hour'!T198+'LBMP_by_Year-Month-Hour'!T230+'LBMP_by_Year-Month-Hour'!T262+'LBMP_by_Year-Month-Hour'!T294+'LBMP_by_Year-Month-Hour'!T326+'LBMP_by_Year-Month-Hour'!T358+'LBMP_by_Year-Month-Hour'!T390+'LBMP_by_Year-Month-Hour'!T422+'LBMP_by_Year-Month-Hour'!T454+'LBMP_by_Year-Month-Hour'!T486+'LBMP_by_Year-Month-Hour'!T518+'LBMP_by_Year-Month-Hour'!T550+'LBMP_by_Year-Month-Hour'!T582</f>
        <v>12240</v>
      </c>
      <c r="V79" s="94" t="str">
        <f ca="1">TEXT(DATE(YEAR(TODAY()),V78,1),"mmmm")</f>
        <v>July</v>
      </c>
      <c r="W79" s="58">
        <f>'LBMP_by_Year-Month-Hour'!W70+'LBMP_by_Year-Month-Hour'!W102+'LBMP_by_Year-Month-Hour'!W134+'LBMP_by_Year-Month-Hour'!W166+'LBMP_by_Year-Month-Hour'!W198+'LBMP_by_Year-Month-Hour'!W230+'LBMP_by_Year-Month-Hour'!W262+'LBMP_by_Year-Month-Hour'!W294+'LBMP_by_Year-Month-Hour'!W326+'LBMP_by_Year-Month-Hour'!W358+'LBMP_by_Year-Month-Hour'!W390+'LBMP_by_Year-Month-Hour'!W422+'LBMP_by_Year-Month-Hour'!W454+'LBMP_by_Year-Month-Hour'!W486+'LBMP_by_Year-Month-Hour'!W518+'LBMP_by_Year-Month-Hour'!W550+'LBMP_by_Year-Month-Hour'!W582</f>
        <v>12648</v>
      </c>
      <c r="Y79" s="94" t="str">
        <f ca="1">TEXT(DATE(YEAR(TODAY()),Y78,1),"mmmm")</f>
        <v>August</v>
      </c>
      <c r="Z79" s="58">
        <f>'LBMP_by_Year-Month-Hour'!Z70+'LBMP_by_Year-Month-Hour'!Z102+'LBMP_by_Year-Month-Hour'!Z134+'LBMP_by_Year-Month-Hour'!Z166+'LBMP_by_Year-Month-Hour'!Z198+'LBMP_by_Year-Month-Hour'!Z230+'LBMP_by_Year-Month-Hour'!Z262+'LBMP_by_Year-Month-Hour'!Z294+'LBMP_by_Year-Month-Hour'!Z326+'LBMP_by_Year-Month-Hour'!Z358+'LBMP_by_Year-Month-Hour'!Z390+'LBMP_by_Year-Month-Hour'!Z422+'LBMP_by_Year-Month-Hour'!Z454+'LBMP_by_Year-Month-Hour'!Z486+'LBMP_by_Year-Month-Hour'!Z518+'LBMP_by_Year-Month-Hour'!Z550+'LBMP_by_Year-Month-Hour'!Z582</f>
        <v>12648</v>
      </c>
      <c r="AB79" s="94" t="str">
        <f ca="1">TEXT(DATE(YEAR(TODAY()),AB78,1),"mmmm")</f>
        <v>September</v>
      </c>
      <c r="AC79" s="58">
        <f>'LBMP_by_Year-Month-Hour'!AC70+'LBMP_by_Year-Month-Hour'!AC102+'LBMP_by_Year-Month-Hour'!AC134+'LBMP_by_Year-Month-Hour'!AC166+'LBMP_by_Year-Month-Hour'!AC198+'LBMP_by_Year-Month-Hour'!AC230+'LBMP_by_Year-Month-Hour'!AC262+'LBMP_by_Year-Month-Hour'!AC294+'LBMP_by_Year-Month-Hour'!AC326+'LBMP_by_Year-Month-Hour'!AC358+'LBMP_by_Year-Month-Hour'!AC390+'LBMP_by_Year-Month-Hour'!AC422+'LBMP_by_Year-Month-Hour'!AC454+'LBMP_by_Year-Month-Hour'!AC486+'LBMP_by_Year-Month-Hour'!AC518+'LBMP_by_Year-Month-Hour'!AC550+'LBMP_by_Year-Month-Hour'!AC582</f>
        <v>12240</v>
      </c>
      <c r="AE79" s="94" t="str">
        <f ca="1">TEXT(DATE(YEAR(TODAY()),AE78,1),"mmmm")</f>
        <v>October</v>
      </c>
      <c r="AF79" s="58">
        <f>'LBMP_by_Year-Month-Hour'!AF70+'LBMP_by_Year-Month-Hour'!AF102+'LBMP_by_Year-Month-Hour'!AF134+'LBMP_by_Year-Month-Hour'!AF166+'LBMP_by_Year-Month-Hour'!AF198+'LBMP_by_Year-Month-Hour'!AF230+'LBMP_by_Year-Month-Hour'!AF262+'LBMP_by_Year-Month-Hour'!AF294+'LBMP_by_Year-Month-Hour'!AF326+'LBMP_by_Year-Month-Hour'!AF358+'LBMP_by_Year-Month-Hour'!AF390+'LBMP_by_Year-Month-Hour'!AF422+'LBMP_by_Year-Month-Hour'!AF454+'LBMP_by_Year-Month-Hour'!AF486+'LBMP_by_Year-Month-Hour'!AF518+'LBMP_by_Year-Month-Hour'!AF550+'LBMP_by_Year-Month-Hour'!AF582</f>
        <v>12648</v>
      </c>
      <c r="AH79" s="94" t="str">
        <f ca="1">TEXT(DATE(YEAR(TODAY()),AH78,1),"mmmm")</f>
        <v>November</v>
      </c>
      <c r="AI79" s="58">
        <f>'LBMP_by_Year-Month-Hour'!AI70+'LBMP_by_Year-Month-Hour'!AI102+'LBMP_by_Year-Month-Hour'!AI134+'LBMP_by_Year-Month-Hour'!AI166+'LBMP_by_Year-Month-Hour'!AI198+'LBMP_by_Year-Month-Hour'!AI230+'LBMP_by_Year-Month-Hour'!AI262+'LBMP_by_Year-Month-Hour'!AI294+'LBMP_by_Year-Month-Hour'!AI326+'LBMP_by_Year-Month-Hour'!AI358+'LBMP_by_Year-Month-Hour'!AI390+'LBMP_by_Year-Month-Hour'!AI422+'LBMP_by_Year-Month-Hour'!AI454+'LBMP_by_Year-Month-Hour'!AI486+'LBMP_by_Year-Month-Hour'!AI518+'LBMP_by_Year-Month-Hour'!AI550+'LBMP_by_Year-Month-Hour'!AI582</f>
        <v>12257</v>
      </c>
      <c r="AK79" s="94" t="str">
        <f ca="1">TEXT(DATE(YEAR(TODAY()),AK78,1),"mmmm")</f>
        <v>December</v>
      </c>
      <c r="AL79" s="58">
        <f>'LBMP_by_Year-Month-Hour'!AL70+'LBMP_by_Year-Month-Hour'!AL102+'LBMP_by_Year-Month-Hour'!AL134+'LBMP_by_Year-Month-Hour'!AL166+'LBMP_by_Year-Month-Hour'!AL198+'LBMP_by_Year-Month-Hour'!AL230+'LBMP_by_Year-Month-Hour'!AL262+'LBMP_by_Year-Month-Hour'!AL294+'LBMP_by_Year-Month-Hour'!AL326+'LBMP_by_Year-Month-Hour'!AL358+'LBMP_by_Year-Month-Hour'!AL390+'LBMP_by_Year-Month-Hour'!AL422+'LBMP_by_Year-Month-Hour'!AL454+'LBMP_by_Year-Month-Hour'!AL486+'LBMP_by_Year-Month-Hour'!AL518+'LBMP_by_Year-Month-Hour'!AL550+'LBMP_by_Year-Month-Hour'!AL582</f>
        <v>12648</v>
      </c>
    </row>
    <row r="80" spans="1:38">
      <c r="A80" t="s">
        <v>293</v>
      </c>
      <c r="B80" t="s">
        <v>320</v>
      </c>
      <c r="D80" t="s">
        <v>293</v>
      </c>
      <c r="E80" t="s">
        <v>320</v>
      </c>
      <c r="G80" t="s">
        <v>293</v>
      </c>
      <c r="H80" t="s">
        <v>320</v>
      </c>
      <c r="J80" t="s">
        <v>293</v>
      </c>
      <c r="K80" t="s">
        <v>320</v>
      </c>
      <c r="M80" t="s">
        <v>293</v>
      </c>
      <c r="N80" t="s">
        <v>320</v>
      </c>
      <c r="P80" t="s">
        <v>293</v>
      </c>
      <c r="Q80" t="s">
        <v>320</v>
      </c>
      <c r="S80" t="s">
        <v>293</v>
      </c>
      <c r="T80" t="s">
        <v>320</v>
      </c>
      <c r="V80" t="s">
        <v>293</v>
      </c>
      <c r="W80" t="s">
        <v>320</v>
      </c>
      <c r="Y80" t="s">
        <v>293</v>
      </c>
      <c r="Z80" t="s">
        <v>320</v>
      </c>
      <c r="AB80" t="s">
        <v>293</v>
      </c>
      <c r="AC80" t="s">
        <v>320</v>
      </c>
      <c r="AE80" t="s">
        <v>293</v>
      </c>
      <c r="AF80" t="s">
        <v>320</v>
      </c>
      <c r="AH80" t="s">
        <v>293</v>
      </c>
      <c r="AI80" t="s">
        <v>320</v>
      </c>
      <c r="AK80" t="s">
        <v>293</v>
      </c>
      <c r="AL80" t="s">
        <v>320</v>
      </c>
    </row>
    <row r="81" spans="1:38">
      <c r="A81">
        <v>0</v>
      </c>
      <c r="B81">
        <f t="shared" ref="B81:B104" si="10">E81+H81+K81+N81+Q81+T81+W81+Z81+AC81+AF81+AI81+AL81</f>
        <v>-92367.485438434756</v>
      </c>
      <c r="D81">
        <v>0</v>
      </c>
      <c r="E81">
        <f>NPV($C$7,$B$19*'LBMP_by_Year-Month-Hour'!E$70*'LBMP_by_Year-Month-Hour'!E74,$B$20*'LBMP_by_Year-Month-Hour'!E$102*'LBMP_by_Year-Month-Hour'!E106,$B$21*'LBMP_by_Year-Month-Hour'!E$134*'LBMP_by_Year-Month-Hour'!E138,$B$22*'LBMP_by_Year-Month-Hour'!E$166*'LBMP_by_Year-Month-Hour'!E170,$B$23*'LBMP_by_Year-Month-Hour'!E$198*'LBMP_by_Year-Month-Hour'!E202,$B$24*'LBMP_by_Year-Month-Hour'!E$230*'LBMP_by_Year-Month-Hour'!E234,$B$25*'LBMP_by_Year-Month-Hour'!E$262*'LBMP_by_Year-Month-Hour'!E266,$B$26*'LBMP_by_Year-Month-Hour'!E$294*'LBMP_by_Year-Month-Hour'!E298,$B$27*'LBMP_by_Year-Month-Hour'!E$326*'LBMP_by_Year-Month-Hour'!E330,$B$28*'LBMP_by_Year-Month-Hour'!E$358*'LBMP_by_Year-Month-Hour'!E362,$B$29*'LBMP_by_Year-Month-Hour'!E$390*'LBMP_by_Year-Month-Hour'!E394,$B$30*'LBMP_by_Year-Month-Hour'!E$422*'LBMP_by_Year-Month-Hour'!E426,$B$31*'LBMP_by_Year-Month-Hour'!E$454*'LBMP_by_Year-Month-Hour'!E458,$B$32*'LBMP_by_Year-Month-Hour'!E$486*'LBMP_by_Year-Month-Hour'!E490,$B$33*'LBMP_by_Year-Month-Hour'!E$518*'LBMP_by_Year-Month-Hour'!E522,$B$34*'LBMP_by_Year-Month-Hour'!E$550*'LBMP_by_Year-Month-Hour'!E554,$B$35*'LBMP_by_Year-Month-Hour'!E$582*'LBMP_by_Year-Month-Hour'!E586)*E19/$C$6/24</f>
        <v>0</v>
      </c>
      <c r="G81">
        <v>0</v>
      </c>
      <c r="H81">
        <f>NPV($C$7,$B$19*'LBMP_by_Year-Month-Hour'!H$70*'LBMP_by_Year-Month-Hour'!H74,$B$20*'LBMP_by_Year-Month-Hour'!H$102*'LBMP_by_Year-Month-Hour'!H106,$B$21*'LBMP_by_Year-Month-Hour'!H$134*'LBMP_by_Year-Month-Hour'!H138,$B$22*'LBMP_by_Year-Month-Hour'!H$166*'LBMP_by_Year-Month-Hour'!H170,$B$23*'LBMP_by_Year-Month-Hour'!H$198*'LBMP_by_Year-Month-Hour'!H202,$B$24*'LBMP_by_Year-Month-Hour'!H$230*'LBMP_by_Year-Month-Hour'!H234,$B$25*'LBMP_by_Year-Month-Hour'!H$262*'LBMP_by_Year-Month-Hour'!H266,$B$26*'LBMP_by_Year-Month-Hour'!H$294*'LBMP_by_Year-Month-Hour'!H298,$B$27*'LBMP_by_Year-Month-Hour'!H$326*'LBMP_by_Year-Month-Hour'!H330,$B$28*'LBMP_by_Year-Month-Hour'!H$358*'LBMP_by_Year-Month-Hour'!H362,$B$29*'LBMP_by_Year-Month-Hour'!H$390*'LBMP_by_Year-Month-Hour'!H394,$B$30*'LBMP_by_Year-Month-Hour'!H$422*'LBMP_by_Year-Month-Hour'!H426,$B$31*'LBMP_by_Year-Month-Hour'!H$454*'LBMP_by_Year-Month-Hour'!H458,$B$32*'LBMP_by_Year-Month-Hour'!H$486*'LBMP_by_Year-Month-Hour'!H490,$B$33*'LBMP_by_Year-Month-Hour'!H$518*'LBMP_by_Year-Month-Hour'!H522,$B$34*'LBMP_by_Year-Month-Hour'!H$550*'LBMP_by_Year-Month-Hour'!H554,$B$35*'LBMP_by_Year-Month-Hour'!H$582*'LBMP_by_Year-Month-Hour'!H586)*H19/$C$6/24</f>
        <v>0</v>
      </c>
      <c r="J81">
        <v>0</v>
      </c>
      <c r="K81">
        <f>NPV($C$7,$B$19*'LBMP_by_Year-Month-Hour'!K$70*'LBMP_by_Year-Month-Hour'!K74,$B$20*'LBMP_by_Year-Month-Hour'!K$102*'LBMP_by_Year-Month-Hour'!K106,$B$21*'LBMP_by_Year-Month-Hour'!K$134*'LBMP_by_Year-Month-Hour'!K138,$B$22*'LBMP_by_Year-Month-Hour'!K$166*'LBMP_by_Year-Month-Hour'!K170,$B$23*'LBMP_by_Year-Month-Hour'!K$198*'LBMP_by_Year-Month-Hour'!K202,$B$24*'LBMP_by_Year-Month-Hour'!K$230*'LBMP_by_Year-Month-Hour'!K234,$B$25*'LBMP_by_Year-Month-Hour'!K$262*'LBMP_by_Year-Month-Hour'!K266,$B$26*'LBMP_by_Year-Month-Hour'!K$294*'LBMP_by_Year-Month-Hour'!K298,$B$27*'LBMP_by_Year-Month-Hour'!K$326*'LBMP_by_Year-Month-Hour'!K330,$B$28*'LBMP_by_Year-Month-Hour'!K$358*'LBMP_by_Year-Month-Hour'!K362,$B$29*'LBMP_by_Year-Month-Hour'!K$390*'LBMP_by_Year-Month-Hour'!K394,$B$30*'LBMP_by_Year-Month-Hour'!K$422*'LBMP_by_Year-Month-Hour'!K426,$B$31*'LBMP_by_Year-Month-Hour'!K$454*'LBMP_by_Year-Month-Hour'!K458,$B$32*'LBMP_by_Year-Month-Hour'!K$486*'LBMP_by_Year-Month-Hour'!K490,$B$33*'LBMP_by_Year-Month-Hour'!K$518*'LBMP_by_Year-Month-Hour'!K522,$B$34*'LBMP_by_Year-Month-Hour'!K$550*'LBMP_by_Year-Month-Hour'!K554,$B$35*'LBMP_by_Year-Month-Hour'!K$582*'LBMP_by_Year-Month-Hour'!K586)*K19/$C$6/24</f>
        <v>0</v>
      </c>
      <c r="M81">
        <v>0</v>
      </c>
      <c r="N81">
        <f>NPV($C$7,$B$19*'LBMP_by_Year-Month-Hour'!N$70*'LBMP_by_Year-Month-Hour'!N74,$B$20*'LBMP_by_Year-Month-Hour'!N$102*'LBMP_by_Year-Month-Hour'!N106,$B$21*'LBMP_by_Year-Month-Hour'!N$134*'LBMP_by_Year-Month-Hour'!N138,$B$22*'LBMP_by_Year-Month-Hour'!N$166*'LBMP_by_Year-Month-Hour'!N170,$B$23*'LBMP_by_Year-Month-Hour'!N$198*'LBMP_by_Year-Month-Hour'!N202,$B$24*'LBMP_by_Year-Month-Hour'!N$230*'LBMP_by_Year-Month-Hour'!N234,$B$25*'LBMP_by_Year-Month-Hour'!N$262*'LBMP_by_Year-Month-Hour'!N266,$B$26*'LBMP_by_Year-Month-Hour'!N$294*'LBMP_by_Year-Month-Hour'!N298,$B$27*'LBMP_by_Year-Month-Hour'!N$326*'LBMP_by_Year-Month-Hour'!N330,$B$28*'LBMP_by_Year-Month-Hour'!N$358*'LBMP_by_Year-Month-Hour'!N362,$B$29*'LBMP_by_Year-Month-Hour'!N$390*'LBMP_by_Year-Month-Hour'!N394,$B$30*'LBMP_by_Year-Month-Hour'!N$422*'LBMP_by_Year-Month-Hour'!N426,$B$31*'LBMP_by_Year-Month-Hour'!N$454*'LBMP_by_Year-Month-Hour'!N458,$B$32*'LBMP_by_Year-Month-Hour'!N$486*'LBMP_by_Year-Month-Hour'!N490,$B$33*'LBMP_by_Year-Month-Hour'!N$518*'LBMP_by_Year-Month-Hour'!N522,$B$34*'LBMP_by_Year-Month-Hour'!N$550*'LBMP_by_Year-Month-Hour'!N554,$B$35*'LBMP_by_Year-Month-Hour'!N$582*'LBMP_by_Year-Month-Hour'!N586)*N19/$C$6/24</f>
        <v>0</v>
      </c>
      <c r="P81">
        <v>0</v>
      </c>
      <c r="Q81">
        <f>NPV($C$7,$B$19*'LBMP_by_Year-Month-Hour'!Q$70*'LBMP_by_Year-Month-Hour'!Q74,$B$20*'LBMP_by_Year-Month-Hour'!Q$102*'LBMP_by_Year-Month-Hour'!Q106,$B$21*'LBMP_by_Year-Month-Hour'!Q$134*'LBMP_by_Year-Month-Hour'!Q138,$B$22*'LBMP_by_Year-Month-Hour'!Q$166*'LBMP_by_Year-Month-Hour'!Q170,$B$23*'LBMP_by_Year-Month-Hour'!Q$198*'LBMP_by_Year-Month-Hour'!Q202,$B$24*'LBMP_by_Year-Month-Hour'!Q$230*'LBMP_by_Year-Month-Hour'!Q234,$B$25*'LBMP_by_Year-Month-Hour'!Q$262*'LBMP_by_Year-Month-Hour'!Q266,$B$26*'LBMP_by_Year-Month-Hour'!Q$294*'LBMP_by_Year-Month-Hour'!Q298,$B$27*'LBMP_by_Year-Month-Hour'!Q$326*'LBMP_by_Year-Month-Hour'!Q330,$B$28*'LBMP_by_Year-Month-Hour'!Q$358*'LBMP_by_Year-Month-Hour'!Q362,$B$29*'LBMP_by_Year-Month-Hour'!Q$390*'LBMP_by_Year-Month-Hour'!Q394,$B$30*'LBMP_by_Year-Month-Hour'!Q$422*'LBMP_by_Year-Month-Hour'!Q426,$B$31*'LBMP_by_Year-Month-Hour'!Q$454*'LBMP_by_Year-Month-Hour'!Q458,$B$32*'LBMP_by_Year-Month-Hour'!Q$486*'LBMP_by_Year-Month-Hour'!Q490,$B$33*'LBMP_by_Year-Month-Hour'!Q$518*'LBMP_by_Year-Month-Hour'!Q522,$B$34*'LBMP_by_Year-Month-Hour'!Q$550*'LBMP_by_Year-Month-Hour'!Q554,$B$35*'LBMP_by_Year-Month-Hour'!Q$582*'LBMP_by_Year-Month-Hour'!Q586)*Q19/$C$6/24</f>
        <v>0</v>
      </c>
      <c r="S81">
        <v>0</v>
      </c>
      <c r="T81">
        <f>NPV($C$7,$B$19*'LBMP_by_Year-Month-Hour'!T$70*'LBMP_by_Year-Month-Hour'!T74,$B$20*'LBMP_by_Year-Month-Hour'!T$102*'LBMP_by_Year-Month-Hour'!T106,$B$21*'LBMP_by_Year-Month-Hour'!T$134*'LBMP_by_Year-Month-Hour'!T138,$B$22*'LBMP_by_Year-Month-Hour'!T$166*'LBMP_by_Year-Month-Hour'!T170,$B$23*'LBMP_by_Year-Month-Hour'!T$198*'LBMP_by_Year-Month-Hour'!T202,$B$24*'LBMP_by_Year-Month-Hour'!T$230*'LBMP_by_Year-Month-Hour'!T234,$B$25*'LBMP_by_Year-Month-Hour'!T$262*'LBMP_by_Year-Month-Hour'!T266,$B$26*'LBMP_by_Year-Month-Hour'!T$294*'LBMP_by_Year-Month-Hour'!T298,$B$27*'LBMP_by_Year-Month-Hour'!T$326*'LBMP_by_Year-Month-Hour'!T330,$B$28*'LBMP_by_Year-Month-Hour'!T$358*'LBMP_by_Year-Month-Hour'!T362,$B$29*'LBMP_by_Year-Month-Hour'!T$390*'LBMP_by_Year-Month-Hour'!T394,$B$30*'LBMP_by_Year-Month-Hour'!T$422*'LBMP_by_Year-Month-Hour'!T426,$B$31*'LBMP_by_Year-Month-Hour'!T$454*'LBMP_by_Year-Month-Hour'!T458,$B$32*'LBMP_by_Year-Month-Hour'!T$486*'LBMP_by_Year-Month-Hour'!T490,$B$33*'LBMP_by_Year-Month-Hour'!T$518*'LBMP_by_Year-Month-Hour'!T522,$B$34*'LBMP_by_Year-Month-Hour'!T$550*'LBMP_by_Year-Month-Hour'!T554,$B$35*'LBMP_by_Year-Month-Hour'!T$582*'LBMP_by_Year-Month-Hour'!T586)*T19/$C$6/24</f>
        <v>-22410.031308792895</v>
      </c>
      <c r="V81">
        <v>0</v>
      </c>
      <c r="W81">
        <f>NPV($C$7,$B$19*'LBMP_by_Year-Month-Hour'!W$70*'LBMP_by_Year-Month-Hour'!W74,$B$20*'LBMP_by_Year-Month-Hour'!W$102*'LBMP_by_Year-Month-Hour'!W106,$B$21*'LBMP_by_Year-Month-Hour'!W$134*'LBMP_by_Year-Month-Hour'!W138,$B$22*'LBMP_by_Year-Month-Hour'!W$166*'LBMP_by_Year-Month-Hour'!W170,$B$23*'LBMP_by_Year-Month-Hour'!W$198*'LBMP_by_Year-Month-Hour'!W202,$B$24*'LBMP_by_Year-Month-Hour'!W$230*'LBMP_by_Year-Month-Hour'!W234,$B$25*'LBMP_by_Year-Month-Hour'!W$262*'LBMP_by_Year-Month-Hour'!W266,$B$26*'LBMP_by_Year-Month-Hour'!W$294*'LBMP_by_Year-Month-Hour'!W298,$B$27*'LBMP_by_Year-Month-Hour'!W$326*'LBMP_by_Year-Month-Hour'!W330,$B$28*'LBMP_by_Year-Month-Hour'!W$358*'LBMP_by_Year-Month-Hour'!W362,$B$29*'LBMP_by_Year-Month-Hour'!W$390*'LBMP_by_Year-Month-Hour'!W394,$B$30*'LBMP_by_Year-Month-Hour'!W$422*'LBMP_by_Year-Month-Hour'!W426,$B$31*'LBMP_by_Year-Month-Hour'!W$454*'LBMP_by_Year-Month-Hour'!W458,$B$32*'LBMP_by_Year-Month-Hour'!W$486*'LBMP_by_Year-Month-Hour'!W490,$B$33*'LBMP_by_Year-Month-Hour'!W$518*'LBMP_by_Year-Month-Hour'!W522,$B$34*'LBMP_by_Year-Month-Hour'!W$550*'LBMP_by_Year-Month-Hour'!W554,$B$35*'LBMP_by_Year-Month-Hour'!W$582*'LBMP_by_Year-Month-Hour'!W586)*W19/$C$6/24</f>
        <v>-24826.663608703686</v>
      </c>
      <c r="Y81">
        <v>0</v>
      </c>
      <c r="Z81">
        <f>NPV($C$7,$B$19*'LBMP_by_Year-Month-Hour'!Z$70*'LBMP_by_Year-Month-Hour'!Z74,$B$20*'LBMP_by_Year-Month-Hour'!Z$102*'LBMP_by_Year-Month-Hour'!Z106,$B$21*'LBMP_by_Year-Month-Hour'!Z$134*'LBMP_by_Year-Month-Hour'!Z138,$B$22*'LBMP_by_Year-Month-Hour'!Z$166*'LBMP_by_Year-Month-Hour'!Z170,$B$23*'LBMP_by_Year-Month-Hour'!Z$198*'LBMP_by_Year-Month-Hour'!Z202,$B$24*'LBMP_by_Year-Month-Hour'!Z$230*'LBMP_by_Year-Month-Hour'!Z234,$B$25*'LBMP_by_Year-Month-Hour'!Z$262*'LBMP_by_Year-Month-Hour'!Z266,$B$26*'LBMP_by_Year-Month-Hour'!Z$294*'LBMP_by_Year-Month-Hour'!Z298,$B$27*'LBMP_by_Year-Month-Hour'!Z$326*'LBMP_by_Year-Month-Hour'!Z330,$B$28*'LBMP_by_Year-Month-Hour'!Z$358*'LBMP_by_Year-Month-Hour'!Z362,$B$29*'LBMP_by_Year-Month-Hour'!Z$390*'LBMP_by_Year-Month-Hour'!Z394,$B$30*'LBMP_by_Year-Month-Hour'!Z$422*'LBMP_by_Year-Month-Hour'!Z426,$B$31*'LBMP_by_Year-Month-Hour'!Z$454*'LBMP_by_Year-Month-Hour'!Z458,$B$32*'LBMP_by_Year-Month-Hour'!Z$486*'LBMP_by_Year-Month-Hour'!Z490,$B$33*'LBMP_by_Year-Month-Hour'!Z$518*'LBMP_by_Year-Month-Hour'!Z522,$B$34*'LBMP_by_Year-Month-Hour'!Z$550*'LBMP_by_Year-Month-Hour'!Z554,$B$35*'LBMP_by_Year-Month-Hour'!Z$582*'LBMP_by_Year-Month-Hour'!Z586)*Z19/$C$6/24</f>
        <v>-23560.8850799006</v>
      </c>
      <c r="AB81">
        <v>0</v>
      </c>
      <c r="AC81">
        <f>NPV($C$7,$B$19*'LBMP_by_Year-Month-Hour'!AC$70*'LBMP_by_Year-Month-Hour'!AC74,$B$20*'LBMP_by_Year-Month-Hour'!AC$102*'LBMP_by_Year-Month-Hour'!AC106,$B$21*'LBMP_by_Year-Month-Hour'!AC$134*'LBMP_by_Year-Month-Hour'!AC138,$B$22*'LBMP_by_Year-Month-Hour'!AC$166*'LBMP_by_Year-Month-Hour'!AC170,$B$23*'LBMP_by_Year-Month-Hour'!AC$198*'LBMP_by_Year-Month-Hour'!AC202,$B$24*'LBMP_by_Year-Month-Hour'!AC$230*'LBMP_by_Year-Month-Hour'!AC234,$B$25*'LBMP_by_Year-Month-Hour'!AC$262*'LBMP_by_Year-Month-Hour'!AC266,$B$26*'LBMP_by_Year-Month-Hour'!AC$294*'LBMP_by_Year-Month-Hour'!AC298,$B$27*'LBMP_by_Year-Month-Hour'!AC$326*'LBMP_by_Year-Month-Hour'!AC330,$B$28*'LBMP_by_Year-Month-Hour'!AC$358*'LBMP_by_Year-Month-Hour'!AC362,$B$29*'LBMP_by_Year-Month-Hour'!AC$390*'LBMP_by_Year-Month-Hour'!AC394,$B$30*'LBMP_by_Year-Month-Hour'!AC$422*'LBMP_by_Year-Month-Hour'!AC426,$B$31*'LBMP_by_Year-Month-Hour'!AC$454*'LBMP_by_Year-Month-Hour'!AC458,$B$32*'LBMP_by_Year-Month-Hour'!AC$486*'LBMP_by_Year-Month-Hour'!AC490,$B$33*'LBMP_by_Year-Month-Hour'!AC$518*'LBMP_by_Year-Month-Hour'!AC522,$B$34*'LBMP_by_Year-Month-Hour'!AC$550*'LBMP_by_Year-Month-Hour'!AC554,$B$35*'LBMP_by_Year-Month-Hour'!AC$582*'LBMP_by_Year-Month-Hour'!AC586)*AC19/$C$6/24</f>
        <v>-21569.905441037568</v>
      </c>
      <c r="AE81">
        <v>0</v>
      </c>
      <c r="AF81">
        <f>NPV($C$7,$B$19*'LBMP_by_Year-Month-Hour'!AF$70*'LBMP_by_Year-Month-Hour'!AF74,$B$20*'LBMP_by_Year-Month-Hour'!AF$102*'LBMP_by_Year-Month-Hour'!AF106,$B$21*'LBMP_by_Year-Month-Hour'!AF$134*'LBMP_by_Year-Month-Hour'!AF138,$B$22*'LBMP_by_Year-Month-Hour'!AF$166*'LBMP_by_Year-Month-Hour'!AF170,$B$23*'LBMP_by_Year-Month-Hour'!AF$198*'LBMP_by_Year-Month-Hour'!AF202,$B$24*'LBMP_by_Year-Month-Hour'!AF$230*'LBMP_by_Year-Month-Hour'!AF234,$B$25*'LBMP_by_Year-Month-Hour'!AF$262*'LBMP_by_Year-Month-Hour'!AF266,$B$26*'LBMP_by_Year-Month-Hour'!AF$294*'LBMP_by_Year-Month-Hour'!AF298,$B$27*'LBMP_by_Year-Month-Hour'!AF$326*'LBMP_by_Year-Month-Hour'!AF330,$B$28*'LBMP_by_Year-Month-Hour'!AF$358*'LBMP_by_Year-Month-Hour'!AF362,$B$29*'LBMP_by_Year-Month-Hour'!AF$390*'LBMP_by_Year-Month-Hour'!AF394,$B$30*'LBMP_by_Year-Month-Hour'!AF$422*'LBMP_by_Year-Month-Hour'!AF426,$B$31*'LBMP_by_Year-Month-Hour'!AF$454*'LBMP_by_Year-Month-Hour'!AF458,$B$32*'LBMP_by_Year-Month-Hour'!AF$486*'LBMP_by_Year-Month-Hour'!AF490,$B$33*'LBMP_by_Year-Month-Hour'!AF$518*'LBMP_by_Year-Month-Hour'!AF522,$B$34*'LBMP_by_Year-Month-Hour'!AF$550*'LBMP_by_Year-Month-Hour'!AF554,$B$35*'LBMP_by_Year-Month-Hour'!AF$582*'LBMP_by_Year-Month-Hour'!AF586)*AF19/$C$6/24</f>
        <v>0</v>
      </c>
      <c r="AH81">
        <v>0</v>
      </c>
      <c r="AI81">
        <f>NPV($C$7,$B$19*'LBMP_by_Year-Month-Hour'!AI$70*'LBMP_by_Year-Month-Hour'!AI74,$B$20*'LBMP_by_Year-Month-Hour'!AI$102*'LBMP_by_Year-Month-Hour'!AI106,$B$21*'LBMP_by_Year-Month-Hour'!AI$134*'LBMP_by_Year-Month-Hour'!AI138,$B$22*'LBMP_by_Year-Month-Hour'!AI$166*'LBMP_by_Year-Month-Hour'!AI170,$B$23*'LBMP_by_Year-Month-Hour'!AI$198*'LBMP_by_Year-Month-Hour'!AI202,$B$24*'LBMP_by_Year-Month-Hour'!AI$230*'LBMP_by_Year-Month-Hour'!AI234,$B$25*'LBMP_by_Year-Month-Hour'!AI$262*'LBMP_by_Year-Month-Hour'!AI266,$B$26*'LBMP_by_Year-Month-Hour'!AI$294*'LBMP_by_Year-Month-Hour'!AI298,$B$27*'LBMP_by_Year-Month-Hour'!AI$326*'LBMP_by_Year-Month-Hour'!AI330,$B$28*'LBMP_by_Year-Month-Hour'!AI$358*'LBMP_by_Year-Month-Hour'!AI362,$B$29*'LBMP_by_Year-Month-Hour'!AI$390*'LBMP_by_Year-Month-Hour'!AI394,$B$30*'LBMP_by_Year-Month-Hour'!AI$422*'LBMP_by_Year-Month-Hour'!AI426,$B$31*'LBMP_by_Year-Month-Hour'!AI$454*'LBMP_by_Year-Month-Hour'!AI458,$B$32*'LBMP_by_Year-Month-Hour'!AI$486*'LBMP_by_Year-Month-Hour'!AI490,$B$33*'LBMP_by_Year-Month-Hour'!AI$518*'LBMP_by_Year-Month-Hour'!AI522,$B$34*'LBMP_by_Year-Month-Hour'!AI$550*'LBMP_by_Year-Month-Hour'!AI554,$B$35*'LBMP_by_Year-Month-Hour'!AI$582*'LBMP_by_Year-Month-Hour'!AI586)*AI19/$C$6/24</f>
        <v>0</v>
      </c>
      <c r="AK81">
        <v>0</v>
      </c>
      <c r="AL81">
        <f>NPV($C$7,$B$19*'LBMP_by_Year-Month-Hour'!AL$70*'LBMP_by_Year-Month-Hour'!AL74,$B$20*'LBMP_by_Year-Month-Hour'!AL$102*'LBMP_by_Year-Month-Hour'!AL106,$B$21*'LBMP_by_Year-Month-Hour'!AL$134*'LBMP_by_Year-Month-Hour'!AL138,$B$22*'LBMP_by_Year-Month-Hour'!AL$166*'LBMP_by_Year-Month-Hour'!AL170,$B$23*'LBMP_by_Year-Month-Hour'!AL$198*'LBMP_by_Year-Month-Hour'!AL202,$B$24*'LBMP_by_Year-Month-Hour'!AL$230*'LBMP_by_Year-Month-Hour'!AL234,$B$25*'LBMP_by_Year-Month-Hour'!AL$262*'LBMP_by_Year-Month-Hour'!AL266,$B$26*'LBMP_by_Year-Month-Hour'!AL$294*'LBMP_by_Year-Month-Hour'!AL298,$B$27*'LBMP_by_Year-Month-Hour'!AL$326*'LBMP_by_Year-Month-Hour'!AL330,$B$28*'LBMP_by_Year-Month-Hour'!AL$358*'LBMP_by_Year-Month-Hour'!AL362,$B$29*'LBMP_by_Year-Month-Hour'!AL$390*'LBMP_by_Year-Month-Hour'!AL394,$B$30*'LBMP_by_Year-Month-Hour'!AL$422*'LBMP_by_Year-Month-Hour'!AL426,$B$31*'LBMP_by_Year-Month-Hour'!AL$454*'LBMP_by_Year-Month-Hour'!AL458,$B$32*'LBMP_by_Year-Month-Hour'!AL$486*'LBMP_by_Year-Month-Hour'!AL490,$B$33*'LBMP_by_Year-Month-Hour'!AL$518*'LBMP_by_Year-Month-Hour'!AL522,$B$34*'LBMP_by_Year-Month-Hour'!AL$550*'LBMP_by_Year-Month-Hour'!AL554,$B$35*'LBMP_by_Year-Month-Hour'!AL$582*'LBMP_by_Year-Month-Hour'!AL586)*AL19/$C$6/24</f>
        <v>0</v>
      </c>
    </row>
    <row r="82" spans="1:38">
      <c r="A82">
        <v>1</v>
      </c>
      <c r="B82">
        <f t="shared" si="10"/>
        <v>-88134.357455430669</v>
      </c>
      <c r="D82">
        <v>1</v>
      </c>
      <c r="E82">
        <f>NPV($C$7,$B$19*'LBMP_by_Year-Month-Hour'!E$70*'LBMP_by_Year-Month-Hour'!E75,$B$20*'LBMP_by_Year-Month-Hour'!E$102*'LBMP_by_Year-Month-Hour'!E107,$B$21*'LBMP_by_Year-Month-Hour'!E$134*'LBMP_by_Year-Month-Hour'!E139,$B$22*'LBMP_by_Year-Month-Hour'!E$166*'LBMP_by_Year-Month-Hour'!E171,$B$23*'LBMP_by_Year-Month-Hour'!E$198*'LBMP_by_Year-Month-Hour'!E203,$B$24*'LBMP_by_Year-Month-Hour'!E$230*'LBMP_by_Year-Month-Hour'!E235,$B$25*'LBMP_by_Year-Month-Hour'!E$262*'LBMP_by_Year-Month-Hour'!E267,$B$26*'LBMP_by_Year-Month-Hour'!E$294*'LBMP_by_Year-Month-Hour'!E299,$B$27*'LBMP_by_Year-Month-Hour'!E$326*'LBMP_by_Year-Month-Hour'!E331,$B$28*'LBMP_by_Year-Month-Hour'!E$358*'LBMP_by_Year-Month-Hour'!E363,$B$29*'LBMP_by_Year-Month-Hour'!E$390*'LBMP_by_Year-Month-Hour'!E395,$B$30*'LBMP_by_Year-Month-Hour'!E$422*'LBMP_by_Year-Month-Hour'!E427,$B$31*'LBMP_by_Year-Month-Hour'!E$454*'LBMP_by_Year-Month-Hour'!E459,$B$32*'LBMP_by_Year-Month-Hour'!E$486*'LBMP_by_Year-Month-Hour'!E491,$B$33*'LBMP_by_Year-Month-Hour'!E$518*'LBMP_by_Year-Month-Hour'!E523,$B$34*'LBMP_by_Year-Month-Hour'!E$550*'LBMP_by_Year-Month-Hour'!E555,$B$35*'LBMP_by_Year-Month-Hour'!E$582*'LBMP_by_Year-Month-Hour'!E587)*E20/$C$6/24</f>
        <v>0</v>
      </c>
      <c r="G82">
        <v>1</v>
      </c>
      <c r="H82">
        <f>NPV($C$7,$B$19*'LBMP_by_Year-Month-Hour'!H$70*'LBMP_by_Year-Month-Hour'!H75,$B$20*'LBMP_by_Year-Month-Hour'!H$102*'LBMP_by_Year-Month-Hour'!H107,$B$21*'LBMP_by_Year-Month-Hour'!H$134*'LBMP_by_Year-Month-Hour'!H139,$B$22*'LBMP_by_Year-Month-Hour'!H$166*'LBMP_by_Year-Month-Hour'!H171,$B$23*'LBMP_by_Year-Month-Hour'!H$198*'LBMP_by_Year-Month-Hour'!H203,$B$24*'LBMP_by_Year-Month-Hour'!H$230*'LBMP_by_Year-Month-Hour'!H235,$B$25*'LBMP_by_Year-Month-Hour'!H$262*'LBMP_by_Year-Month-Hour'!H267,$B$26*'LBMP_by_Year-Month-Hour'!H$294*'LBMP_by_Year-Month-Hour'!H299,$B$27*'LBMP_by_Year-Month-Hour'!H$326*'LBMP_by_Year-Month-Hour'!H331,$B$28*'LBMP_by_Year-Month-Hour'!H$358*'LBMP_by_Year-Month-Hour'!H363,$B$29*'LBMP_by_Year-Month-Hour'!H$390*'LBMP_by_Year-Month-Hour'!H395,$B$30*'LBMP_by_Year-Month-Hour'!H$422*'LBMP_by_Year-Month-Hour'!H427,$B$31*'LBMP_by_Year-Month-Hour'!H$454*'LBMP_by_Year-Month-Hour'!H459,$B$32*'LBMP_by_Year-Month-Hour'!H$486*'LBMP_by_Year-Month-Hour'!H491,$B$33*'LBMP_by_Year-Month-Hour'!H$518*'LBMP_by_Year-Month-Hour'!H523,$B$34*'LBMP_by_Year-Month-Hour'!H$550*'LBMP_by_Year-Month-Hour'!H555,$B$35*'LBMP_by_Year-Month-Hour'!H$582*'LBMP_by_Year-Month-Hour'!H587)*H20/$C$6/24</f>
        <v>0</v>
      </c>
      <c r="J82">
        <v>1</v>
      </c>
      <c r="K82">
        <f>NPV($C$7,$B$19*'LBMP_by_Year-Month-Hour'!K$70*'LBMP_by_Year-Month-Hour'!K75,$B$20*'LBMP_by_Year-Month-Hour'!K$102*'LBMP_by_Year-Month-Hour'!K107,$B$21*'LBMP_by_Year-Month-Hour'!K$134*'LBMP_by_Year-Month-Hour'!K139,$B$22*'LBMP_by_Year-Month-Hour'!K$166*'LBMP_by_Year-Month-Hour'!K171,$B$23*'LBMP_by_Year-Month-Hour'!K$198*'LBMP_by_Year-Month-Hour'!K203,$B$24*'LBMP_by_Year-Month-Hour'!K$230*'LBMP_by_Year-Month-Hour'!K235,$B$25*'LBMP_by_Year-Month-Hour'!K$262*'LBMP_by_Year-Month-Hour'!K267,$B$26*'LBMP_by_Year-Month-Hour'!K$294*'LBMP_by_Year-Month-Hour'!K299,$B$27*'LBMP_by_Year-Month-Hour'!K$326*'LBMP_by_Year-Month-Hour'!K331,$B$28*'LBMP_by_Year-Month-Hour'!K$358*'LBMP_by_Year-Month-Hour'!K363,$B$29*'LBMP_by_Year-Month-Hour'!K$390*'LBMP_by_Year-Month-Hour'!K395,$B$30*'LBMP_by_Year-Month-Hour'!K$422*'LBMP_by_Year-Month-Hour'!K427,$B$31*'LBMP_by_Year-Month-Hour'!K$454*'LBMP_by_Year-Month-Hour'!K459,$B$32*'LBMP_by_Year-Month-Hour'!K$486*'LBMP_by_Year-Month-Hour'!K491,$B$33*'LBMP_by_Year-Month-Hour'!K$518*'LBMP_by_Year-Month-Hour'!K523,$B$34*'LBMP_by_Year-Month-Hour'!K$550*'LBMP_by_Year-Month-Hour'!K555,$B$35*'LBMP_by_Year-Month-Hour'!K$582*'LBMP_by_Year-Month-Hour'!K587)*K20/$C$6/24</f>
        <v>0</v>
      </c>
      <c r="M82">
        <v>1</v>
      </c>
      <c r="N82">
        <f>NPV($C$7,$B$19*'LBMP_by_Year-Month-Hour'!N$70*'LBMP_by_Year-Month-Hour'!N75,$B$20*'LBMP_by_Year-Month-Hour'!N$102*'LBMP_by_Year-Month-Hour'!N107,$B$21*'LBMP_by_Year-Month-Hour'!N$134*'LBMP_by_Year-Month-Hour'!N139,$B$22*'LBMP_by_Year-Month-Hour'!N$166*'LBMP_by_Year-Month-Hour'!N171,$B$23*'LBMP_by_Year-Month-Hour'!N$198*'LBMP_by_Year-Month-Hour'!N203,$B$24*'LBMP_by_Year-Month-Hour'!N$230*'LBMP_by_Year-Month-Hour'!N235,$B$25*'LBMP_by_Year-Month-Hour'!N$262*'LBMP_by_Year-Month-Hour'!N267,$B$26*'LBMP_by_Year-Month-Hour'!N$294*'LBMP_by_Year-Month-Hour'!N299,$B$27*'LBMP_by_Year-Month-Hour'!N$326*'LBMP_by_Year-Month-Hour'!N331,$B$28*'LBMP_by_Year-Month-Hour'!N$358*'LBMP_by_Year-Month-Hour'!N363,$B$29*'LBMP_by_Year-Month-Hour'!N$390*'LBMP_by_Year-Month-Hour'!N395,$B$30*'LBMP_by_Year-Month-Hour'!N$422*'LBMP_by_Year-Month-Hour'!N427,$B$31*'LBMP_by_Year-Month-Hour'!N$454*'LBMP_by_Year-Month-Hour'!N459,$B$32*'LBMP_by_Year-Month-Hour'!N$486*'LBMP_by_Year-Month-Hour'!N491,$B$33*'LBMP_by_Year-Month-Hour'!N$518*'LBMP_by_Year-Month-Hour'!N523,$B$34*'LBMP_by_Year-Month-Hour'!N$550*'LBMP_by_Year-Month-Hour'!N555,$B$35*'LBMP_by_Year-Month-Hour'!N$582*'LBMP_by_Year-Month-Hour'!N587)*N20/$C$6/24</f>
        <v>0</v>
      </c>
      <c r="P82">
        <v>1</v>
      </c>
      <c r="Q82">
        <f>NPV($C$7,$B$19*'LBMP_by_Year-Month-Hour'!Q$70*'LBMP_by_Year-Month-Hour'!Q75,$B$20*'LBMP_by_Year-Month-Hour'!Q$102*'LBMP_by_Year-Month-Hour'!Q107,$B$21*'LBMP_by_Year-Month-Hour'!Q$134*'LBMP_by_Year-Month-Hour'!Q139,$B$22*'LBMP_by_Year-Month-Hour'!Q$166*'LBMP_by_Year-Month-Hour'!Q171,$B$23*'LBMP_by_Year-Month-Hour'!Q$198*'LBMP_by_Year-Month-Hour'!Q203,$B$24*'LBMP_by_Year-Month-Hour'!Q$230*'LBMP_by_Year-Month-Hour'!Q235,$B$25*'LBMP_by_Year-Month-Hour'!Q$262*'LBMP_by_Year-Month-Hour'!Q267,$B$26*'LBMP_by_Year-Month-Hour'!Q$294*'LBMP_by_Year-Month-Hour'!Q299,$B$27*'LBMP_by_Year-Month-Hour'!Q$326*'LBMP_by_Year-Month-Hour'!Q331,$B$28*'LBMP_by_Year-Month-Hour'!Q$358*'LBMP_by_Year-Month-Hour'!Q363,$B$29*'LBMP_by_Year-Month-Hour'!Q$390*'LBMP_by_Year-Month-Hour'!Q395,$B$30*'LBMP_by_Year-Month-Hour'!Q$422*'LBMP_by_Year-Month-Hour'!Q427,$B$31*'LBMP_by_Year-Month-Hour'!Q$454*'LBMP_by_Year-Month-Hour'!Q459,$B$32*'LBMP_by_Year-Month-Hour'!Q$486*'LBMP_by_Year-Month-Hour'!Q491,$B$33*'LBMP_by_Year-Month-Hour'!Q$518*'LBMP_by_Year-Month-Hour'!Q523,$B$34*'LBMP_by_Year-Month-Hour'!Q$550*'LBMP_by_Year-Month-Hour'!Q555,$B$35*'LBMP_by_Year-Month-Hour'!Q$582*'LBMP_by_Year-Month-Hour'!Q587)*Q20/$C$6/24</f>
        <v>0</v>
      </c>
      <c r="S82">
        <v>1</v>
      </c>
      <c r="T82">
        <f>NPV($C$7,$B$19*'LBMP_by_Year-Month-Hour'!T$70*'LBMP_by_Year-Month-Hour'!T75,$B$20*'LBMP_by_Year-Month-Hour'!T$102*'LBMP_by_Year-Month-Hour'!T107,$B$21*'LBMP_by_Year-Month-Hour'!T$134*'LBMP_by_Year-Month-Hour'!T139,$B$22*'LBMP_by_Year-Month-Hour'!T$166*'LBMP_by_Year-Month-Hour'!T171,$B$23*'LBMP_by_Year-Month-Hour'!T$198*'LBMP_by_Year-Month-Hour'!T203,$B$24*'LBMP_by_Year-Month-Hour'!T$230*'LBMP_by_Year-Month-Hour'!T235,$B$25*'LBMP_by_Year-Month-Hour'!T$262*'LBMP_by_Year-Month-Hour'!T267,$B$26*'LBMP_by_Year-Month-Hour'!T$294*'LBMP_by_Year-Month-Hour'!T299,$B$27*'LBMP_by_Year-Month-Hour'!T$326*'LBMP_by_Year-Month-Hour'!T331,$B$28*'LBMP_by_Year-Month-Hour'!T$358*'LBMP_by_Year-Month-Hour'!T363,$B$29*'LBMP_by_Year-Month-Hour'!T$390*'LBMP_by_Year-Month-Hour'!T395,$B$30*'LBMP_by_Year-Month-Hour'!T$422*'LBMP_by_Year-Month-Hour'!T427,$B$31*'LBMP_by_Year-Month-Hour'!T$454*'LBMP_by_Year-Month-Hour'!T459,$B$32*'LBMP_by_Year-Month-Hour'!T$486*'LBMP_by_Year-Month-Hour'!T491,$B$33*'LBMP_by_Year-Month-Hour'!T$518*'LBMP_by_Year-Month-Hour'!T523,$B$34*'LBMP_by_Year-Month-Hour'!T$550*'LBMP_by_Year-Month-Hour'!T555,$B$35*'LBMP_by_Year-Month-Hour'!T$582*'LBMP_by_Year-Month-Hour'!T587)*T20/$C$6/24</f>
        <v>-21377.381405023989</v>
      </c>
      <c r="V82">
        <v>1</v>
      </c>
      <c r="W82">
        <f>NPV($C$7,$B$19*'LBMP_by_Year-Month-Hour'!W$70*'LBMP_by_Year-Month-Hour'!W75,$B$20*'LBMP_by_Year-Month-Hour'!W$102*'LBMP_by_Year-Month-Hour'!W107,$B$21*'LBMP_by_Year-Month-Hour'!W$134*'LBMP_by_Year-Month-Hour'!W139,$B$22*'LBMP_by_Year-Month-Hour'!W$166*'LBMP_by_Year-Month-Hour'!W171,$B$23*'LBMP_by_Year-Month-Hour'!W$198*'LBMP_by_Year-Month-Hour'!W203,$B$24*'LBMP_by_Year-Month-Hour'!W$230*'LBMP_by_Year-Month-Hour'!W235,$B$25*'LBMP_by_Year-Month-Hour'!W$262*'LBMP_by_Year-Month-Hour'!W267,$B$26*'LBMP_by_Year-Month-Hour'!W$294*'LBMP_by_Year-Month-Hour'!W299,$B$27*'LBMP_by_Year-Month-Hour'!W$326*'LBMP_by_Year-Month-Hour'!W331,$B$28*'LBMP_by_Year-Month-Hour'!W$358*'LBMP_by_Year-Month-Hour'!W363,$B$29*'LBMP_by_Year-Month-Hour'!W$390*'LBMP_by_Year-Month-Hour'!W395,$B$30*'LBMP_by_Year-Month-Hour'!W$422*'LBMP_by_Year-Month-Hour'!W427,$B$31*'LBMP_by_Year-Month-Hour'!W$454*'LBMP_by_Year-Month-Hour'!W459,$B$32*'LBMP_by_Year-Month-Hour'!W$486*'LBMP_by_Year-Month-Hour'!W491,$B$33*'LBMP_by_Year-Month-Hour'!W$518*'LBMP_by_Year-Month-Hour'!W523,$B$34*'LBMP_by_Year-Month-Hour'!W$550*'LBMP_by_Year-Month-Hour'!W555,$B$35*'LBMP_by_Year-Month-Hour'!W$582*'LBMP_by_Year-Month-Hour'!W587)*W20/$C$6/24</f>
        <v>-23707.959881564628</v>
      </c>
      <c r="Y82">
        <v>1</v>
      </c>
      <c r="Z82">
        <f>NPV($C$7,$B$19*'LBMP_by_Year-Month-Hour'!Z$70*'LBMP_by_Year-Month-Hour'!Z75,$B$20*'LBMP_by_Year-Month-Hour'!Z$102*'LBMP_by_Year-Month-Hour'!Z107,$B$21*'LBMP_by_Year-Month-Hour'!Z$134*'LBMP_by_Year-Month-Hour'!Z139,$B$22*'LBMP_by_Year-Month-Hour'!Z$166*'LBMP_by_Year-Month-Hour'!Z171,$B$23*'LBMP_by_Year-Month-Hour'!Z$198*'LBMP_by_Year-Month-Hour'!Z203,$B$24*'LBMP_by_Year-Month-Hour'!Z$230*'LBMP_by_Year-Month-Hour'!Z235,$B$25*'LBMP_by_Year-Month-Hour'!Z$262*'LBMP_by_Year-Month-Hour'!Z267,$B$26*'LBMP_by_Year-Month-Hour'!Z$294*'LBMP_by_Year-Month-Hour'!Z299,$B$27*'LBMP_by_Year-Month-Hour'!Z$326*'LBMP_by_Year-Month-Hour'!Z331,$B$28*'LBMP_by_Year-Month-Hour'!Z$358*'LBMP_by_Year-Month-Hour'!Z363,$B$29*'LBMP_by_Year-Month-Hour'!Z$390*'LBMP_by_Year-Month-Hour'!Z395,$B$30*'LBMP_by_Year-Month-Hour'!Z$422*'LBMP_by_Year-Month-Hour'!Z427,$B$31*'LBMP_by_Year-Month-Hour'!Z$454*'LBMP_by_Year-Month-Hour'!Z459,$B$32*'LBMP_by_Year-Month-Hour'!Z$486*'LBMP_by_Year-Month-Hour'!Z491,$B$33*'LBMP_by_Year-Month-Hour'!Z$518*'LBMP_by_Year-Month-Hour'!Z523,$B$34*'LBMP_by_Year-Month-Hour'!Z$550*'LBMP_by_Year-Month-Hour'!Z555,$B$35*'LBMP_by_Year-Month-Hour'!Z$582*'LBMP_by_Year-Month-Hour'!Z587)*Z20/$C$6/24</f>
        <v>-22625.58004671556</v>
      </c>
      <c r="AB82">
        <v>1</v>
      </c>
      <c r="AC82">
        <f>NPV($C$7,$B$19*'LBMP_by_Year-Month-Hour'!AC$70*'LBMP_by_Year-Month-Hour'!AC75,$B$20*'LBMP_by_Year-Month-Hour'!AC$102*'LBMP_by_Year-Month-Hour'!AC107,$B$21*'LBMP_by_Year-Month-Hour'!AC$134*'LBMP_by_Year-Month-Hour'!AC139,$B$22*'LBMP_by_Year-Month-Hour'!AC$166*'LBMP_by_Year-Month-Hour'!AC171,$B$23*'LBMP_by_Year-Month-Hour'!AC$198*'LBMP_by_Year-Month-Hour'!AC203,$B$24*'LBMP_by_Year-Month-Hour'!AC$230*'LBMP_by_Year-Month-Hour'!AC235,$B$25*'LBMP_by_Year-Month-Hour'!AC$262*'LBMP_by_Year-Month-Hour'!AC267,$B$26*'LBMP_by_Year-Month-Hour'!AC$294*'LBMP_by_Year-Month-Hour'!AC299,$B$27*'LBMP_by_Year-Month-Hour'!AC$326*'LBMP_by_Year-Month-Hour'!AC331,$B$28*'LBMP_by_Year-Month-Hour'!AC$358*'LBMP_by_Year-Month-Hour'!AC363,$B$29*'LBMP_by_Year-Month-Hour'!AC$390*'LBMP_by_Year-Month-Hour'!AC395,$B$30*'LBMP_by_Year-Month-Hour'!AC$422*'LBMP_by_Year-Month-Hour'!AC427,$B$31*'LBMP_by_Year-Month-Hour'!AC$454*'LBMP_by_Year-Month-Hour'!AC459,$B$32*'LBMP_by_Year-Month-Hour'!AC$486*'LBMP_by_Year-Month-Hour'!AC491,$B$33*'LBMP_by_Year-Month-Hour'!AC$518*'LBMP_by_Year-Month-Hour'!AC523,$B$34*'LBMP_by_Year-Month-Hour'!AC$550*'LBMP_by_Year-Month-Hour'!AC555,$B$35*'LBMP_by_Year-Month-Hour'!AC$582*'LBMP_by_Year-Month-Hour'!AC587)*AC20/$C$6/24</f>
        <v>-20423.436122126488</v>
      </c>
      <c r="AE82">
        <v>1</v>
      </c>
      <c r="AF82">
        <f>NPV($C$7,$B$19*'LBMP_by_Year-Month-Hour'!AF$70*'LBMP_by_Year-Month-Hour'!AF75,$B$20*'LBMP_by_Year-Month-Hour'!AF$102*'LBMP_by_Year-Month-Hour'!AF107,$B$21*'LBMP_by_Year-Month-Hour'!AF$134*'LBMP_by_Year-Month-Hour'!AF139,$B$22*'LBMP_by_Year-Month-Hour'!AF$166*'LBMP_by_Year-Month-Hour'!AF171,$B$23*'LBMP_by_Year-Month-Hour'!AF$198*'LBMP_by_Year-Month-Hour'!AF203,$B$24*'LBMP_by_Year-Month-Hour'!AF$230*'LBMP_by_Year-Month-Hour'!AF235,$B$25*'LBMP_by_Year-Month-Hour'!AF$262*'LBMP_by_Year-Month-Hour'!AF267,$B$26*'LBMP_by_Year-Month-Hour'!AF$294*'LBMP_by_Year-Month-Hour'!AF299,$B$27*'LBMP_by_Year-Month-Hour'!AF$326*'LBMP_by_Year-Month-Hour'!AF331,$B$28*'LBMP_by_Year-Month-Hour'!AF$358*'LBMP_by_Year-Month-Hour'!AF363,$B$29*'LBMP_by_Year-Month-Hour'!AF$390*'LBMP_by_Year-Month-Hour'!AF395,$B$30*'LBMP_by_Year-Month-Hour'!AF$422*'LBMP_by_Year-Month-Hour'!AF427,$B$31*'LBMP_by_Year-Month-Hour'!AF$454*'LBMP_by_Year-Month-Hour'!AF459,$B$32*'LBMP_by_Year-Month-Hour'!AF$486*'LBMP_by_Year-Month-Hour'!AF491,$B$33*'LBMP_by_Year-Month-Hour'!AF$518*'LBMP_by_Year-Month-Hour'!AF523,$B$34*'LBMP_by_Year-Month-Hour'!AF$550*'LBMP_by_Year-Month-Hour'!AF555,$B$35*'LBMP_by_Year-Month-Hour'!AF$582*'LBMP_by_Year-Month-Hour'!AF587)*AF20/$C$6/24</f>
        <v>0</v>
      </c>
      <c r="AH82">
        <v>1</v>
      </c>
      <c r="AI82">
        <f>NPV($C$7,$B$19*'LBMP_by_Year-Month-Hour'!AI$70*'LBMP_by_Year-Month-Hour'!AI75,$B$20*'LBMP_by_Year-Month-Hour'!AI$102*'LBMP_by_Year-Month-Hour'!AI107,$B$21*'LBMP_by_Year-Month-Hour'!AI$134*'LBMP_by_Year-Month-Hour'!AI139,$B$22*'LBMP_by_Year-Month-Hour'!AI$166*'LBMP_by_Year-Month-Hour'!AI171,$B$23*'LBMP_by_Year-Month-Hour'!AI$198*'LBMP_by_Year-Month-Hour'!AI203,$B$24*'LBMP_by_Year-Month-Hour'!AI$230*'LBMP_by_Year-Month-Hour'!AI235,$B$25*'LBMP_by_Year-Month-Hour'!AI$262*'LBMP_by_Year-Month-Hour'!AI267,$B$26*'LBMP_by_Year-Month-Hour'!AI$294*'LBMP_by_Year-Month-Hour'!AI299,$B$27*'LBMP_by_Year-Month-Hour'!AI$326*'LBMP_by_Year-Month-Hour'!AI331,$B$28*'LBMP_by_Year-Month-Hour'!AI$358*'LBMP_by_Year-Month-Hour'!AI363,$B$29*'LBMP_by_Year-Month-Hour'!AI$390*'LBMP_by_Year-Month-Hour'!AI395,$B$30*'LBMP_by_Year-Month-Hour'!AI$422*'LBMP_by_Year-Month-Hour'!AI427,$B$31*'LBMP_by_Year-Month-Hour'!AI$454*'LBMP_by_Year-Month-Hour'!AI459,$B$32*'LBMP_by_Year-Month-Hour'!AI$486*'LBMP_by_Year-Month-Hour'!AI491,$B$33*'LBMP_by_Year-Month-Hour'!AI$518*'LBMP_by_Year-Month-Hour'!AI523,$B$34*'LBMP_by_Year-Month-Hour'!AI$550*'LBMP_by_Year-Month-Hour'!AI555,$B$35*'LBMP_by_Year-Month-Hour'!AI$582*'LBMP_by_Year-Month-Hour'!AI587)*AI20/$C$6/24</f>
        <v>0</v>
      </c>
      <c r="AK82">
        <v>1</v>
      </c>
      <c r="AL82">
        <f>NPV($C$7,$B$19*'LBMP_by_Year-Month-Hour'!AL$70*'LBMP_by_Year-Month-Hour'!AL75,$B$20*'LBMP_by_Year-Month-Hour'!AL$102*'LBMP_by_Year-Month-Hour'!AL107,$B$21*'LBMP_by_Year-Month-Hour'!AL$134*'LBMP_by_Year-Month-Hour'!AL139,$B$22*'LBMP_by_Year-Month-Hour'!AL$166*'LBMP_by_Year-Month-Hour'!AL171,$B$23*'LBMP_by_Year-Month-Hour'!AL$198*'LBMP_by_Year-Month-Hour'!AL203,$B$24*'LBMP_by_Year-Month-Hour'!AL$230*'LBMP_by_Year-Month-Hour'!AL235,$B$25*'LBMP_by_Year-Month-Hour'!AL$262*'LBMP_by_Year-Month-Hour'!AL267,$B$26*'LBMP_by_Year-Month-Hour'!AL$294*'LBMP_by_Year-Month-Hour'!AL299,$B$27*'LBMP_by_Year-Month-Hour'!AL$326*'LBMP_by_Year-Month-Hour'!AL331,$B$28*'LBMP_by_Year-Month-Hour'!AL$358*'LBMP_by_Year-Month-Hour'!AL363,$B$29*'LBMP_by_Year-Month-Hour'!AL$390*'LBMP_by_Year-Month-Hour'!AL395,$B$30*'LBMP_by_Year-Month-Hour'!AL$422*'LBMP_by_Year-Month-Hour'!AL427,$B$31*'LBMP_by_Year-Month-Hour'!AL$454*'LBMP_by_Year-Month-Hour'!AL459,$B$32*'LBMP_by_Year-Month-Hour'!AL$486*'LBMP_by_Year-Month-Hour'!AL491,$B$33*'LBMP_by_Year-Month-Hour'!AL$518*'LBMP_by_Year-Month-Hour'!AL523,$B$34*'LBMP_by_Year-Month-Hour'!AL$550*'LBMP_by_Year-Month-Hour'!AL555,$B$35*'LBMP_by_Year-Month-Hour'!AL$582*'LBMP_by_Year-Month-Hour'!AL587)*AL20/$C$6/24</f>
        <v>0</v>
      </c>
    </row>
    <row r="83" spans="1:38">
      <c r="A83">
        <v>2</v>
      </c>
      <c r="B83">
        <f t="shared" si="10"/>
        <v>-85234.633275760018</v>
      </c>
      <c r="D83">
        <v>2</v>
      </c>
      <c r="E83">
        <f>NPV($C$7,$B$19*'LBMP_by_Year-Month-Hour'!E$70*'LBMP_by_Year-Month-Hour'!E76,$B$20*'LBMP_by_Year-Month-Hour'!E$102*'LBMP_by_Year-Month-Hour'!E108,$B$21*'LBMP_by_Year-Month-Hour'!E$134*'LBMP_by_Year-Month-Hour'!E140,$B$22*'LBMP_by_Year-Month-Hour'!E$166*'LBMP_by_Year-Month-Hour'!E172,$B$23*'LBMP_by_Year-Month-Hour'!E$198*'LBMP_by_Year-Month-Hour'!E204,$B$24*'LBMP_by_Year-Month-Hour'!E$230*'LBMP_by_Year-Month-Hour'!E236,$B$25*'LBMP_by_Year-Month-Hour'!E$262*'LBMP_by_Year-Month-Hour'!E268,$B$26*'LBMP_by_Year-Month-Hour'!E$294*'LBMP_by_Year-Month-Hour'!E300,$B$27*'LBMP_by_Year-Month-Hour'!E$326*'LBMP_by_Year-Month-Hour'!E332,$B$28*'LBMP_by_Year-Month-Hour'!E$358*'LBMP_by_Year-Month-Hour'!E364,$B$29*'LBMP_by_Year-Month-Hour'!E$390*'LBMP_by_Year-Month-Hour'!E396,$B$30*'LBMP_by_Year-Month-Hour'!E$422*'LBMP_by_Year-Month-Hour'!E428,$B$31*'LBMP_by_Year-Month-Hour'!E$454*'LBMP_by_Year-Month-Hour'!E460,$B$32*'LBMP_by_Year-Month-Hour'!E$486*'LBMP_by_Year-Month-Hour'!E492,$B$33*'LBMP_by_Year-Month-Hour'!E$518*'LBMP_by_Year-Month-Hour'!E524,$B$34*'LBMP_by_Year-Month-Hour'!E$550*'LBMP_by_Year-Month-Hour'!E556,$B$35*'LBMP_by_Year-Month-Hour'!E$582*'LBMP_by_Year-Month-Hour'!E588)*E21/$C$6/24</f>
        <v>0</v>
      </c>
      <c r="G83">
        <v>2</v>
      </c>
      <c r="H83">
        <f>NPV($C$7,$B$19*'LBMP_by_Year-Month-Hour'!H$70*'LBMP_by_Year-Month-Hour'!H76,$B$20*'LBMP_by_Year-Month-Hour'!H$102*'LBMP_by_Year-Month-Hour'!H108,$B$21*'LBMP_by_Year-Month-Hour'!H$134*'LBMP_by_Year-Month-Hour'!H140,$B$22*'LBMP_by_Year-Month-Hour'!H$166*'LBMP_by_Year-Month-Hour'!H172,$B$23*'LBMP_by_Year-Month-Hour'!H$198*'LBMP_by_Year-Month-Hour'!H204,$B$24*'LBMP_by_Year-Month-Hour'!H$230*'LBMP_by_Year-Month-Hour'!H236,$B$25*'LBMP_by_Year-Month-Hour'!H$262*'LBMP_by_Year-Month-Hour'!H268,$B$26*'LBMP_by_Year-Month-Hour'!H$294*'LBMP_by_Year-Month-Hour'!H300,$B$27*'LBMP_by_Year-Month-Hour'!H$326*'LBMP_by_Year-Month-Hour'!H332,$B$28*'LBMP_by_Year-Month-Hour'!H$358*'LBMP_by_Year-Month-Hour'!H364,$B$29*'LBMP_by_Year-Month-Hour'!H$390*'LBMP_by_Year-Month-Hour'!H396,$B$30*'LBMP_by_Year-Month-Hour'!H$422*'LBMP_by_Year-Month-Hour'!H428,$B$31*'LBMP_by_Year-Month-Hour'!H$454*'LBMP_by_Year-Month-Hour'!H460,$B$32*'LBMP_by_Year-Month-Hour'!H$486*'LBMP_by_Year-Month-Hour'!H492,$B$33*'LBMP_by_Year-Month-Hour'!H$518*'LBMP_by_Year-Month-Hour'!H524,$B$34*'LBMP_by_Year-Month-Hour'!H$550*'LBMP_by_Year-Month-Hour'!H556,$B$35*'LBMP_by_Year-Month-Hour'!H$582*'LBMP_by_Year-Month-Hour'!H588)*H21/$C$6/24</f>
        <v>0</v>
      </c>
      <c r="J83">
        <v>2</v>
      </c>
      <c r="K83">
        <f>NPV($C$7,$B$19*'LBMP_by_Year-Month-Hour'!K$70*'LBMP_by_Year-Month-Hour'!K76,$B$20*'LBMP_by_Year-Month-Hour'!K$102*'LBMP_by_Year-Month-Hour'!K108,$B$21*'LBMP_by_Year-Month-Hour'!K$134*'LBMP_by_Year-Month-Hour'!K140,$B$22*'LBMP_by_Year-Month-Hour'!K$166*'LBMP_by_Year-Month-Hour'!K172,$B$23*'LBMP_by_Year-Month-Hour'!K$198*'LBMP_by_Year-Month-Hour'!K204,$B$24*'LBMP_by_Year-Month-Hour'!K$230*'LBMP_by_Year-Month-Hour'!K236,$B$25*'LBMP_by_Year-Month-Hour'!K$262*'LBMP_by_Year-Month-Hour'!K268,$B$26*'LBMP_by_Year-Month-Hour'!K$294*'LBMP_by_Year-Month-Hour'!K300,$B$27*'LBMP_by_Year-Month-Hour'!K$326*'LBMP_by_Year-Month-Hour'!K332,$B$28*'LBMP_by_Year-Month-Hour'!K$358*'LBMP_by_Year-Month-Hour'!K364,$B$29*'LBMP_by_Year-Month-Hour'!K$390*'LBMP_by_Year-Month-Hour'!K396,$B$30*'LBMP_by_Year-Month-Hour'!K$422*'LBMP_by_Year-Month-Hour'!K428,$B$31*'LBMP_by_Year-Month-Hour'!K$454*'LBMP_by_Year-Month-Hour'!K460,$B$32*'LBMP_by_Year-Month-Hour'!K$486*'LBMP_by_Year-Month-Hour'!K492,$B$33*'LBMP_by_Year-Month-Hour'!K$518*'LBMP_by_Year-Month-Hour'!K524,$B$34*'LBMP_by_Year-Month-Hour'!K$550*'LBMP_by_Year-Month-Hour'!K556,$B$35*'LBMP_by_Year-Month-Hour'!K$582*'LBMP_by_Year-Month-Hour'!K588)*K21/$C$6/24</f>
        <v>0</v>
      </c>
      <c r="M83">
        <v>2</v>
      </c>
      <c r="N83">
        <f>NPV($C$7,$B$19*'LBMP_by_Year-Month-Hour'!N$70*'LBMP_by_Year-Month-Hour'!N76,$B$20*'LBMP_by_Year-Month-Hour'!N$102*'LBMP_by_Year-Month-Hour'!N108,$B$21*'LBMP_by_Year-Month-Hour'!N$134*'LBMP_by_Year-Month-Hour'!N140,$B$22*'LBMP_by_Year-Month-Hour'!N$166*'LBMP_by_Year-Month-Hour'!N172,$B$23*'LBMP_by_Year-Month-Hour'!N$198*'LBMP_by_Year-Month-Hour'!N204,$B$24*'LBMP_by_Year-Month-Hour'!N$230*'LBMP_by_Year-Month-Hour'!N236,$B$25*'LBMP_by_Year-Month-Hour'!N$262*'LBMP_by_Year-Month-Hour'!N268,$B$26*'LBMP_by_Year-Month-Hour'!N$294*'LBMP_by_Year-Month-Hour'!N300,$B$27*'LBMP_by_Year-Month-Hour'!N$326*'LBMP_by_Year-Month-Hour'!N332,$B$28*'LBMP_by_Year-Month-Hour'!N$358*'LBMP_by_Year-Month-Hour'!N364,$B$29*'LBMP_by_Year-Month-Hour'!N$390*'LBMP_by_Year-Month-Hour'!N396,$B$30*'LBMP_by_Year-Month-Hour'!N$422*'LBMP_by_Year-Month-Hour'!N428,$B$31*'LBMP_by_Year-Month-Hour'!N$454*'LBMP_by_Year-Month-Hour'!N460,$B$32*'LBMP_by_Year-Month-Hour'!N$486*'LBMP_by_Year-Month-Hour'!N492,$B$33*'LBMP_by_Year-Month-Hour'!N$518*'LBMP_by_Year-Month-Hour'!N524,$B$34*'LBMP_by_Year-Month-Hour'!N$550*'LBMP_by_Year-Month-Hour'!N556,$B$35*'LBMP_by_Year-Month-Hour'!N$582*'LBMP_by_Year-Month-Hour'!N588)*N21/$C$6/24</f>
        <v>0</v>
      </c>
      <c r="P83">
        <v>2</v>
      </c>
      <c r="Q83">
        <f>NPV($C$7,$B$19*'LBMP_by_Year-Month-Hour'!Q$70*'LBMP_by_Year-Month-Hour'!Q76,$B$20*'LBMP_by_Year-Month-Hour'!Q$102*'LBMP_by_Year-Month-Hour'!Q108,$B$21*'LBMP_by_Year-Month-Hour'!Q$134*'LBMP_by_Year-Month-Hour'!Q140,$B$22*'LBMP_by_Year-Month-Hour'!Q$166*'LBMP_by_Year-Month-Hour'!Q172,$B$23*'LBMP_by_Year-Month-Hour'!Q$198*'LBMP_by_Year-Month-Hour'!Q204,$B$24*'LBMP_by_Year-Month-Hour'!Q$230*'LBMP_by_Year-Month-Hour'!Q236,$B$25*'LBMP_by_Year-Month-Hour'!Q$262*'LBMP_by_Year-Month-Hour'!Q268,$B$26*'LBMP_by_Year-Month-Hour'!Q$294*'LBMP_by_Year-Month-Hour'!Q300,$B$27*'LBMP_by_Year-Month-Hour'!Q$326*'LBMP_by_Year-Month-Hour'!Q332,$B$28*'LBMP_by_Year-Month-Hour'!Q$358*'LBMP_by_Year-Month-Hour'!Q364,$B$29*'LBMP_by_Year-Month-Hour'!Q$390*'LBMP_by_Year-Month-Hour'!Q396,$B$30*'LBMP_by_Year-Month-Hour'!Q$422*'LBMP_by_Year-Month-Hour'!Q428,$B$31*'LBMP_by_Year-Month-Hour'!Q$454*'LBMP_by_Year-Month-Hour'!Q460,$B$32*'LBMP_by_Year-Month-Hour'!Q$486*'LBMP_by_Year-Month-Hour'!Q492,$B$33*'LBMP_by_Year-Month-Hour'!Q$518*'LBMP_by_Year-Month-Hour'!Q524,$B$34*'LBMP_by_Year-Month-Hour'!Q$550*'LBMP_by_Year-Month-Hour'!Q556,$B$35*'LBMP_by_Year-Month-Hour'!Q$582*'LBMP_by_Year-Month-Hour'!Q588)*Q21/$C$6/24</f>
        <v>0</v>
      </c>
      <c r="S83">
        <v>2</v>
      </c>
      <c r="T83">
        <f>NPV($C$7,$B$19*'LBMP_by_Year-Month-Hour'!T$70*'LBMP_by_Year-Month-Hour'!T76,$B$20*'LBMP_by_Year-Month-Hour'!T$102*'LBMP_by_Year-Month-Hour'!T108,$B$21*'LBMP_by_Year-Month-Hour'!T$134*'LBMP_by_Year-Month-Hour'!T140,$B$22*'LBMP_by_Year-Month-Hour'!T$166*'LBMP_by_Year-Month-Hour'!T172,$B$23*'LBMP_by_Year-Month-Hour'!T$198*'LBMP_by_Year-Month-Hour'!T204,$B$24*'LBMP_by_Year-Month-Hour'!T$230*'LBMP_by_Year-Month-Hour'!T236,$B$25*'LBMP_by_Year-Month-Hour'!T$262*'LBMP_by_Year-Month-Hour'!T268,$B$26*'LBMP_by_Year-Month-Hour'!T$294*'LBMP_by_Year-Month-Hour'!T300,$B$27*'LBMP_by_Year-Month-Hour'!T$326*'LBMP_by_Year-Month-Hour'!T332,$B$28*'LBMP_by_Year-Month-Hour'!T$358*'LBMP_by_Year-Month-Hour'!T364,$B$29*'LBMP_by_Year-Month-Hour'!T$390*'LBMP_by_Year-Month-Hour'!T396,$B$30*'LBMP_by_Year-Month-Hour'!T$422*'LBMP_by_Year-Month-Hour'!T428,$B$31*'LBMP_by_Year-Month-Hour'!T$454*'LBMP_by_Year-Month-Hour'!T460,$B$32*'LBMP_by_Year-Month-Hour'!T$486*'LBMP_by_Year-Month-Hour'!T492,$B$33*'LBMP_by_Year-Month-Hour'!T$518*'LBMP_by_Year-Month-Hour'!T524,$B$34*'LBMP_by_Year-Month-Hour'!T$550*'LBMP_by_Year-Month-Hour'!T556,$B$35*'LBMP_by_Year-Month-Hour'!T$582*'LBMP_by_Year-Month-Hour'!T588)*T21/$C$6/24</f>
        <v>-20668.82778005147</v>
      </c>
      <c r="V83">
        <v>2</v>
      </c>
      <c r="W83">
        <f>NPV($C$7,$B$19*'LBMP_by_Year-Month-Hour'!W$70*'LBMP_by_Year-Month-Hour'!W76,$B$20*'LBMP_by_Year-Month-Hour'!W$102*'LBMP_by_Year-Month-Hour'!W108,$B$21*'LBMP_by_Year-Month-Hour'!W$134*'LBMP_by_Year-Month-Hour'!W140,$B$22*'LBMP_by_Year-Month-Hour'!W$166*'LBMP_by_Year-Month-Hour'!W172,$B$23*'LBMP_by_Year-Month-Hour'!W$198*'LBMP_by_Year-Month-Hour'!W204,$B$24*'LBMP_by_Year-Month-Hour'!W$230*'LBMP_by_Year-Month-Hour'!W236,$B$25*'LBMP_by_Year-Month-Hour'!W$262*'LBMP_by_Year-Month-Hour'!W268,$B$26*'LBMP_by_Year-Month-Hour'!W$294*'LBMP_by_Year-Month-Hour'!W300,$B$27*'LBMP_by_Year-Month-Hour'!W$326*'LBMP_by_Year-Month-Hour'!W332,$B$28*'LBMP_by_Year-Month-Hour'!W$358*'LBMP_by_Year-Month-Hour'!W364,$B$29*'LBMP_by_Year-Month-Hour'!W$390*'LBMP_by_Year-Month-Hour'!W396,$B$30*'LBMP_by_Year-Month-Hour'!W$422*'LBMP_by_Year-Month-Hour'!W428,$B$31*'LBMP_by_Year-Month-Hour'!W$454*'LBMP_by_Year-Month-Hour'!W460,$B$32*'LBMP_by_Year-Month-Hour'!W$486*'LBMP_by_Year-Month-Hour'!W492,$B$33*'LBMP_by_Year-Month-Hour'!W$518*'LBMP_by_Year-Month-Hour'!W524,$B$34*'LBMP_by_Year-Month-Hour'!W$550*'LBMP_by_Year-Month-Hour'!W556,$B$35*'LBMP_by_Year-Month-Hour'!W$582*'LBMP_by_Year-Month-Hour'!W588)*W21/$C$6/24</f>
        <v>-23052.505606392577</v>
      </c>
      <c r="Y83">
        <v>2</v>
      </c>
      <c r="Z83">
        <f>NPV($C$7,$B$19*'LBMP_by_Year-Month-Hour'!Z$70*'LBMP_by_Year-Month-Hour'!Z76,$B$20*'LBMP_by_Year-Month-Hour'!Z$102*'LBMP_by_Year-Month-Hour'!Z108,$B$21*'LBMP_by_Year-Month-Hour'!Z$134*'LBMP_by_Year-Month-Hour'!Z140,$B$22*'LBMP_by_Year-Month-Hour'!Z$166*'LBMP_by_Year-Month-Hour'!Z172,$B$23*'LBMP_by_Year-Month-Hour'!Z$198*'LBMP_by_Year-Month-Hour'!Z204,$B$24*'LBMP_by_Year-Month-Hour'!Z$230*'LBMP_by_Year-Month-Hour'!Z236,$B$25*'LBMP_by_Year-Month-Hour'!Z$262*'LBMP_by_Year-Month-Hour'!Z268,$B$26*'LBMP_by_Year-Month-Hour'!Z$294*'LBMP_by_Year-Month-Hour'!Z300,$B$27*'LBMP_by_Year-Month-Hour'!Z$326*'LBMP_by_Year-Month-Hour'!Z332,$B$28*'LBMP_by_Year-Month-Hour'!Z$358*'LBMP_by_Year-Month-Hour'!Z364,$B$29*'LBMP_by_Year-Month-Hour'!Z$390*'LBMP_by_Year-Month-Hour'!Z396,$B$30*'LBMP_by_Year-Month-Hour'!Z$422*'LBMP_by_Year-Month-Hour'!Z428,$B$31*'LBMP_by_Year-Month-Hour'!Z$454*'LBMP_by_Year-Month-Hour'!Z460,$B$32*'LBMP_by_Year-Month-Hour'!Z$486*'LBMP_by_Year-Month-Hour'!Z492,$B$33*'LBMP_by_Year-Month-Hour'!Z$518*'LBMP_by_Year-Month-Hour'!Z524,$B$34*'LBMP_by_Year-Month-Hour'!Z$550*'LBMP_by_Year-Month-Hour'!Z556,$B$35*'LBMP_by_Year-Month-Hour'!Z$582*'LBMP_by_Year-Month-Hour'!Z588)*Z21/$C$6/24</f>
        <v>-21869.065005724358</v>
      </c>
      <c r="AB83">
        <v>2</v>
      </c>
      <c r="AC83">
        <f>NPV($C$7,$B$19*'LBMP_by_Year-Month-Hour'!AC$70*'LBMP_by_Year-Month-Hour'!AC76,$B$20*'LBMP_by_Year-Month-Hour'!AC$102*'LBMP_by_Year-Month-Hour'!AC108,$B$21*'LBMP_by_Year-Month-Hour'!AC$134*'LBMP_by_Year-Month-Hour'!AC140,$B$22*'LBMP_by_Year-Month-Hour'!AC$166*'LBMP_by_Year-Month-Hour'!AC172,$B$23*'LBMP_by_Year-Month-Hour'!AC$198*'LBMP_by_Year-Month-Hour'!AC204,$B$24*'LBMP_by_Year-Month-Hour'!AC$230*'LBMP_by_Year-Month-Hour'!AC236,$B$25*'LBMP_by_Year-Month-Hour'!AC$262*'LBMP_by_Year-Month-Hour'!AC268,$B$26*'LBMP_by_Year-Month-Hour'!AC$294*'LBMP_by_Year-Month-Hour'!AC300,$B$27*'LBMP_by_Year-Month-Hour'!AC$326*'LBMP_by_Year-Month-Hour'!AC332,$B$28*'LBMP_by_Year-Month-Hour'!AC$358*'LBMP_by_Year-Month-Hour'!AC364,$B$29*'LBMP_by_Year-Month-Hour'!AC$390*'LBMP_by_Year-Month-Hour'!AC396,$B$30*'LBMP_by_Year-Month-Hour'!AC$422*'LBMP_by_Year-Month-Hour'!AC428,$B$31*'LBMP_by_Year-Month-Hour'!AC$454*'LBMP_by_Year-Month-Hour'!AC460,$B$32*'LBMP_by_Year-Month-Hour'!AC$486*'LBMP_by_Year-Month-Hour'!AC492,$B$33*'LBMP_by_Year-Month-Hour'!AC$518*'LBMP_by_Year-Month-Hour'!AC524,$B$34*'LBMP_by_Year-Month-Hour'!AC$550*'LBMP_by_Year-Month-Hour'!AC556,$B$35*'LBMP_by_Year-Month-Hour'!AC$582*'LBMP_by_Year-Month-Hour'!AC588)*AC21/$C$6/24</f>
        <v>-19644.234883591613</v>
      </c>
      <c r="AE83">
        <v>2</v>
      </c>
      <c r="AF83">
        <f>NPV($C$7,$B$19*'LBMP_by_Year-Month-Hour'!AF$70*'LBMP_by_Year-Month-Hour'!AF76,$B$20*'LBMP_by_Year-Month-Hour'!AF$102*'LBMP_by_Year-Month-Hour'!AF108,$B$21*'LBMP_by_Year-Month-Hour'!AF$134*'LBMP_by_Year-Month-Hour'!AF140,$B$22*'LBMP_by_Year-Month-Hour'!AF$166*'LBMP_by_Year-Month-Hour'!AF172,$B$23*'LBMP_by_Year-Month-Hour'!AF$198*'LBMP_by_Year-Month-Hour'!AF204,$B$24*'LBMP_by_Year-Month-Hour'!AF$230*'LBMP_by_Year-Month-Hour'!AF236,$B$25*'LBMP_by_Year-Month-Hour'!AF$262*'LBMP_by_Year-Month-Hour'!AF268,$B$26*'LBMP_by_Year-Month-Hour'!AF$294*'LBMP_by_Year-Month-Hour'!AF300,$B$27*'LBMP_by_Year-Month-Hour'!AF$326*'LBMP_by_Year-Month-Hour'!AF332,$B$28*'LBMP_by_Year-Month-Hour'!AF$358*'LBMP_by_Year-Month-Hour'!AF364,$B$29*'LBMP_by_Year-Month-Hour'!AF$390*'LBMP_by_Year-Month-Hour'!AF396,$B$30*'LBMP_by_Year-Month-Hour'!AF$422*'LBMP_by_Year-Month-Hour'!AF428,$B$31*'LBMP_by_Year-Month-Hour'!AF$454*'LBMP_by_Year-Month-Hour'!AF460,$B$32*'LBMP_by_Year-Month-Hour'!AF$486*'LBMP_by_Year-Month-Hour'!AF492,$B$33*'LBMP_by_Year-Month-Hour'!AF$518*'LBMP_by_Year-Month-Hour'!AF524,$B$34*'LBMP_by_Year-Month-Hour'!AF$550*'LBMP_by_Year-Month-Hour'!AF556,$B$35*'LBMP_by_Year-Month-Hour'!AF$582*'LBMP_by_Year-Month-Hour'!AF588)*AF21/$C$6/24</f>
        <v>0</v>
      </c>
      <c r="AH83">
        <v>2</v>
      </c>
      <c r="AI83">
        <f>NPV($C$7,$B$19*'LBMP_by_Year-Month-Hour'!AI$70*'LBMP_by_Year-Month-Hour'!AI76,$B$20*'LBMP_by_Year-Month-Hour'!AI$102*'LBMP_by_Year-Month-Hour'!AI108,$B$21*'LBMP_by_Year-Month-Hour'!AI$134*'LBMP_by_Year-Month-Hour'!AI140,$B$22*'LBMP_by_Year-Month-Hour'!AI$166*'LBMP_by_Year-Month-Hour'!AI172,$B$23*'LBMP_by_Year-Month-Hour'!AI$198*'LBMP_by_Year-Month-Hour'!AI204,$B$24*'LBMP_by_Year-Month-Hour'!AI$230*'LBMP_by_Year-Month-Hour'!AI236,$B$25*'LBMP_by_Year-Month-Hour'!AI$262*'LBMP_by_Year-Month-Hour'!AI268,$B$26*'LBMP_by_Year-Month-Hour'!AI$294*'LBMP_by_Year-Month-Hour'!AI300,$B$27*'LBMP_by_Year-Month-Hour'!AI$326*'LBMP_by_Year-Month-Hour'!AI332,$B$28*'LBMP_by_Year-Month-Hour'!AI$358*'LBMP_by_Year-Month-Hour'!AI364,$B$29*'LBMP_by_Year-Month-Hour'!AI$390*'LBMP_by_Year-Month-Hour'!AI396,$B$30*'LBMP_by_Year-Month-Hour'!AI$422*'LBMP_by_Year-Month-Hour'!AI428,$B$31*'LBMP_by_Year-Month-Hour'!AI$454*'LBMP_by_Year-Month-Hour'!AI460,$B$32*'LBMP_by_Year-Month-Hour'!AI$486*'LBMP_by_Year-Month-Hour'!AI492,$B$33*'LBMP_by_Year-Month-Hour'!AI$518*'LBMP_by_Year-Month-Hour'!AI524,$B$34*'LBMP_by_Year-Month-Hour'!AI$550*'LBMP_by_Year-Month-Hour'!AI556,$B$35*'LBMP_by_Year-Month-Hour'!AI$582*'LBMP_by_Year-Month-Hour'!AI588)*AI21/$C$6/24</f>
        <v>0</v>
      </c>
      <c r="AK83">
        <v>2</v>
      </c>
      <c r="AL83">
        <f>NPV($C$7,$B$19*'LBMP_by_Year-Month-Hour'!AL$70*'LBMP_by_Year-Month-Hour'!AL76,$B$20*'LBMP_by_Year-Month-Hour'!AL$102*'LBMP_by_Year-Month-Hour'!AL108,$B$21*'LBMP_by_Year-Month-Hour'!AL$134*'LBMP_by_Year-Month-Hour'!AL140,$B$22*'LBMP_by_Year-Month-Hour'!AL$166*'LBMP_by_Year-Month-Hour'!AL172,$B$23*'LBMP_by_Year-Month-Hour'!AL$198*'LBMP_by_Year-Month-Hour'!AL204,$B$24*'LBMP_by_Year-Month-Hour'!AL$230*'LBMP_by_Year-Month-Hour'!AL236,$B$25*'LBMP_by_Year-Month-Hour'!AL$262*'LBMP_by_Year-Month-Hour'!AL268,$B$26*'LBMP_by_Year-Month-Hour'!AL$294*'LBMP_by_Year-Month-Hour'!AL300,$B$27*'LBMP_by_Year-Month-Hour'!AL$326*'LBMP_by_Year-Month-Hour'!AL332,$B$28*'LBMP_by_Year-Month-Hour'!AL$358*'LBMP_by_Year-Month-Hour'!AL364,$B$29*'LBMP_by_Year-Month-Hour'!AL$390*'LBMP_by_Year-Month-Hour'!AL396,$B$30*'LBMP_by_Year-Month-Hour'!AL$422*'LBMP_by_Year-Month-Hour'!AL428,$B$31*'LBMP_by_Year-Month-Hour'!AL$454*'LBMP_by_Year-Month-Hour'!AL460,$B$32*'LBMP_by_Year-Month-Hour'!AL$486*'LBMP_by_Year-Month-Hour'!AL492,$B$33*'LBMP_by_Year-Month-Hour'!AL$518*'LBMP_by_Year-Month-Hour'!AL524,$B$34*'LBMP_by_Year-Month-Hour'!AL$550*'LBMP_by_Year-Month-Hour'!AL556,$B$35*'LBMP_by_Year-Month-Hour'!AL$582*'LBMP_by_Year-Month-Hour'!AL588)*AL21/$C$6/24</f>
        <v>0</v>
      </c>
    </row>
    <row r="84" spans="1:38">
      <c r="A84">
        <v>3</v>
      </c>
      <c r="B84">
        <f t="shared" si="10"/>
        <v>-83098.86929813704</v>
      </c>
      <c r="D84">
        <v>3</v>
      </c>
      <c r="E84">
        <f>NPV($C$7,$B$19*'LBMP_by_Year-Month-Hour'!E$70*'LBMP_by_Year-Month-Hour'!E77,$B$20*'LBMP_by_Year-Month-Hour'!E$102*'LBMP_by_Year-Month-Hour'!E109,$B$21*'LBMP_by_Year-Month-Hour'!E$134*'LBMP_by_Year-Month-Hour'!E141,$B$22*'LBMP_by_Year-Month-Hour'!E$166*'LBMP_by_Year-Month-Hour'!E173,$B$23*'LBMP_by_Year-Month-Hour'!E$198*'LBMP_by_Year-Month-Hour'!E205,$B$24*'LBMP_by_Year-Month-Hour'!E$230*'LBMP_by_Year-Month-Hour'!E237,$B$25*'LBMP_by_Year-Month-Hour'!E$262*'LBMP_by_Year-Month-Hour'!E269,$B$26*'LBMP_by_Year-Month-Hour'!E$294*'LBMP_by_Year-Month-Hour'!E301,$B$27*'LBMP_by_Year-Month-Hour'!E$326*'LBMP_by_Year-Month-Hour'!E333,$B$28*'LBMP_by_Year-Month-Hour'!E$358*'LBMP_by_Year-Month-Hour'!E365,$B$29*'LBMP_by_Year-Month-Hour'!E$390*'LBMP_by_Year-Month-Hour'!E397,$B$30*'LBMP_by_Year-Month-Hour'!E$422*'LBMP_by_Year-Month-Hour'!E429,$B$31*'LBMP_by_Year-Month-Hour'!E$454*'LBMP_by_Year-Month-Hour'!E461,$B$32*'LBMP_by_Year-Month-Hour'!E$486*'LBMP_by_Year-Month-Hour'!E493,$B$33*'LBMP_by_Year-Month-Hour'!E$518*'LBMP_by_Year-Month-Hour'!E525,$B$34*'LBMP_by_Year-Month-Hour'!E$550*'LBMP_by_Year-Month-Hour'!E557,$B$35*'LBMP_by_Year-Month-Hour'!E$582*'LBMP_by_Year-Month-Hour'!E589)*E22/$C$6/24</f>
        <v>0</v>
      </c>
      <c r="G84">
        <v>3</v>
      </c>
      <c r="H84">
        <f>NPV($C$7,$B$19*'LBMP_by_Year-Month-Hour'!H$70*'LBMP_by_Year-Month-Hour'!H77,$B$20*'LBMP_by_Year-Month-Hour'!H$102*'LBMP_by_Year-Month-Hour'!H109,$B$21*'LBMP_by_Year-Month-Hour'!H$134*'LBMP_by_Year-Month-Hour'!H141,$B$22*'LBMP_by_Year-Month-Hour'!H$166*'LBMP_by_Year-Month-Hour'!H173,$B$23*'LBMP_by_Year-Month-Hour'!H$198*'LBMP_by_Year-Month-Hour'!H205,$B$24*'LBMP_by_Year-Month-Hour'!H$230*'LBMP_by_Year-Month-Hour'!H237,$B$25*'LBMP_by_Year-Month-Hour'!H$262*'LBMP_by_Year-Month-Hour'!H269,$B$26*'LBMP_by_Year-Month-Hour'!H$294*'LBMP_by_Year-Month-Hour'!H301,$B$27*'LBMP_by_Year-Month-Hour'!H$326*'LBMP_by_Year-Month-Hour'!H333,$B$28*'LBMP_by_Year-Month-Hour'!H$358*'LBMP_by_Year-Month-Hour'!H365,$B$29*'LBMP_by_Year-Month-Hour'!H$390*'LBMP_by_Year-Month-Hour'!H397,$B$30*'LBMP_by_Year-Month-Hour'!H$422*'LBMP_by_Year-Month-Hour'!H429,$B$31*'LBMP_by_Year-Month-Hour'!H$454*'LBMP_by_Year-Month-Hour'!H461,$B$32*'LBMP_by_Year-Month-Hour'!H$486*'LBMP_by_Year-Month-Hour'!H493,$B$33*'LBMP_by_Year-Month-Hour'!H$518*'LBMP_by_Year-Month-Hour'!H525,$B$34*'LBMP_by_Year-Month-Hour'!H$550*'LBMP_by_Year-Month-Hour'!H557,$B$35*'LBMP_by_Year-Month-Hour'!H$582*'LBMP_by_Year-Month-Hour'!H589)*H22/$C$6/24</f>
        <v>0</v>
      </c>
      <c r="J84">
        <v>3</v>
      </c>
      <c r="K84">
        <f>NPV($C$7,$B$19*'LBMP_by_Year-Month-Hour'!K$70*'LBMP_by_Year-Month-Hour'!K77,$B$20*'LBMP_by_Year-Month-Hour'!K$102*'LBMP_by_Year-Month-Hour'!K109,$B$21*'LBMP_by_Year-Month-Hour'!K$134*'LBMP_by_Year-Month-Hour'!K141,$B$22*'LBMP_by_Year-Month-Hour'!K$166*'LBMP_by_Year-Month-Hour'!K173,$B$23*'LBMP_by_Year-Month-Hour'!K$198*'LBMP_by_Year-Month-Hour'!K205,$B$24*'LBMP_by_Year-Month-Hour'!K$230*'LBMP_by_Year-Month-Hour'!K237,$B$25*'LBMP_by_Year-Month-Hour'!K$262*'LBMP_by_Year-Month-Hour'!K269,$B$26*'LBMP_by_Year-Month-Hour'!K$294*'LBMP_by_Year-Month-Hour'!K301,$B$27*'LBMP_by_Year-Month-Hour'!K$326*'LBMP_by_Year-Month-Hour'!K333,$B$28*'LBMP_by_Year-Month-Hour'!K$358*'LBMP_by_Year-Month-Hour'!K365,$B$29*'LBMP_by_Year-Month-Hour'!K$390*'LBMP_by_Year-Month-Hour'!K397,$B$30*'LBMP_by_Year-Month-Hour'!K$422*'LBMP_by_Year-Month-Hour'!K429,$B$31*'LBMP_by_Year-Month-Hour'!K$454*'LBMP_by_Year-Month-Hour'!K461,$B$32*'LBMP_by_Year-Month-Hour'!K$486*'LBMP_by_Year-Month-Hour'!K493,$B$33*'LBMP_by_Year-Month-Hour'!K$518*'LBMP_by_Year-Month-Hour'!K525,$B$34*'LBMP_by_Year-Month-Hour'!K$550*'LBMP_by_Year-Month-Hour'!K557,$B$35*'LBMP_by_Year-Month-Hour'!K$582*'LBMP_by_Year-Month-Hour'!K589)*K22/$C$6/24</f>
        <v>0</v>
      </c>
      <c r="M84">
        <v>3</v>
      </c>
      <c r="N84">
        <f>NPV($C$7,$B$19*'LBMP_by_Year-Month-Hour'!N$70*'LBMP_by_Year-Month-Hour'!N77,$B$20*'LBMP_by_Year-Month-Hour'!N$102*'LBMP_by_Year-Month-Hour'!N109,$B$21*'LBMP_by_Year-Month-Hour'!N$134*'LBMP_by_Year-Month-Hour'!N141,$B$22*'LBMP_by_Year-Month-Hour'!N$166*'LBMP_by_Year-Month-Hour'!N173,$B$23*'LBMP_by_Year-Month-Hour'!N$198*'LBMP_by_Year-Month-Hour'!N205,$B$24*'LBMP_by_Year-Month-Hour'!N$230*'LBMP_by_Year-Month-Hour'!N237,$B$25*'LBMP_by_Year-Month-Hour'!N$262*'LBMP_by_Year-Month-Hour'!N269,$B$26*'LBMP_by_Year-Month-Hour'!N$294*'LBMP_by_Year-Month-Hour'!N301,$B$27*'LBMP_by_Year-Month-Hour'!N$326*'LBMP_by_Year-Month-Hour'!N333,$B$28*'LBMP_by_Year-Month-Hour'!N$358*'LBMP_by_Year-Month-Hour'!N365,$B$29*'LBMP_by_Year-Month-Hour'!N$390*'LBMP_by_Year-Month-Hour'!N397,$B$30*'LBMP_by_Year-Month-Hour'!N$422*'LBMP_by_Year-Month-Hour'!N429,$B$31*'LBMP_by_Year-Month-Hour'!N$454*'LBMP_by_Year-Month-Hour'!N461,$B$32*'LBMP_by_Year-Month-Hour'!N$486*'LBMP_by_Year-Month-Hour'!N493,$B$33*'LBMP_by_Year-Month-Hour'!N$518*'LBMP_by_Year-Month-Hour'!N525,$B$34*'LBMP_by_Year-Month-Hour'!N$550*'LBMP_by_Year-Month-Hour'!N557,$B$35*'LBMP_by_Year-Month-Hour'!N$582*'LBMP_by_Year-Month-Hour'!N589)*N22/$C$6/24</f>
        <v>0</v>
      </c>
      <c r="P84">
        <v>3</v>
      </c>
      <c r="Q84">
        <f>NPV($C$7,$B$19*'LBMP_by_Year-Month-Hour'!Q$70*'LBMP_by_Year-Month-Hour'!Q77,$B$20*'LBMP_by_Year-Month-Hour'!Q$102*'LBMP_by_Year-Month-Hour'!Q109,$B$21*'LBMP_by_Year-Month-Hour'!Q$134*'LBMP_by_Year-Month-Hour'!Q141,$B$22*'LBMP_by_Year-Month-Hour'!Q$166*'LBMP_by_Year-Month-Hour'!Q173,$B$23*'LBMP_by_Year-Month-Hour'!Q$198*'LBMP_by_Year-Month-Hour'!Q205,$B$24*'LBMP_by_Year-Month-Hour'!Q$230*'LBMP_by_Year-Month-Hour'!Q237,$B$25*'LBMP_by_Year-Month-Hour'!Q$262*'LBMP_by_Year-Month-Hour'!Q269,$B$26*'LBMP_by_Year-Month-Hour'!Q$294*'LBMP_by_Year-Month-Hour'!Q301,$B$27*'LBMP_by_Year-Month-Hour'!Q$326*'LBMP_by_Year-Month-Hour'!Q333,$B$28*'LBMP_by_Year-Month-Hour'!Q$358*'LBMP_by_Year-Month-Hour'!Q365,$B$29*'LBMP_by_Year-Month-Hour'!Q$390*'LBMP_by_Year-Month-Hour'!Q397,$B$30*'LBMP_by_Year-Month-Hour'!Q$422*'LBMP_by_Year-Month-Hour'!Q429,$B$31*'LBMP_by_Year-Month-Hour'!Q$454*'LBMP_by_Year-Month-Hour'!Q461,$B$32*'LBMP_by_Year-Month-Hour'!Q$486*'LBMP_by_Year-Month-Hour'!Q493,$B$33*'LBMP_by_Year-Month-Hour'!Q$518*'LBMP_by_Year-Month-Hour'!Q525,$B$34*'LBMP_by_Year-Month-Hour'!Q$550*'LBMP_by_Year-Month-Hour'!Q557,$B$35*'LBMP_by_Year-Month-Hour'!Q$582*'LBMP_by_Year-Month-Hour'!Q589)*Q22/$C$6/24</f>
        <v>0</v>
      </c>
      <c r="S84">
        <v>3</v>
      </c>
      <c r="T84">
        <f>NPV($C$7,$B$19*'LBMP_by_Year-Month-Hour'!T$70*'LBMP_by_Year-Month-Hour'!T77,$B$20*'LBMP_by_Year-Month-Hour'!T$102*'LBMP_by_Year-Month-Hour'!T109,$B$21*'LBMP_by_Year-Month-Hour'!T$134*'LBMP_by_Year-Month-Hour'!T141,$B$22*'LBMP_by_Year-Month-Hour'!T$166*'LBMP_by_Year-Month-Hour'!T173,$B$23*'LBMP_by_Year-Month-Hour'!T$198*'LBMP_by_Year-Month-Hour'!T205,$B$24*'LBMP_by_Year-Month-Hour'!T$230*'LBMP_by_Year-Month-Hour'!T237,$B$25*'LBMP_by_Year-Month-Hour'!T$262*'LBMP_by_Year-Month-Hour'!T269,$B$26*'LBMP_by_Year-Month-Hour'!T$294*'LBMP_by_Year-Month-Hour'!T301,$B$27*'LBMP_by_Year-Month-Hour'!T$326*'LBMP_by_Year-Month-Hour'!T333,$B$28*'LBMP_by_Year-Month-Hour'!T$358*'LBMP_by_Year-Month-Hour'!T365,$B$29*'LBMP_by_Year-Month-Hour'!T$390*'LBMP_by_Year-Month-Hour'!T397,$B$30*'LBMP_by_Year-Month-Hour'!T$422*'LBMP_by_Year-Month-Hour'!T429,$B$31*'LBMP_by_Year-Month-Hour'!T$454*'LBMP_by_Year-Month-Hour'!T461,$B$32*'LBMP_by_Year-Month-Hour'!T$486*'LBMP_by_Year-Month-Hour'!T493,$B$33*'LBMP_by_Year-Month-Hour'!T$518*'LBMP_by_Year-Month-Hour'!T525,$B$34*'LBMP_by_Year-Month-Hour'!T$550*'LBMP_by_Year-Month-Hour'!T557,$B$35*'LBMP_by_Year-Month-Hour'!T$582*'LBMP_by_Year-Month-Hour'!T589)*T22/$C$6/24</f>
        <v>-20235.217589878353</v>
      </c>
      <c r="V84">
        <v>3</v>
      </c>
      <c r="W84">
        <f>NPV($C$7,$B$19*'LBMP_by_Year-Month-Hour'!W$70*'LBMP_by_Year-Month-Hour'!W77,$B$20*'LBMP_by_Year-Month-Hour'!W$102*'LBMP_by_Year-Month-Hour'!W109,$B$21*'LBMP_by_Year-Month-Hour'!W$134*'LBMP_by_Year-Month-Hour'!W141,$B$22*'LBMP_by_Year-Month-Hour'!W$166*'LBMP_by_Year-Month-Hour'!W173,$B$23*'LBMP_by_Year-Month-Hour'!W$198*'LBMP_by_Year-Month-Hour'!W205,$B$24*'LBMP_by_Year-Month-Hour'!W$230*'LBMP_by_Year-Month-Hour'!W237,$B$25*'LBMP_by_Year-Month-Hour'!W$262*'LBMP_by_Year-Month-Hour'!W269,$B$26*'LBMP_by_Year-Month-Hour'!W$294*'LBMP_by_Year-Month-Hour'!W301,$B$27*'LBMP_by_Year-Month-Hour'!W$326*'LBMP_by_Year-Month-Hour'!W333,$B$28*'LBMP_by_Year-Month-Hour'!W$358*'LBMP_by_Year-Month-Hour'!W365,$B$29*'LBMP_by_Year-Month-Hour'!W$390*'LBMP_by_Year-Month-Hour'!W397,$B$30*'LBMP_by_Year-Month-Hour'!W$422*'LBMP_by_Year-Month-Hour'!W429,$B$31*'LBMP_by_Year-Month-Hour'!W$454*'LBMP_by_Year-Month-Hour'!W461,$B$32*'LBMP_by_Year-Month-Hour'!W$486*'LBMP_by_Year-Month-Hour'!W493,$B$33*'LBMP_by_Year-Month-Hour'!W$518*'LBMP_by_Year-Month-Hour'!W525,$B$34*'LBMP_by_Year-Month-Hour'!W$550*'LBMP_by_Year-Month-Hour'!W557,$B$35*'LBMP_by_Year-Month-Hour'!W$582*'LBMP_by_Year-Month-Hour'!W589)*W22/$C$6/24</f>
        <v>-22514.913436771454</v>
      </c>
      <c r="Y84">
        <v>3</v>
      </c>
      <c r="Z84">
        <f>NPV($C$7,$B$19*'LBMP_by_Year-Month-Hour'!Z$70*'LBMP_by_Year-Month-Hour'!Z77,$B$20*'LBMP_by_Year-Month-Hour'!Z$102*'LBMP_by_Year-Month-Hour'!Z109,$B$21*'LBMP_by_Year-Month-Hour'!Z$134*'LBMP_by_Year-Month-Hour'!Z141,$B$22*'LBMP_by_Year-Month-Hour'!Z$166*'LBMP_by_Year-Month-Hour'!Z173,$B$23*'LBMP_by_Year-Month-Hour'!Z$198*'LBMP_by_Year-Month-Hour'!Z205,$B$24*'LBMP_by_Year-Month-Hour'!Z$230*'LBMP_by_Year-Month-Hour'!Z237,$B$25*'LBMP_by_Year-Month-Hour'!Z$262*'LBMP_by_Year-Month-Hour'!Z269,$B$26*'LBMP_by_Year-Month-Hour'!Z$294*'LBMP_by_Year-Month-Hour'!Z301,$B$27*'LBMP_by_Year-Month-Hour'!Z$326*'LBMP_by_Year-Month-Hour'!Z333,$B$28*'LBMP_by_Year-Month-Hour'!Z$358*'LBMP_by_Year-Month-Hour'!Z365,$B$29*'LBMP_by_Year-Month-Hour'!Z$390*'LBMP_by_Year-Month-Hour'!Z397,$B$30*'LBMP_by_Year-Month-Hour'!Z$422*'LBMP_by_Year-Month-Hour'!Z429,$B$31*'LBMP_by_Year-Month-Hour'!Z$454*'LBMP_by_Year-Month-Hour'!Z461,$B$32*'LBMP_by_Year-Month-Hour'!Z$486*'LBMP_by_Year-Month-Hour'!Z493,$B$33*'LBMP_by_Year-Month-Hour'!Z$518*'LBMP_by_Year-Month-Hour'!Z525,$B$34*'LBMP_by_Year-Month-Hour'!Z$550*'LBMP_by_Year-Month-Hour'!Z557,$B$35*'LBMP_by_Year-Month-Hour'!Z$582*'LBMP_by_Year-Month-Hour'!Z589)*Z22/$C$6/24</f>
        <v>-21288.610422159527</v>
      </c>
      <c r="AB84">
        <v>3</v>
      </c>
      <c r="AC84">
        <f>NPV($C$7,$B$19*'LBMP_by_Year-Month-Hour'!AC$70*'LBMP_by_Year-Month-Hour'!AC77,$B$20*'LBMP_by_Year-Month-Hour'!AC$102*'LBMP_by_Year-Month-Hour'!AC109,$B$21*'LBMP_by_Year-Month-Hour'!AC$134*'LBMP_by_Year-Month-Hour'!AC141,$B$22*'LBMP_by_Year-Month-Hour'!AC$166*'LBMP_by_Year-Month-Hour'!AC173,$B$23*'LBMP_by_Year-Month-Hour'!AC$198*'LBMP_by_Year-Month-Hour'!AC205,$B$24*'LBMP_by_Year-Month-Hour'!AC$230*'LBMP_by_Year-Month-Hour'!AC237,$B$25*'LBMP_by_Year-Month-Hour'!AC$262*'LBMP_by_Year-Month-Hour'!AC269,$B$26*'LBMP_by_Year-Month-Hour'!AC$294*'LBMP_by_Year-Month-Hour'!AC301,$B$27*'LBMP_by_Year-Month-Hour'!AC$326*'LBMP_by_Year-Month-Hour'!AC333,$B$28*'LBMP_by_Year-Month-Hour'!AC$358*'LBMP_by_Year-Month-Hour'!AC365,$B$29*'LBMP_by_Year-Month-Hour'!AC$390*'LBMP_by_Year-Month-Hour'!AC397,$B$30*'LBMP_by_Year-Month-Hour'!AC$422*'LBMP_by_Year-Month-Hour'!AC429,$B$31*'LBMP_by_Year-Month-Hour'!AC$454*'LBMP_by_Year-Month-Hour'!AC461,$B$32*'LBMP_by_Year-Month-Hour'!AC$486*'LBMP_by_Year-Month-Hour'!AC493,$B$33*'LBMP_by_Year-Month-Hour'!AC$518*'LBMP_by_Year-Month-Hour'!AC525,$B$34*'LBMP_by_Year-Month-Hour'!AC$550*'LBMP_by_Year-Month-Hour'!AC557,$B$35*'LBMP_by_Year-Month-Hour'!AC$582*'LBMP_by_Year-Month-Hour'!AC589)*AC22/$C$6/24</f>
        <v>-19060.127849327702</v>
      </c>
      <c r="AE84">
        <v>3</v>
      </c>
      <c r="AF84">
        <f>NPV($C$7,$B$19*'LBMP_by_Year-Month-Hour'!AF$70*'LBMP_by_Year-Month-Hour'!AF77,$B$20*'LBMP_by_Year-Month-Hour'!AF$102*'LBMP_by_Year-Month-Hour'!AF109,$B$21*'LBMP_by_Year-Month-Hour'!AF$134*'LBMP_by_Year-Month-Hour'!AF141,$B$22*'LBMP_by_Year-Month-Hour'!AF$166*'LBMP_by_Year-Month-Hour'!AF173,$B$23*'LBMP_by_Year-Month-Hour'!AF$198*'LBMP_by_Year-Month-Hour'!AF205,$B$24*'LBMP_by_Year-Month-Hour'!AF$230*'LBMP_by_Year-Month-Hour'!AF237,$B$25*'LBMP_by_Year-Month-Hour'!AF$262*'LBMP_by_Year-Month-Hour'!AF269,$B$26*'LBMP_by_Year-Month-Hour'!AF$294*'LBMP_by_Year-Month-Hour'!AF301,$B$27*'LBMP_by_Year-Month-Hour'!AF$326*'LBMP_by_Year-Month-Hour'!AF333,$B$28*'LBMP_by_Year-Month-Hour'!AF$358*'LBMP_by_Year-Month-Hour'!AF365,$B$29*'LBMP_by_Year-Month-Hour'!AF$390*'LBMP_by_Year-Month-Hour'!AF397,$B$30*'LBMP_by_Year-Month-Hour'!AF$422*'LBMP_by_Year-Month-Hour'!AF429,$B$31*'LBMP_by_Year-Month-Hour'!AF$454*'LBMP_by_Year-Month-Hour'!AF461,$B$32*'LBMP_by_Year-Month-Hour'!AF$486*'LBMP_by_Year-Month-Hour'!AF493,$B$33*'LBMP_by_Year-Month-Hour'!AF$518*'LBMP_by_Year-Month-Hour'!AF525,$B$34*'LBMP_by_Year-Month-Hour'!AF$550*'LBMP_by_Year-Month-Hour'!AF557,$B$35*'LBMP_by_Year-Month-Hour'!AF$582*'LBMP_by_Year-Month-Hour'!AF589)*AF22/$C$6/24</f>
        <v>0</v>
      </c>
      <c r="AH84">
        <v>3</v>
      </c>
      <c r="AI84">
        <f>NPV($C$7,$B$19*'LBMP_by_Year-Month-Hour'!AI$70*'LBMP_by_Year-Month-Hour'!AI77,$B$20*'LBMP_by_Year-Month-Hour'!AI$102*'LBMP_by_Year-Month-Hour'!AI109,$B$21*'LBMP_by_Year-Month-Hour'!AI$134*'LBMP_by_Year-Month-Hour'!AI141,$B$22*'LBMP_by_Year-Month-Hour'!AI$166*'LBMP_by_Year-Month-Hour'!AI173,$B$23*'LBMP_by_Year-Month-Hour'!AI$198*'LBMP_by_Year-Month-Hour'!AI205,$B$24*'LBMP_by_Year-Month-Hour'!AI$230*'LBMP_by_Year-Month-Hour'!AI237,$B$25*'LBMP_by_Year-Month-Hour'!AI$262*'LBMP_by_Year-Month-Hour'!AI269,$B$26*'LBMP_by_Year-Month-Hour'!AI$294*'LBMP_by_Year-Month-Hour'!AI301,$B$27*'LBMP_by_Year-Month-Hour'!AI$326*'LBMP_by_Year-Month-Hour'!AI333,$B$28*'LBMP_by_Year-Month-Hour'!AI$358*'LBMP_by_Year-Month-Hour'!AI365,$B$29*'LBMP_by_Year-Month-Hour'!AI$390*'LBMP_by_Year-Month-Hour'!AI397,$B$30*'LBMP_by_Year-Month-Hour'!AI$422*'LBMP_by_Year-Month-Hour'!AI429,$B$31*'LBMP_by_Year-Month-Hour'!AI$454*'LBMP_by_Year-Month-Hour'!AI461,$B$32*'LBMP_by_Year-Month-Hour'!AI$486*'LBMP_by_Year-Month-Hour'!AI493,$B$33*'LBMP_by_Year-Month-Hour'!AI$518*'LBMP_by_Year-Month-Hour'!AI525,$B$34*'LBMP_by_Year-Month-Hour'!AI$550*'LBMP_by_Year-Month-Hour'!AI557,$B$35*'LBMP_by_Year-Month-Hour'!AI$582*'LBMP_by_Year-Month-Hour'!AI589)*AI22/$C$6/24</f>
        <v>0</v>
      </c>
      <c r="AK84">
        <v>3</v>
      </c>
      <c r="AL84">
        <f>NPV($C$7,$B$19*'LBMP_by_Year-Month-Hour'!AL$70*'LBMP_by_Year-Month-Hour'!AL77,$B$20*'LBMP_by_Year-Month-Hour'!AL$102*'LBMP_by_Year-Month-Hour'!AL109,$B$21*'LBMP_by_Year-Month-Hour'!AL$134*'LBMP_by_Year-Month-Hour'!AL141,$B$22*'LBMP_by_Year-Month-Hour'!AL$166*'LBMP_by_Year-Month-Hour'!AL173,$B$23*'LBMP_by_Year-Month-Hour'!AL$198*'LBMP_by_Year-Month-Hour'!AL205,$B$24*'LBMP_by_Year-Month-Hour'!AL$230*'LBMP_by_Year-Month-Hour'!AL237,$B$25*'LBMP_by_Year-Month-Hour'!AL$262*'LBMP_by_Year-Month-Hour'!AL269,$B$26*'LBMP_by_Year-Month-Hour'!AL$294*'LBMP_by_Year-Month-Hour'!AL301,$B$27*'LBMP_by_Year-Month-Hour'!AL$326*'LBMP_by_Year-Month-Hour'!AL333,$B$28*'LBMP_by_Year-Month-Hour'!AL$358*'LBMP_by_Year-Month-Hour'!AL365,$B$29*'LBMP_by_Year-Month-Hour'!AL$390*'LBMP_by_Year-Month-Hour'!AL397,$B$30*'LBMP_by_Year-Month-Hour'!AL$422*'LBMP_by_Year-Month-Hour'!AL429,$B$31*'LBMP_by_Year-Month-Hour'!AL$454*'LBMP_by_Year-Month-Hour'!AL461,$B$32*'LBMP_by_Year-Month-Hour'!AL$486*'LBMP_by_Year-Month-Hour'!AL493,$B$33*'LBMP_by_Year-Month-Hour'!AL$518*'LBMP_by_Year-Month-Hour'!AL525,$B$34*'LBMP_by_Year-Month-Hour'!AL$550*'LBMP_by_Year-Month-Hour'!AL557,$B$35*'LBMP_by_Year-Month-Hour'!AL$582*'LBMP_by_Year-Month-Hour'!AL589)*AL22/$C$6/24</f>
        <v>0</v>
      </c>
    </row>
    <row r="85" spans="1:38">
      <c r="A85">
        <v>4</v>
      </c>
      <c r="B85">
        <f t="shared" si="10"/>
        <v>-82621.386657408948</v>
      </c>
      <c r="D85">
        <v>4</v>
      </c>
      <c r="E85">
        <f>NPV($C$7,$B$19*'LBMP_by_Year-Month-Hour'!E$70*'LBMP_by_Year-Month-Hour'!E78,$B$20*'LBMP_by_Year-Month-Hour'!E$102*'LBMP_by_Year-Month-Hour'!E110,$B$21*'LBMP_by_Year-Month-Hour'!E$134*'LBMP_by_Year-Month-Hour'!E142,$B$22*'LBMP_by_Year-Month-Hour'!E$166*'LBMP_by_Year-Month-Hour'!E174,$B$23*'LBMP_by_Year-Month-Hour'!E$198*'LBMP_by_Year-Month-Hour'!E206,$B$24*'LBMP_by_Year-Month-Hour'!E$230*'LBMP_by_Year-Month-Hour'!E238,$B$25*'LBMP_by_Year-Month-Hour'!E$262*'LBMP_by_Year-Month-Hour'!E270,$B$26*'LBMP_by_Year-Month-Hour'!E$294*'LBMP_by_Year-Month-Hour'!E302,$B$27*'LBMP_by_Year-Month-Hour'!E$326*'LBMP_by_Year-Month-Hour'!E334,$B$28*'LBMP_by_Year-Month-Hour'!E$358*'LBMP_by_Year-Month-Hour'!E366,$B$29*'LBMP_by_Year-Month-Hour'!E$390*'LBMP_by_Year-Month-Hour'!E398,$B$30*'LBMP_by_Year-Month-Hour'!E$422*'LBMP_by_Year-Month-Hour'!E430,$B$31*'LBMP_by_Year-Month-Hour'!E$454*'LBMP_by_Year-Month-Hour'!E462,$B$32*'LBMP_by_Year-Month-Hour'!E$486*'LBMP_by_Year-Month-Hour'!E494,$B$33*'LBMP_by_Year-Month-Hour'!E$518*'LBMP_by_Year-Month-Hour'!E526,$B$34*'LBMP_by_Year-Month-Hour'!E$550*'LBMP_by_Year-Month-Hour'!E558,$B$35*'LBMP_by_Year-Month-Hour'!E$582*'LBMP_by_Year-Month-Hour'!E590)*E23/$C$6/24</f>
        <v>0</v>
      </c>
      <c r="G85">
        <v>4</v>
      </c>
      <c r="H85">
        <f>NPV($C$7,$B$19*'LBMP_by_Year-Month-Hour'!H$70*'LBMP_by_Year-Month-Hour'!H78,$B$20*'LBMP_by_Year-Month-Hour'!H$102*'LBMP_by_Year-Month-Hour'!H110,$B$21*'LBMP_by_Year-Month-Hour'!H$134*'LBMP_by_Year-Month-Hour'!H142,$B$22*'LBMP_by_Year-Month-Hour'!H$166*'LBMP_by_Year-Month-Hour'!H174,$B$23*'LBMP_by_Year-Month-Hour'!H$198*'LBMP_by_Year-Month-Hour'!H206,$B$24*'LBMP_by_Year-Month-Hour'!H$230*'LBMP_by_Year-Month-Hour'!H238,$B$25*'LBMP_by_Year-Month-Hour'!H$262*'LBMP_by_Year-Month-Hour'!H270,$B$26*'LBMP_by_Year-Month-Hour'!H$294*'LBMP_by_Year-Month-Hour'!H302,$B$27*'LBMP_by_Year-Month-Hour'!H$326*'LBMP_by_Year-Month-Hour'!H334,$B$28*'LBMP_by_Year-Month-Hour'!H$358*'LBMP_by_Year-Month-Hour'!H366,$B$29*'LBMP_by_Year-Month-Hour'!H$390*'LBMP_by_Year-Month-Hour'!H398,$B$30*'LBMP_by_Year-Month-Hour'!H$422*'LBMP_by_Year-Month-Hour'!H430,$B$31*'LBMP_by_Year-Month-Hour'!H$454*'LBMP_by_Year-Month-Hour'!H462,$B$32*'LBMP_by_Year-Month-Hour'!H$486*'LBMP_by_Year-Month-Hour'!H494,$B$33*'LBMP_by_Year-Month-Hour'!H$518*'LBMP_by_Year-Month-Hour'!H526,$B$34*'LBMP_by_Year-Month-Hour'!H$550*'LBMP_by_Year-Month-Hour'!H558,$B$35*'LBMP_by_Year-Month-Hour'!H$582*'LBMP_by_Year-Month-Hour'!H590)*H23/$C$6/24</f>
        <v>0</v>
      </c>
      <c r="J85">
        <v>4</v>
      </c>
      <c r="K85">
        <f>NPV($C$7,$B$19*'LBMP_by_Year-Month-Hour'!K$70*'LBMP_by_Year-Month-Hour'!K78,$B$20*'LBMP_by_Year-Month-Hour'!K$102*'LBMP_by_Year-Month-Hour'!K110,$B$21*'LBMP_by_Year-Month-Hour'!K$134*'LBMP_by_Year-Month-Hour'!K142,$B$22*'LBMP_by_Year-Month-Hour'!K$166*'LBMP_by_Year-Month-Hour'!K174,$B$23*'LBMP_by_Year-Month-Hour'!K$198*'LBMP_by_Year-Month-Hour'!K206,$B$24*'LBMP_by_Year-Month-Hour'!K$230*'LBMP_by_Year-Month-Hour'!K238,$B$25*'LBMP_by_Year-Month-Hour'!K$262*'LBMP_by_Year-Month-Hour'!K270,$B$26*'LBMP_by_Year-Month-Hour'!K$294*'LBMP_by_Year-Month-Hour'!K302,$B$27*'LBMP_by_Year-Month-Hour'!K$326*'LBMP_by_Year-Month-Hour'!K334,$B$28*'LBMP_by_Year-Month-Hour'!K$358*'LBMP_by_Year-Month-Hour'!K366,$B$29*'LBMP_by_Year-Month-Hour'!K$390*'LBMP_by_Year-Month-Hour'!K398,$B$30*'LBMP_by_Year-Month-Hour'!K$422*'LBMP_by_Year-Month-Hour'!K430,$B$31*'LBMP_by_Year-Month-Hour'!K$454*'LBMP_by_Year-Month-Hour'!K462,$B$32*'LBMP_by_Year-Month-Hour'!K$486*'LBMP_by_Year-Month-Hour'!K494,$B$33*'LBMP_by_Year-Month-Hour'!K$518*'LBMP_by_Year-Month-Hour'!K526,$B$34*'LBMP_by_Year-Month-Hour'!K$550*'LBMP_by_Year-Month-Hour'!K558,$B$35*'LBMP_by_Year-Month-Hour'!K$582*'LBMP_by_Year-Month-Hour'!K590)*K23/$C$6/24</f>
        <v>0</v>
      </c>
      <c r="M85">
        <v>4</v>
      </c>
      <c r="N85">
        <f>NPV($C$7,$B$19*'LBMP_by_Year-Month-Hour'!N$70*'LBMP_by_Year-Month-Hour'!N78,$B$20*'LBMP_by_Year-Month-Hour'!N$102*'LBMP_by_Year-Month-Hour'!N110,$B$21*'LBMP_by_Year-Month-Hour'!N$134*'LBMP_by_Year-Month-Hour'!N142,$B$22*'LBMP_by_Year-Month-Hour'!N$166*'LBMP_by_Year-Month-Hour'!N174,$B$23*'LBMP_by_Year-Month-Hour'!N$198*'LBMP_by_Year-Month-Hour'!N206,$B$24*'LBMP_by_Year-Month-Hour'!N$230*'LBMP_by_Year-Month-Hour'!N238,$B$25*'LBMP_by_Year-Month-Hour'!N$262*'LBMP_by_Year-Month-Hour'!N270,$B$26*'LBMP_by_Year-Month-Hour'!N$294*'LBMP_by_Year-Month-Hour'!N302,$B$27*'LBMP_by_Year-Month-Hour'!N$326*'LBMP_by_Year-Month-Hour'!N334,$B$28*'LBMP_by_Year-Month-Hour'!N$358*'LBMP_by_Year-Month-Hour'!N366,$B$29*'LBMP_by_Year-Month-Hour'!N$390*'LBMP_by_Year-Month-Hour'!N398,$B$30*'LBMP_by_Year-Month-Hour'!N$422*'LBMP_by_Year-Month-Hour'!N430,$B$31*'LBMP_by_Year-Month-Hour'!N$454*'LBMP_by_Year-Month-Hour'!N462,$B$32*'LBMP_by_Year-Month-Hour'!N$486*'LBMP_by_Year-Month-Hour'!N494,$B$33*'LBMP_by_Year-Month-Hour'!N$518*'LBMP_by_Year-Month-Hour'!N526,$B$34*'LBMP_by_Year-Month-Hour'!N$550*'LBMP_by_Year-Month-Hour'!N558,$B$35*'LBMP_by_Year-Month-Hour'!N$582*'LBMP_by_Year-Month-Hour'!N590)*N23/$C$6/24</f>
        <v>0</v>
      </c>
      <c r="P85">
        <v>4</v>
      </c>
      <c r="Q85">
        <f>NPV($C$7,$B$19*'LBMP_by_Year-Month-Hour'!Q$70*'LBMP_by_Year-Month-Hour'!Q78,$B$20*'LBMP_by_Year-Month-Hour'!Q$102*'LBMP_by_Year-Month-Hour'!Q110,$B$21*'LBMP_by_Year-Month-Hour'!Q$134*'LBMP_by_Year-Month-Hour'!Q142,$B$22*'LBMP_by_Year-Month-Hour'!Q$166*'LBMP_by_Year-Month-Hour'!Q174,$B$23*'LBMP_by_Year-Month-Hour'!Q$198*'LBMP_by_Year-Month-Hour'!Q206,$B$24*'LBMP_by_Year-Month-Hour'!Q$230*'LBMP_by_Year-Month-Hour'!Q238,$B$25*'LBMP_by_Year-Month-Hour'!Q$262*'LBMP_by_Year-Month-Hour'!Q270,$B$26*'LBMP_by_Year-Month-Hour'!Q$294*'LBMP_by_Year-Month-Hour'!Q302,$B$27*'LBMP_by_Year-Month-Hour'!Q$326*'LBMP_by_Year-Month-Hour'!Q334,$B$28*'LBMP_by_Year-Month-Hour'!Q$358*'LBMP_by_Year-Month-Hour'!Q366,$B$29*'LBMP_by_Year-Month-Hour'!Q$390*'LBMP_by_Year-Month-Hour'!Q398,$B$30*'LBMP_by_Year-Month-Hour'!Q$422*'LBMP_by_Year-Month-Hour'!Q430,$B$31*'LBMP_by_Year-Month-Hour'!Q$454*'LBMP_by_Year-Month-Hour'!Q462,$B$32*'LBMP_by_Year-Month-Hour'!Q$486*'LBMP_by_Year-Month-Hour'!Q494,$B$33*'LBMP_by_Year-Month-Hour'!Q$518*'LBMP_by_Year-Month-Hour'!Q526,$B$34*'LBMP_by_Year-Month-Hour'!Q$550*'LBMP_by_Year-Month-Hour'!Q558,$B$35*'LBMP_by_Year-Month-Hour'!Q$582*'LBMP_by_Year-Month-Hour'!Q590)*Q23/$C$6/24</f>
        <v>0</v>
      </c>
      <c r="S85">
        <v>4</v>
      </c>
      <c r="T85">
        <f>NPV($C$7,$B$19*'LBMP_by_Year-Month-Hour'!T$70*'LBMP_by_Year-Month-Hour'!T78,$B$20*'LBMP_by_Year-Month-Hour'!T$102*'LBMP_by_Year-Month-Hour'!T110,$B$21*'LBMP_by_Year-Month-Hour'!T$134*'LBMP_by_Year-Month-Hour'!T142,$B$22*'LBMP_by_Year-Month-Hour'!T$166*'LBMP_by_Year-Month-Hour'!T174,$B$23*'LBMP_by_Year-Month-Hour'!T$198*'LBMP_by_Year-Month-Hour'!T206,$B$24*'LBMP_by_Year-Month-Hour'!T$230*'LBMP_by_Year-Month-Hour'!T238,$B$25*'LBMP_by_Year-Month-Hour'!T$262*'LBMP_by_Year-Month-Hour'!T270,$B$26*'LBMP_by_Year-Month-Hour'!T$294*'LBMP_by_Year-Month-Hour'!T302,$B$27*'LBMP_by_Year-Month-Hour'!T$326*'LBMP_by_Year-Month-Hour'!T334,$B$28*'LBMP_by_Year-Month-Hour'!T$358*'LBMP_by_Year-Month-Hour'!T366,$B$29*'LBMP_by_Year-Month-Hour'!T$390*'LBMP_by_Year-Month-Hour'!T398,$B$30*'LBMP_by_Year-Month-Hour'!T$422*'LBMP_by_Year-Month-Hour'!T430,$B$31*'LBMP_by_Year-Month-Hour'!T$454*'LBMP_by_Year-Month-Hour'!T462,$B$32*'LBMP_by_Year-Month-Hour'!T$486*'LBMP_by_Year-Month-Hour'!T494,$B$33*'LBMP_by_Year-Month-Hour'!T$518*'LBMP_by_Year-Month-Hour'!T526,$B$34*'LBMP_by_Year-Month-Hour'!T$550*'LBMP_by_Year-Month-Hour'!T558,$B$35*'LBMP_by_Year-Month-Hour'!T$582*'LBMP_by_Year-Month-Hour'!T590)*T23/$C$6/24</f>
        <v>-20256.929720340006</v>
      </c>
      <c r="V85">
        <v>4</v>
      </c>
      <c r="W85">
        <f>NPV($C$7,$B$19*'LBMP_by_Year-Month-Hour'!W$70*'LBMP_by_Year-Month-Hour'!W78,$B$20*'LBMP_by_Year-Month-Hour'!W$102*'LBMP_by_Year-Month-Hour'!W110,$B$21*'LBMP_by_Year-Month-Hour'!W$134*'LBMP_by_Year-Month-Hour'!W142,$B$22*'LBMP_by_Year-Month-Hour'!W$166*'LBMP_by_Year-Month-Hour'!W174,$B$23*'LBMP_by_Year-Month-Hour'!W$198*'LBMP_by_Year-Month-Hour'!W206,$B$24*'LBMP_by_Year-Month-Hour'!W$230*'LBMP_by_Year-Month-Hour'!W238,$B$25*'LBMP_by_Year-Month-Hour'!W$262*'LBMP_by_Year-Month-Hour'!W270,$B$26*'LBMP_by_Year-Month-Hour'!W$294*'LBMP_by_Year-Month-Hour'!W302,$B$27*'LBMP_by_Year-Month-Hour'!W$326*'LBMP_by_Year-Month-Hour'!W334,$B$28*'LBMP_by_Year-Month-Hour'!W$358*'LBMP_by_Year-Month-Hour'!W366,$B$29*'LBMP_by_Year-Month-Hour'!W$390*'LBMP_by_Year-Month-Hour'!W398,$B$30*'LBMP_by_Year-Month-Hour'!W$422*'LBMP_by_Year-Month-Hour'!W430,$B$31*'LBMP_by_Year-Month-Hour'!W$454*'LBMP_by_Year-Month-Hour'!W462,$B$32*'LBMP_by_Year-Month-Hour'!W$486*'LBMP_by_Year-Month-Hour'!W494,$B$33*'LBMP_by_Year-Month-Hour'!W$518*'LBMP_by_Year-Month-Hour'!W526,$B$34*'LBMP_by_Year-Month-Hour'!W$550*'LBMP_by_Year-Month-Hour'!W558,$B$35*'LBMP_by_Year-Month-Hour'!W$582*'LBMP_by_Year-Month-Hour'!W590)*W23/$C$6/24</f>
        <v>-22377.431832125414</v>
      </c>
      <c r="Y85">
        <v>4</v>
      </c>
      <c r="Z85">
        <f>NPV($C$7,$B$19*'LBMP_by_Year-Month-Hour'!Z$70*'LBMP_by_Year-Month-Hour'!Z78,$B$20*'LBMP_by_Year-Month-Hour'!Z$102*'LBMP_by_Year-Month-Hour'!Z110,$B$21*'LBMP_by_Year-Month-Hour'!Z$134*'LBMP_by_Year-Month-Hour'!Z142,$B$22*'LBMP_by_Year-Month-Hour'!Z$166*'LBMP_by_Year-Month-Hour'!Z174,$B$23*'LBMP_by_Year-Month-Hour'!Z$198*'LBMP_by_Year-Month-Hour'!Z206,$B$24*'LBMP_by_Year-Month-Hour'!Z$230*'LBMP_by_Year-Month-Hour'!Z238,$B$25*'LBMP_by_Year-Month-Hour'!Z$262*'LBMP_by_Year-Month-Hour'!Z270,$B$26*'LBMP_by_Year-Month-Hour'!Z$294*'LBMP_by_Year-Month-Hour'!Z302,$B$27*'LBMP_by_Year-Month-Hour'!Z$326*'LBMP_by_Year-Month-Hour'!Z334,$B$28*'LBMP_by_Year-Month-Hour'!Z$358*'LBMP_by_Year-Month-Hour'!Z366,$B$29*'LBMP_by_Year-Month-Hour'!Z$390*'LBMP_by_Year-Month-Hour'!Z398,$B$30*'LBMP_by_Year-Month-Hour'!Z$422*'LBMP_by_Year-Month-Hour'!Z430,$B$31*'LBMP_by_Year-Month-Hour'!Z$454*'LBMP_by_Year-Month-Hour'!Z462,$B$32*'LBMP_by_Year-Month-Hour'!Z$486*'LBMP_by_Year-Month-Hour'!Z494,$B$33*'LBMP_by_Year-Month-Hour'!Z$518*'LBMP_by_Year-Month-Hour'!Z526,$B$34*'LBMP_by_Year-Month-Hour'!Z$550*'LBMP_by_Year-Month-Hour'!Z558,$B$35*'LBMP_by_Year-Month-Hour'!Z$582*'LBMP_by_Year-Month-Hour'!Z590)*Z23/$C$6/24</f>
        <v>-21015.719426283085</v>
      </c>
      <c r="AB85">
        <v>4</v>
      </c>
      <c r="AC85">
        <f>NPV($C$7,$B$19*'LBMP_by_Year-Month-Hour'!AC$70*'LBMP_by_Year-Month-Hour'!AC78,$B$20*'LBMP_by_Year-Month-Hour'!AC$102*'LBMP_by_Year-Month-Hour'!AC110,$B$21*'LBMP_by_Year-Month-Hour'!AC$134*'LBMP_by_Year-Month-Hour'!AC142,$B$22*'LBMP_by_Year-Month-Hour'!AC$166*'LBMP_by_Year-Month-Hour'!AC174,$B$23*'LBMP_by_Year-Month-Hour'!AC$198*'LBMP_by_Year-Month-Hour'!AC206,$B$24*'LBMP_by_Year-Month-Hour'!AC$230*'LBMP_by_Year-Month-Hour'!AC238,$B$25*'LBMP_by_Year-Month-Hour'!AC$262*'LBMP_by_Year-Month-Hour'!AC270,$B$26*'LBMP_by_Year-Month-Hour'!AC$294*'LBMP_by_Year-Month-Hour'!AC302,$B$27*'LBMP_by_Year-Month-Hour'!AC$326*'LBMP_by_Year-Month-Hour'!AC334,$B$28*'LBMP_by_Year-Month-Hour'!AC$358*'LBMP_by_Year-Month-Hour'!AC366,$B$29*'LBMP_by_Year-Month-Hour'!AC$390*'LBMP_by_Year-Month-Hour'!AC398,$B$30*'LBMP_by_Year-Month-Hour'!AC$422*'LBMP_by_Year-Month-Hour'!AC430,$B$31*'LBMP_by_Year-Month-Hour'!AC$454*'LBMP_by_Year-Month-Hour'!AC462,$B$32*'LBMP_by_Year-Month-Hour'!AC$486*'LBMP_by_Year-Month-Hour'!AC494,$B$33*'LBMP_by_Year-Month-Hour'!AC$518*'LBMP_by_Year-Month-Hour'!AC526,$B$34*'LBMP_by_Year-Month-Hour'!AC$550*'LBMP_by_Year-Month-Hour'!AC558,$B$35*'LBMP_by_Year-Month-Hour'!AC$582*'LBMP_by_Year-Month-Hour'!AC590)*AC23/$C$6/24</f>
        <v>-18971.305678660439</v>
      </c>
      <c r="AE85">
        <v>4</v>
      </c>
      <c r="AF85">
        <f>NPV($C$7,$B$19*'LBMP_by_Year-Month-Hour'!AF$70*'LBMP_by_Year-Month-Hour'!AF78,$B$20*'LBMP_by_Year-Month-Hour'!AF$102*'LBMP_by_Year-Month-Hour'!AF110,$B$21*'LBMP_by_Year-Month-Hour'!AF$134*'LBMP_by_Year-Month-Hour'!AF142,$B$22*'LBMP_by_Year-Month-Hour'!AF$166*'LBMP_by_Year-Month-Hour'!AF174,$B$23*'LBMP_by_Year-Month-Hour'!AF$198*'LBMP_by_Year-Month-Hour'!AF206,$B$24*'LBMP_by_Year-Month-Hour'!AF$230*'LBMP_by_Year-Month-Hour'!AF238,$B$25*'LBMP_by_Year-Month-Hour'!AF$262*'LBMP_by_Year-Month-Hour'!AF270,$B$26*'LBMP_by_Year-Month-Hour'!AF$294*'LBMP_by_Year-Month-Hour'!AF302,$B$27*'LBMP_by_Year-Month-Hour'!AF$326*'LBMP_by_Year-Month-Hour'!AF334,$B$28*'LBMP_by_Year-Month-Hour'!AF$358*'LBMP_by_Year-Month-Hour'!AF366,$B$29*'LBMP_by_Year-Month-Hour'!AF$390*'LBMP_by_Year-Month-Hour'!AF398,$B$30*'LBMP_by_Year-Month-Hour'!AF$422*'LBMP_by_Year-Month-Hour'!AF430,$B$31*'LBMP_by_Year-Month-Hour'!AF$454*'LBMP_by_Year-Month-Hour'!AF462,$B$32*'LBMP_by_Year-Month-Hour'!AF$486*'LBMP_by_Year-Month-Hour'!AF494,$B$33*'LBMP_by_Year-Month-Hour'!AF$518*'LBMP_by_Year-Month-Hour'!AF526,$B$34*'LBMP_by_Year-Month-Hour'!AF$550*'LBMP_by_Year-Month-Hour'!AF558,$B$35*'LBMP_by_Year-Month-Hour'!AF$582*'LBMP_by_Year-Month-Hour'!AF590)*AF23/$C$6/24</f>
        <v>0</v>
      </c>
      <c r="AH85">
        <v>4</v>
      </c>
      <c r="AI85">
        <f>NPV($C$7,$B$19*'LBMP_by_Year-Month-Hour'!AI$70*'LBMP_by_Year-Month-Hour'!AI78,$B$20*'LBMP_by_Year-Month-Hour'!AI$102*'LBMP_by_Year-Month-Hour'!AI110,$B$21*'LBMP_by_Year-Month-Hour'!AI$134*'LBMP_by_Year-Month-Hour'!AI142,$B$22*'LBMP_by_Year-Month-Hour'!AI$166*'LBMP_by_Year-Month-Hour'!AI174,$B$23*'LBMP_by_Year-Month-Hour'!AI$198*'LBMP_by_Year-Month-Hour'!AI206,$B$24*'LBMP_by_Year-Month-Hour'!AI$230*'LBMP_by_Year-Month-Hour'!AI238,$B$25*'LBMP_by_Year-Month-Hour'!AI$262*'LBMP_by_Year-Month-Hour'!AI270,$B$26*'LBMP_by_Year-Month-Hour'!AI$294*'LBMP_by_Year-Month-Hour'!AI302,$B$27*'LBMP_by_Year-Month-Hour'!AI$326*'LBMP_by_Year-Month-Hour'!AI334,$B$28*'LBMP_by_Year-Month-Hour'!AI$358*'LBMP_by_Year-Month-Hour'!AI366,$B$29*'LBMP_by_Year-Month-Hour'!AI$390*'LBMP_by_Year-Month-Hour'!AI398,$B$30*'LBMP_by_Year-Month-Hour'!AI$422*'LBMP_by_Year-Month-Hour'!AI430,$B$31*'LBMP_by_Year-Month-Hour'!AI$454*'LBMP_by_Year-Month-Hour'!AI462,$B$32*'LBMP_by_Year-Month-Hour'!AI$486*'LBMP_by_Year-Month-Hour'!AI494,$B$33*'LBMP_by_Year-Month-Hour'!AI$518*'LBMP_by_Year-Month-Hour'!AI526,$B$34*'LBMP_by_Year-Month-Hour'!AI$550*'LBMP_by_Year-Month-Hour'!AI558,$B$35*'LBMP_by_Year-Month-Hour'!AI$582*'LBMP_by_Year-Month-Hour'!AI590)*AI23/$C$6/24</f>
        <v>0</v>
      </c>
      <c r="AK85">
        <v>4</v>
      </c>
      <c r="AL85">
        <f>NPV($C$7,$B$19*'LBMP_by_Year-Month-Hour'!AL$70*'LBMP_by_Year-Month-Hour'!AL78,$B$20*'LBMP_by_Year-Month-Hour'!AL$102*'LBMP_by_Year-Month-Hour'!AL110,$B$21*'LBMP_by_Year-Month-Hour'!AL$134*'LBMP_by_Year-Month-Hour'!AL142,$B$22*'LBMP_by_Year-Month-Hour'!AL$166*'LBMP_by_Year-Month-Hour'!AL174,$B$23*'LBMP_by_Year-Month-Hour'!AL$198*'LBMP_by_Year-Month-Hour'!AL206,$B$24*'LBMP_by_Year-Month-Hour'!AL$230*'LBMP_by_Year-Month-Hour'!AL238,$B$25*'LBMP_by_Year-Month-Hour'!AL$262*'LBMP_by_Year-Month-Hour'!AL270,$B$26*'LBMP_by_Year-Month-Hour'!AL$294*'LBMP_by_Year-Month-Hour'!AL302,$B$27*'LBMP_by_Year-Month-Hour'!AL$326*'LBMP_by_Year-Month-Hour'!AL334,$B$28*'LBMP_by_Year-Month-Hour'!AL$358*'LBMP_by_Year-Month-Hour'!AL366,$B$29*'LBMP_by_Year-Month-Hour'!AL$390*'LBMP_by_Year-Month-Hour'!AL398,$B$30*'LBMP_by_Year-Month-Hour'!AL$422*'LBMP_by_Year-Month-Hour'!AL430,$B$31*'LBMP_by_Year-Month-Hour'!AL$454*'LBMP_by_Year-Month-Hour'!AL462,$B$32*'LBMP_by_Year-Month-Hour'!AL$486*'LBMP_by_Year-Month-Hour'!AL494,$B$33*'LBMP_by_Year-Month-Hour'!AL$518*'LBMP_by_Year-Month-Hour'!AL526,$B$34*'LBMP_by_Year-Month-Hour'!AL$550*'LBMP_by_Year-Month-Hour'!AL558,$B$35*'LBMP_by_Year-Month-Hour'!AL$582*'LBMP_by_Year-Month-Hour'!AL590)*AL23/$C$6/24</f>
        <v>0</v>
      </c>
    </row>
    <row r="86" spans="1:38">
      <c r="A86">
        <v>5</v>
      </c>
      <c r="B86">
        <f t="shared" si="10"/>
        <v>-85601.39227272995</v>
      </c>
      <c r="D86">
        <v>5</v>
      </c>
      <c r="E86">
        <f>NPV($C$7,$B$19*'LBMP_by_Year-Month-Hour'!E$70*'LBMP_by_Year-Month-Hour'!E79,$B$20*'LBMP_by_Year-Month-Hour'!E$102*'LBMP_by_Year-Month-Hour'!E111,$B$21*'LBMP_by_Year-Month-Hour'!E$134*'LBMP_by_Year-Month-Hour'!E143,$B$22*'LBMP_by_Year-Month-Hour'!E$166*'LBMP_by_Year-Month-Hour'!E175,$B$23*'LBMP_by_Year-Month-Hour'!E$198*'LBMP_by_Year-Month-Hour'!E207,$B$24*'LBMP_by_Year-Month-Hour'!E$230*'LBMP_by_Year-Month-Hour'!E239,$B$25*'LBMP_by_Year-Month-Hour'!E$262*'LBMP_by_Year-Month-Hour'!E271,$B$26*'LBMP_by_Year-Month-Hour'!E$294*'LBMP_by_Year-Month-Hour'!E303,$B$27*'LBMP_by_Year-Month-Hour'!E$326*'LBMP_by_Year-Month-Hour'!E335,$B$28*'LBMP_by_Year-Month-Hour'!E$358*'LBMP_by_Year-Month-Hour'!E367,$B$29*'LBMP_by_Year-Month-Hour'!E$390*'LBMP_by_Year-Month-Hour'!E399,$B$30*'LBMP_by_Year-Month-Hour'!E$422*'LBMP_by_Year-Month-Hour'!E431,$B$31*'LBMP_by_Year-Month-Hour'!E$454*'LBMP_by_Year-Month-Hour'!E463,$B$32*'LBMP_by_Year-Month-Hour'!E$486*'LBMP_by_Year-Month-Hour'!E495,$B$33*'LBMP_by_Year-Month-Hour'!E$518*'LBMP_by_Year-Month-Hour'!E527,$B$34*'LBMP_by_Year-Month-Hour'!E$550*'LBMP_by_Year-Month-Hour'!E559,$B$35*'LBMP_by_Year-Month-Hour'!E$582*'LBMP_by_Year-Month-Hour'!E591)*E24/$C$6/24</f>
        <v>0</v>
      </c>
      <c r="G86">
        <v>5</v>
      </c>
      <c r="H86">
        <f>NPV($C$7,$B$19*'LBMP_by_Year-Month-Hour'!H$70*'LBMP_by_Year-Month-Hour'!H79,$B$20*'LBMP_by_Year-Month-Hour'!H$102*'LBMP_by_Year-Month-Hour'!H111,$B$21*'LBMP_by_Year-Month-Hour'!H$134*'LBMP_by_Year-Month-Hour'!H143,$B$22*'LBMP_by_Year-Month-Hour'!H$166*'LBMP_by_Year-Month-Hour'!H175,$B$23*'LBMP_by_Year-Month-Hour'!H$198*'LBMP_by_Year-Month-Hour'!H207,$B$24*'LBMP_by_Year-Month-Hour'!H$230*'LBMP_by_Year-Month-Hour'!H239,$B$25*'LBMP_by_Year-Month-Hour'!H$262*'LBMP_by_Year-Month-Hour'!H271,$B$26*'LBMP_by_Year-Month-Hour'!H$294*'LBMP_by_Year-Month-Hour'!H303,$B$27*'LBMP_by_Year-Month-Hour'!H$326*'LBMP_by_Year-Month-Hour'!H335,$B$28*'LBMP_by_Year-Month-Hour'!H$358*'LBMP_by_Year-Month-Hour'!H367,$B$29*'LBMP_by_Year-Month-Hour'!H$390*'LBMP_by_Year-Month-Hour'!H399,$B$30*'LBMP_by_Year-Month-Hour'!H$422*'LBMP_by_Year-Month-Hour'!H431,$B$31*'LBMP_by_Year-Month-Hour'!H$454*'LBMP_by_Year-Month-Hour'!H463,$B$32*'LBMP_by_Year-Month-Hour'!H$486*'LBMP_by_Year-Month-Hour'!H495,$B$33*'LBMP_by_Year-Month-Hour'!H$518*'LBMP_by_Year-Month-Hour'!H527,$B$34*'LBMP_by_Year-Month-Hour'!H$550*'LBMP_by_Year-Month-Hour'!H559,$B$35*'LBMP_by_Year-Month-Hour'!H$582*'LBMP_by_Year-Month-Hour'!H591)*H24/$C$6/24</f>
        <v>0</v>
      </c>
      <c r="J86">
        <v>5</v>
      </c>
      <c r="K86">
        <f>NPV($C$7,$B$19*'LBMP_by_Year-Month-Hour'!K$70*'LBMP_by_Year-Month-Hour'!K79,$B$20*'LBMP_by_Year-Month-Hour'!K$102*'LBMP_by_Year-Month-Hour'!K111,$B$21*'LBMP_by_Year-Month-Hour'!K$134*'LBMP_by_Year-Month-Hour'!K143,$B$22*'LBMP_by_Year-Month-Hour'!K$166*'LBMP_by_Year-Month-Hour'!K175,$B$23*'LBMP_by_Year-Month-Hour'!K$198*'LBMP_by_Year-Month-Hour'!K207,$B$24*'LBMP_by_Year-Month-Hour'!K$230*'LBMP_by_Year-Month-Hour'!K239,$B$25*'LBMP_by_Year-Month-Hour'!K$262*'LBMP_by_Year-Month-Hour'!K271,$B$26*'LBMP_by_Year-Month-Hour'!K$294*'LBMP_by_Year-Month-Hour'!K303,$B$27*'LBMP_by_Year-Month-Hour'!K$326*'LBMP_by_Year-Month-Hour'!K335,$B$28*'LBMP_by_Year-Month-Hour'!K$358*'LBMP_by_Year-Month-Hour'!K367,$B$29*'LBMP_by_Year-Month-Hour'!K$390*'LBMP_by_Year-Month-Hour'!K399,$B$30*'LBMP_by_Year-Month-Hour'!K$422*'LBMP_by_Year-Month-Hour'!K431,$B$31*'LBMP_by_Year-Month-Hour'!K$454*'LBMP_by_Year-Month-Hour'!K463,$B$32*'LBMP_by_Year-Month-Hour'!K$486*'LBMP_by_Year-Month-Hour'!K495,$B$33*'LBMP_by_Year-Month-Hour'!K$518*'LBMP_by_Year-Month-Hour'!K527,$B$34*'LBMP_by_Year-Month-Hour'!K$550*'LBMP_by_Year-Month-Hour'!K559,$B$35*'LBMP_by_Year-Month-Hour'!K$582*'LBMP_by_Year-Month-Hour'!K591)*K24/$C$6/24</f>
        <v>0</v>
      </c>
      <c r="M86">
        <v>5</v>
      </c>
      <c r="N86">
        <f>NPV($C$7,$B$19*'LBMP_by_Year-Month-Hour'!N$70*'LBMP_by_Year-Month-Hour'!N79,$B$20*'LBMP_by_Year-Month-Hour'!N$102*'LBMP_by_Year-Month-Hour'!N111,$B$21*'LBMP_by_Year-Month-Hour'!N$134*'LBMP_by_Year-Month-Hour'!N143,$B$22*'LBMP_by_Year-Month-Hour'!N$166*'LBMP_by_Year-Month-Hour'!N175,$B$23*'LBMP_by_Year-Month-Hour'!N$198*'LBMP_by_Year-Month-Hour'!N207,$B$24*'LBMP_by_Year-Month-Hour'!N$230*'LBMP_by_Year-Month-Hour'!N239,$B$25*'LBMP_by_Year-Month-Hour'!N$262*'LBMP_by_Year-Month-Hour'!N271,$B$26*'LBMP_by_Year-Month-Hour'!N$294*'LBMP_by_Year-Month-Hour'!N303,$B$27*'LBMP_by_Year-Month-Hour'!N$326*'LBMP_by_Year-Month-Hour'!N335,$B$28*'LBMP_by_Year-Month-Hour'!N$358*'LBMP_by_Year-Month-Hour'!N367,$B$29*'LBMP_by_Year-Month-Hour'!N$390*'LBMP_by_Year-Month-Hour'!N399,$B$30*'LBMP_by_Year-Month-Hour'!N$422*'LBMP_by_Year-Month-Hour'!N431,$B$31*'LBMP_by_Year-Month-Hour'!N$454*'LBMP_by_Year-Month-Hour'!N463,$B$32*'LBMP_by_Year-Month-Hour'!N$486*'LBMP_by_Year-Month-Hour'!N495,$B$33*'LBMP_by_Year-Month-Hour'!N$518*'LBMP_by_Year-Month-Hour'!N527,$B$34*'LBMP_by_Year-Month-Hour'!N$550*'LBMP_by_Year-Month-Hour'!N559,$B$35*'LBMP_by_Year-Month-Hour'!N$582*'LBMP_by_Year-Month-Hour'!N591)*N24/$C$6/24</f>
        <v>0</v>
      </c>
      <c r="P86">
        <v>5</v>
      </c>
      <c r="Q86">
        <f>NPV($C$7,$B$19*'LBMP_by_Year-Month-Hour'!Q$70*'LBMP_by_Year-Month-Hour'!Q79,$B$20*'LBMP_by_Year-Month-Hour'!Q$102*'LBMP_by_Year-Month-Hour'!Q111,$B$21*'LBMP_by_Year-Month-Hour'!Q$134*'LBMP_by_Year-Month-Hour'!Q143,$B$22*'LBMP_by_Year-Month-Hour'!Q$166*'LBMP_by_Year-Month-Hour'!Q175,$B$23*'LBMP_by_Year-Month-Hour'!Q$198*'LBMP_by_Year-Month-Hour'!Q207,$B$24*'LBMP_by_Year-Month-Hour'!Q$230*'LBMP_by_Year-Month-Hour'!Q239,$B$25*'LBMP_by_Year-Month-Hour'!Q$262*'LBMP_by_Year-Month-Hour'!Q271,$B$26*'LBMP_by_Year-Month-Hour'!Q$294*'LBMP_by_Year-Month-Hour'!Q303,$B$27*'LBMP_by_Year-Month-Hour'!Q$326*'LBMP_by_Year-Month-Hour'!Q335,$B$28*'LBMP_by_Year-Month-Hour'!Q$358*'LBMP_by_Year-Month-Hour'!Q367,$B$29*'LBMP_by_Year-Month-Hour'!Q$390*'LBMP_by_Year-Month-Hour'!Q399,$B$30*'LBMP_by_Year-Month-Hour'!Q$422*'LBMP_by_Year-Month-Hour'!Q431,$B$31*'LBMP_by_Year-Month-Hour'!Q$454*'LBMP_by_Year-Month-Hour'!Q463,$B$32*'LBMP_by_Year-Month-Hour'!Q$486*'LBMP_by_Year-Month-Hour'!Q495,$B$33*'LBMP_by_Year-Month-Hour'!Q$518*'LBMP_by_Year-Month-Hour'!Q527,$B$34*'LBMP_by_Year-Month-Hour'!Q$550*'LBMP_by_Year-Month-Hour'!Q559,$B$35*'LBMP_by_Year-Month-Hour'!Q$582*'LBMP_by_Year-Month-Hour'!Q591)*Q24/$C$6/24</f>
        <v>0</v>
      </c>
      <c r="S86">
        <v>5</v>
      </c>
      <c r="T86">
        <f>NPV($C$7,$B$19*'LBMP_by_Year-Month-Hour'!T$70*'LBMP_by_Year-Month-Hour'!T79,$B$20*'LBMP_by_Year-Month-Hour'!T$102*'LBMP_by_Year-Month-Hour'!T111,$B$21*'LBMP_by_Year-Month-Hour'!T$134*'LBMP_by_Year-Month-Hour'!T143,$B$22*'LBMP_by_Year-Month-Hour'!T$166*'LBMP_by_Year-Month-Hour'!T175,$B$23*'LBMP_by_Year-Month-Hour'!T$198*'LBMP_by_Year-Month-Hour'!T207,$B$24*'LBMP_by_Year-Month-Hour'!T$230*'LBMP_by_Year-Month-Hour'!T239,$B$25*'LBMP_by_Year-Month-Hour'!T$262*'LBMP_by_Year-Month-Hour'!T271,$B$26*'LBMP_by_Year-Month-Hour'!T$294*'LBMP_by_Year-Month-Hour'!T303,$B$27*'LBMP_by_Year-Month-Hour'!T$326*'LBMP_by_Year-Month-Hour'!T335,$B$28*'LBMP_by_Year-Month-Hour'!T$358*'LBMP_by_Year-Month-Hour'!T367,$B$29*'LBMP_by_Year-Month-Hour'!T$390*'LBMP_by_Year-Month-Hour'!T399,$B$30*'LBMP_by_Year-Month-Hour'!T$422*'LBMP_by_Year-Month-Hour'!T431,$B$31*'LBMP_by_Year-Month-Hour'!T$454*'LBMP_by_Year-Month-Hour'!T463,$B$32*'LBMP_by_Year-Month-Hour'!T$486*'LBMP_by_Year-Month-Hour'!T495,$B$33*'LBMP_by_Year-Month-Hour'!T$518*'LBMP_by_Year-Month-Hour'!T527,$B$34*'LBMP_by_Year-Month-Hour'!T$550*'LBMP_by_Year-Month-Hour'!T559,$B$35*'LBMP_by_Year-Month-Hour'!T$582*'LBMP_by_Year-Month-Hour'!T591)*T24/$C$6/24</f>
        <v>-20669.010010099435</v>
      </c>
      <c r="V86">
        <v>5</v>
      </c>
      <c r="W86">
        <f>NPV($C$7,$B$19*'LBMP_by_Year-Month-Hour'!W$70*'LBMP_by_Year-Month-Hour'!W79,$B$20*'LBMP_by_Year-Month-Hour'!W$102*'LBMP_by_Year-Month-Hour'!W111,$B$21*'LBMP_by_Year-Month-Hour'!W$134*'LBMP_by_Year-Month-Hour'!W143,$B$22*'LBMP_by_Year-Month-Hour'!W$166*'LBMP_by_Year-Month-Hour'!W175,$B$23*'LBMP_by_Year-Month-Hour'!W$198*'LBMP_by_Year-Month-Hour'!W207,$B$24*'LBMP_by_Year-Month-Hour'!W$230*'LBMP_by_Year-Month-Hour'!W239,$B$25*'LBMP_by_Year-Month-Hour'!W$262*'LBMP_by_Year-Month-Hour'!W271,$B$26*'LBMP_by_Year-Month-Hour'!W$294*'LBMP_by_Year-Month-Hour'!W303,$B$27*'LBMP_by_Year-Month-Hour'!W$326*'LBMP_by_Year-Month-Hour'!W335,$B$28*'LBMP_by_Year-Month-Hour'!W$358*'LBMP_by_Year-Month-Hour'!W367,$B$29*'LBMP_by_Year-Month-Hour'!W$390*'LBMP_by_Year-Month-Hour'!W399,$B$30*'LBMP_by_Year-Month-Hour'!W$422*'LBMP_by_Year-Month-Hour'!W431,$B$31*'LBMP_by_Year-Month-Hour'!W$454*'LBMP_by_Year-Month-Hour'!W463,$B$32*'LBMP_by_Year-Month-Hour'!W$486*'LBMP_by_Year-Month-Hour'!W495,$B$33*'LBMP_by_Year-Month-Hour'!W$518*'LBMP_by_Year-Month-Hour'!W527,$B$34*'LBMP_by_Year-Month-Hour'!W$550*'LBMP_by_Year-Month-Hour'!W559,$B$35*'LBMP_by_Year-Month-Hour'!W$582*'LBMP_by_Year-Month-Hour'!W591)*W24/$C$6/24</f>
        <v>-22783.941884963326</v>
      </c>
      <c r="Y86">
        <v>5</v>
      </c>
      <c r="Z86">
        <f>NPV($C$7,$B$19*'LBMP_by_Year-Month-Hour'!Z$70*'LBMP_by_Year-Month-Hour'!Z79,$B$20*'LBMP_by_Year-Month-Hour'!Z$102*'LBMP_by_Year-Month-Hour'!Z111,$B$21*'LBMP_by_Year-Month-Hour'!Z$134*'LBMP_by_Year-Month-Hour'!Z143,$B$22*'LBMP_by_Year-Month-Hour'!Z$166*'LBMP_by_Year-Month-Hour'!Z175,$B$23*'LBMP_by_Year-Month-Hour'!Z$198*'LBMP_by_Year-Month-Hour'!Z207,$B$24*'LBMP_by_Year-Month-Hour'!Z$230*'LBMP_by_Year-Month-Hour'!Z239,$B$25*'LBMP_by_Year-Month-Hour'!Z$262*'LBMP_by_Year-Month-Hour'!Z271,$B$26*'LBMP_by_Year-Month-Hour'!Z$294*'LBMP_by_Year-Month-Hour'!Z303,$B$27*'LBMP_by_Year-Month-Hour'!Z$326*'LBMP_by_Year-Month-Hour'!Z335,$B$28*'LBMP_by_Year-Month-Hour'!Z$358*'LBMP_by_Year-Month-Hour'!Z367,$B$29*'LBMP_by_Year-Month-Hour'!Z$390*'LBMP_by_Year-Month-Hour'!Z399,$B$30*'LBMP_by_Year-Month-Hour'!Z$422*'LBMP_by_Year-Month-Hour'!Z431,$B$31*'LBMP_by_Year-Month-Hour'!Z$454*'LBMP_by_Year-Month-Hour'!Z463,$B$32*'LBMP_by_Year-Month-Hour'!Z$486*'LBMP_by_Year-Month-Hour'!Z495,$B$33*'LBMP_by_Year-Month-Hour'!Z$518*'LBMP_by_Year-Month-Hour'!Z527,$B$34*'LBMP_by_Year-Month-Hour'!Z$550*'LBMP_by_Year-Month-Hour'!Z559,$B$35*'LBMP_by_Year-Month-Hour'!Z$582*'LBMP_by_Year-Month-Hour'!Z591)*Z24/$C$6/24</f>
        <v>-21607.107524902462</v>
      </c>
      <c r="AB86">
        <v>5</v>
      </c>
      <c r="AC86">
        <f>NPV($C$7,$B$19*'LBMP_by_Year-Month-Hour'!AC$70*'LBMP_by_Year-Month-Hour'!AC79,$B$20*'LBMP_by_Year-Month-Hour'!AC$102*'LBMP_by_Year-Month-Hour'!AC111,$B$21*'LBMP_by_Year-Month-Hour'!AC$134*'LBMP_by_Year-Month-Hour'!AC143,$B$22*'LBMP_by_Year-Month-Hour'!AC$166*'LBMP_by_Year-Month-Hour'!AC175,$B$23*'LBMP_by_Year-Month-Hour'!AC$198*'LBMP_by_Year-Month-Hour'!AC207,$B$24*'LBMP_by_Year-Month-Hour'!AC$230*'LBMP_by_Year-Month-Hour'!AC239,$B$25*'LBMP_by_Year-Month-Hour'!AC$262*'LBMP_by_Year-Month-Hour'!AC271,$B$26*'LBMP_by_Year-Month-Hour'!AC$294*'LBMP_by_Year-Month-Hour'!AC303,$B$27*'LBMP_by_Year-Month-Hour'!AC$326*'LBMP_by_Year-Month-Hour'!AC335,$B$28*'LBMP_by_Year-Month-Hour'!AC$358*'LBMP_by_Year-Month-Hour'!AC367,$B$29*'LBMP_by_Year-Month-Hour'!AC$390*'LBMP_by_Year-Month-Hour'!AC399,$B$30*'LBMP_by_Year-Month-Hour'!AC$422*'LBMP_by_Year-Month-Hour'!AC431,$B$31*'LBMP_by_Year-Month-Hour'!AC$454*'LBMP_by_Year-Month-Hour'!AC463,$B$32*'LBMP_by_Year-Month-Hour'!AC$486*'LBMP_by_Year-Month-Hour'!AC495,$B$33*'LBMP_by_Year-Month-Hour'!AC$518*'LBMP_by_Year-Month-Hour'!AC527,$B$34*'LBMP_by_Year-Month-Hour'!AC$550*'LBMP_by_Year-Month-Hour'!AC559,$B$35*'LBMP_by_Year-Month-Hour'!AC$582*'LBMP_by_Year-Month-Hour'!AC591)*AC24/$C$6/24</f>
        <v>-20541.332852764728</v>
      </c>
      <c r="AE86">
        <v>5</v>
      </c>
      <c r="AF86">
        <f>NPV($C$7,$B$19*'LBMP_by_Year-Month-Hour'!AF$70*'LBMP_by_Year-Month-Hour'!AF79,$B$20*'LBMP_by_Year-Month-Hour'!AF$102*'LBMP_by_Year-Month-Hour'!AF111,$B$21*'LBMP_by_Year-Month-Hour'!AF$134*'LBMP_by_Year-Month-Hour'!AF143,$B$22*'LBMP_by_Year-Month-Hour'!AF$166*'LBMP_by_Year-Month-Hour'!AF175,$B$23*'LBMP_by_Year-Month-Hour'!AF$198*'LBMP_by_Year-Month-Hour'!AF207,$B$24*'LBMP_by_Year-Month-Hour'!AF$230*'LBMP_by_Year-Month-Hour'!AF239,$B$25*'LBMP_by_Year-Month-Hour'!AF$262*'LBMP_by_Year-Month-Hour'!AF271,$B$26*'LBMP_by_Year-Month-Hour'!AF$294*'LBMP_by_Year-Month-Hour'!AF303,$B$27*'LBMP_by_Year-Month-Hour'!AF$326*'LBMP_by_Year-Month-Hour'!AF335,$B$28*'LBMP_by_Year-Month-Hour'!AF$358*'LBMP_by_Year-Month-Hour'!AF367,$B$29*'LBMP_by_Year-Month-Hour'!AF$390*'LBMP_by_Year-Month-Hour'!AF399,$B$30*'LBMP_by_Year-Month-Hour'!AF$422*'LBMP_by_Year-Month-Hour'!AF431,$B$31*'LBMP_by_Year-Month-Hour'!AF$454*'LBMP_by_Year-Month-Hour'!AF463,$B$32*'LBMP_by_Year-Month-Hour'!AF$486*'LBMP_by_Year-Month-Hour'!AF495,$B$33*'LBMP_by_Year-Month-Hour'!AF$518*'LBMP_by_Year-Month-Hour'!AF527,$B$34*'LBMP_by_Year-Month-Hour'!AF$550*'LBMP_by_Year-Month-Hour'!AF559,$B$35*'LBMP_by_Year-Month-Hour'!AF$582*'LBMP_by_Year-Month-Hour'!AF591)*AF24/$C$6/24</f>
        <v>0</v>
      </c>
      <c r="AH86">
        <v>5</v>
      </c>
      <c r="AI86">
        <f>NPV($C$7,$B$19*'LBMP_by_Year-Month-Hour'!AI$70*'LBMP_by_Year-Month-Hour'!AI79,$B$20*'LBMP_by_Year-Month-Hour'!AI$102*'LBMP_by_Year-Month-Hour'!AI111,$B$21*'LBMP_by_Year-Month-Hour'!AI$134*'LBMP_by_Year-Month-Hour'!AI143,$B$22*'LBMP_by_Year-Month-Hour'!AI$166*'LBMP_by_Year-Month-Hour'!AI175,$B$23*'LBMP_by_Year-Month-Hour'!AI$198*'LBMP_by_Year-Month-Hour'!AI207,$B$24*'LBMP_by_Year-Month-Hour'!AI$230*'LBMP_by_Year-Month-Hour'!AI239,$B$25*'LBMP_by_Year-Month-Hour'!AI$262*'LBMP_by_Year-Month-Hour'!AI271,$B$26*'LBMP_by_Year-Month-Hour'!AI$294*'LBMP_by_Year-Month-Hour'!AI303,$B$27*'LBMP_by_Year-Month-Hour'!AI$326*'LBMP_by_Year-Month-Hour'!AI335,$B$28*'LBMP_by_Year-Month-Hour'!AI$358*'LBMP_by_Year-Month-Hour'!AI367,$B$29*'LBMP_by_Year-Month-Hour'!AI$390*'LBMP_by_Year-Month-Hour'!AI399,$B$30*'LBMP_by_Year-Month-Hour'!AI$422*'LBMP_by_Year-Month-Hour'!AI431,$B$31*'LBMP_by_Year-Month-Hour'!AI$454*'LBMP_by_Year-Month-Hour'!AI463,$B$32*'LBMP_by_Year-Month-Hour'!AI$486*'LBMP_by_Year-Month-Hour'!AI495,$B$33*'LBMP_by_Year-Month-Hour'!AI$518*'LBMP_by_Year-Month-Hour'!AI527,$B$34*'LBMP_by_Year-Month-Hour'!AI$550*'LBMP_by_Year-Month-Hour'!AI559,$B$35*'LBMP_by_Year-Month-Hour'!AI$582*'LBMP_by_Year-Month-Hour'!AI591)*AI24/$C$6/24</f>
        <v>0</v>
      </c>
      <c r="AK86">
        <v>5</v>
      </c>
      <c r="AL86">
        <f>NPV($C$7,$B$19*'LBMP_by_Year-Month-Hour'!AL$70*'LBMP_by_Year-Month-Hour'!AL79,$B$20*'LBMP_by_Year-Month-Hour'!AL$102*'LBMP_by_Year-Month-Hour'!AL111,$B$21*'LBMP_by_Year-Month-Hour'!AL$134*'LBMP_by_Year-Month-Hour'!AL143,$B$22*'LBMP_by_Year-Month-Hour'!AL$166*'LBMP_by_Year-Month-Hour'!AL175,$B$23*'LBMP_by_Year-Month-Hour'!AL$198*'LBMP_by_Year-Month-Hour'!AL207,$B$24*'LBMP_by_Year-Month-Hour'!AL$230*'LBMP_by_Year-Month-Hour'!AL239,$B$25*'LBMP_by_Year-Month-Hour'!AL$262*'LBMP_by_Year-Month-Hour'!AL271,$B$26*'LBMP_by_Year-Month-Hour'!AL$294*'LBMP_by_Year-Month-Hour'!AL303,$B$27*'LBMP_by_Year-Month-Hour'!AL$326*'LBMP_by_Year-Month-Hour'!AL335,$B$28*'LBMP_by_Year-Month-Hour'!AL$358*'LBMP_by_Year-Month-Hour'!AL367,$B$29*'LBMP_by_Year-Month-Hour'!AL$390*'LBMP_by_Year-Month-Hour'!AL399,$B$30*'LBMP_by_Year-Month-Hour'!AL$422*'LBMP_by_Year-Month-Hour'!AL431,$B$31*'LBMP_by_Year-Month-Hour'!AL$454*'LBMP_by_Year-Month-Hour'!AL463,$B$32*'LBMP_by_Year-Month-Hour'!AL$486*'LBMP_by_Year-Month-Hour'!AL495,$B$33*'LBMP_by_Year-Month-Hour'!AL$518*'LBMP_by_Year-Month-Hour'!AL527,$B$34*'LBMP_by_Year-Month-Hour'!AL$550*'LBMP_by_Year-Month-Hour'!AL559,$B$35*'LBMP_by_Year-Month-Hour'!AL$582*'LBMP_by_Year-Month-Hour'!AL591)*AL24/$C$6/24</f>
        <v>0</v>
      </c>
    </row>
    <row r="87" spans="1:38">
      <c r="A87">
        <v>6</v>
      </c>
      <c r="B87">
        <f t="shared" si="10"/>
        <v>-91302.562253701049</v>
      </c>
      <c r="D87">
        <v>6</v>
      </c>
      <c r="E87">
        <f>NPV($C$7,$B$19*'LBMP_by_Year-Month-Hour'!E$70*'LBMP_by_Year-Month-Hour'!E80,$B$20*'LBMP_by_Year-Month-Hour'!E$102*'LBMP_by_Year-Month-Hour'!E112,$B$21*'LBMP_by_Year-Month-Hour'!E$134*'LBMP_by_Year-Month-Hour'!E144,$B$22*'LBMP_by_Year-Month-Hour'!E$166*'LBMP_by_Year-Month-Hour'!E176,$B$23*'LBMP_by_Year-Month-Hour'!E$198*'LBMP_by_Year-Month-Hour'!E208,$B$24*'LBMP_by_Year-Month-Hour'!E$230*'LBMP_by_Year-Month-Hour'!E240,$B$25*'LBMP_by_Year-Month-Hour'!E$262*'LBMP_by_Year-Month-Hour'!E272,$B$26*'LBMP_by_Year-Month-Hour'!E$294*'LBMP_by_Year-Month-Hour'!E304,$B$27*'LBMP_by_Year-Month-Hour'!E$326*'LBMP_by_Year-Month-Hour'!E336,$B$28*'LBMP_by_Year-Month-Hour'!E$358*'LBMP_by_Year-Month-Hour'!E368,$B$29*'LBMP_by_Year-Month-Hour'!E$390*'LBMP_by_Year-Month-Hour'!E400,$B$30*'LBMP_by_Year-Month-Hour'!E$422*'LBMP_by_Year-Month-Hour'!E432,$B$31*'LBMP_by_Year-Month-Hour'!E$454*'LBMP_by_Year-Month-Hour'!E464,$B$32*'LBMP_by_Year-Month-Hour'!E$486*'LBMP_by_Year-Month-Hour'!E496,$B$33*'LBMP_by_Year-Month-Hour'!E$518*'LBMP_by_Year-Month-Hour'!E528,$B$34*'LBMP_by_Year-Month-Hour'!E$550*'LBMP_by_Year-Month-Hour'!E560,$B$35*'LBMP_by_Year-Month-Hour'!E$582*'LBMP_by_Year-Month-Hour'!E592)*E25/$C$6/24</f>
        <v>0</v>
      </c>
      <c r="G87">
        <v>6</v>
      </c>
      <c r="H87">
        <f>NPV($C$7,$B$19*'LBMP_by_Year-Month-Hour'!H$70*'LBMP_by_Year-Month-Hour'!H80,$B$20*'LBMP_by_Year-Month-Hour'!H$102*'LBMP_by_Year-Month-Hour'!H112,$B$21*'LBMP_by_Year-Month-Hour'!H$134*'LBMP_by_Year-Month-Hour'!H144,$B$22*'LBMP_by_Year-Month-Hour'!H$166*'LBMP_by_Year-Month-Hour'!H176,$B$23*'LBMP_by_Year-Month-Hour'!H$198*'LBMP_by_Year-Month-Hour'!H208,$B$24*'LBMP_by_Year-Month-Hour'!H$230*'LBMP_by_Year-Month-Hour'!H240,$B$25*'LBMP_by_Year-Month-Hour'!H$262*'LBMP_by_Year-Month-Hour'!H272,$B$26*'LBMP_by_Year-Month-Hour'!H$294*'LBMP_by_Year-Month-Hour'!H304,$B$27*'LBMP_by_Year-Month-Hour'!H$326*'LBMP_by_Year-Month-Hour'!H336,$B$28*'LBMP_by_Year-Month-Hour'!H$358*'LBMP_by_Year-Month-Hour'!H368,$B$29*'LBMP_by_Year-Month-Hour'!H$390*'LBMP_by_Year-Month-Hour'!H400,$B$30*'LBMP_by_Year-Month-Hour'!H$422*'LBMP_by_Year-Month-Hour'!H432,$B$31*'LBMP_by_Year-Month-Hour'!H$454*'LBMP_by_Year-Month-Hour'!H464,$B$32*'LBMP_by_Year-Month-Hour'!H$486*'LBMP_by_Year-Month-Hour'!H496,$B$33*'LBMP_by_Year-Month-Hour'!H$518*'LBMP_by_Year-Month-Hour'!H528,$B$34*'LBMP_by_Year-Month-Hour'!H$550*'LBMP_by_Year-Month-Hour'!H560,$B$35*'LBMP_by_Year-Month-Hour'!H$582*'LBMP_by_Year-Month-Hour'!H592)*H25/$C$6/24</f>
        <v>0</v>
      </c>
      <c r="J87">
        <v>6</v>
      </c>
      <c r="K87">
        <f>NPV($C$7,$B$19*'LBMP_by_Year-Month-Hour'!K$70*'LBMP_by_Year-Month-Hour'!K80,$B$20*'LBMP_by_Year-Month-Hour'!K$102*'LBMP_by_Year-Month-Hour'!K112,$B$21*'LBMP_by_Year-Month-Hour'!K$134*'LBMP_by_Year-Month-Hour'!K144,$B$22*'LBMP_by_Year-Month-Hour'!K$166*'LBMP_by_Year-Month-Hour'!K176,$B$23*'LBMP_by_Year-Month-Hour'!K$198*'LBMP_by_Year-Month-Hour'!K208,$B$24*'LBMP_by_Year-Month-Hour'!K$230*'LBMP_by_Year-Month-Hour'!K240,$B$25*'LBMP_by_Year-Month-Hour'!K$262*'LBMP_by_Year-Month-Hour'!K272,$B$26*'LBMP_by_Year-Month-Hour'!K$294*'LBMP_by_Year-Month-Hour'!K304,$B$27*'LBMP_by_Year-Month-Hour'!K$326*'LBMP_by_Year-Month-Hour'!K336,$B$28*'LBMP_by_Year-Month-Hour'!K$358*'LBMP_by_Year-Month-Hour'!K368,$B$29*'LBMP_by_Year-Month-Hour'!K$390*'LBMP_by_Year-Month-Hour'!K400,$B$30*'LBMP_by_Year-Month-Hour'!K$422*'LBMP_by_Year-Month-Hour'!K432,$B$31*'LBMP_by_Year-Month-Hour'!K$454*'LBMP_by_Year-Month-Hour'!K464,$B$32*'LBMP_by_Year-Month-Hour'!K$486*'LBMP_by_Year-Month-Hour'!K496,$B$33*'LBMP_by_Year-Month-Hour'!K$518*'LBMP_by_Year-Month-Hour'!K528,$B$34*'LBMP_by_Year-Month-Hour'!K$550*'LBMP_by_Year-Month-Hour'!K560,$B$35*'LBMP_by_Year-Month-Hour'!K$582*'LBMP_by_Year-Month-Hour'!K592)*K25/$C$6/24</f>
        <v>0</v>
      </c>
      <c r="M87">
        <v>6</v>
      </c>
      <c r="N87">
        <f>NPV($C$7,$B$19*'LBMP_by_Year-Month-Hour'!N$70*'LBMP_by_Year-Month-Hour'!N80,$B$20*'LBMP_by_Year-Month-Hour'!N$102*'LBMP_by_Year-Month-Hour'!N112,$B$21*'LBMP_by_Year-Month-Hour'!N$134*'LBMP_by_Year-Month-Hour'!N144,$B$22*'LBMP_by_Year-Month-Hour'!N$166*'LBMP_by_Year-Month-Hour'!N176,$B$23*'LBMP_by_Year-Month-Hour'!N$198*'LBMP_by_Year-Month-Hour'!N208,$B$24*'LBMP_by_Year-Month-Hour'!N$230*'LBMP_by_Year-Month-Hour'!N240,$B$25*'LBMP_by_Year-Month-Hour'!N$262*'LBMP_by_Year-Month-Hour'!N272,$B$26*'LBMP_by_Year-Month-Hour'!N$294*'LBMP_by_Year-Month-Hour'!N304,$B$27*'LBMP_by_Year-Month-Hour'!N$326*'LBMP_by_Year-Month-Hour'!N336,$B$28*'LBMP_by_Year-Month-Hour'!N$358*'LBMP_by_Year-Month-Hour'!N368,$B$29*'LBMP_by_Year-Month-Hour'!N$390*'LBMP_by_Year-Month-Hour'!N400,$B$30*'LBMP_by_Year-Month-Hour'!N$422*'LBMP_by_Year-Month-Hour'!N432,$B$31*'LBMP_by_Year-Month-Hour'!N$454*'LBMP_by_Year-Month-Hour'!N464,$B$32*'LBMP_by_Year-Month-Hour'!N$486*'LBMP_by_Year-Month-Hour'!N496,$B$33*'LBMP_by_Year-Month-Hour'!N$518*'LBMP_by_Year-Month-Hour'!N528,$B$34*'LBMP_by_Year-Month-Hour'!N$550*'LBMP_by_Year-Month-Hour'!N560,$B$35*'LBMP_by_Year-Month-Hour'!N$582*'LBMP_by_Year-Month-Hour'!N592)*N25/$C$6/24</f>
        <v>0</v>
      </c>
      <c r="P87">
        <v>6</v>
      </c>
      <c r="Q87">
        <f>NPV($C$7,$B$19*'LBMP_by_Year-Month-Hour'!Q$70*'LBMP_by_Year-Month-Hour'!Q80,$B$20*'LBMP_by_Year-Month-Hour'!Q$102*'LBMP_by_Year-Month-Hour'!Q112,$B$21*'LBMP_by_Year-Month-Hour'!Q$134*'LBMP_by_Year-Month-Hour'!Q144,$B$22*'LBMP_by_Year-Month-Hour'!Q$166*'LBMP_by_Year-Month-Hour'!Q176,$B$23*'LBMP_by_Year-Month-Hour'!Q$198*'LBMP_by_Year-Month-Hour'!Q208,$B$24*'LBMP_by_Year-Month-Hour'!Q$230*'LBMP_by_Year-Month-Hour'!Q240,$B$25*'LBMP_by_Year-Month-Hour'!Q$262*'LBMP_by_Year-Month-Hour'!Q272,$B$26*'LBMP_by_Year-Month-Hour'!Q$294*'LBMP_by_Year-Month-Hour'!Q304,$B$27*'LBMP_by_Year-Month-Hour'!Q$326*'LBMP_by_Year-Month-Hour'!Q336,$B$28*'LBMP_by_Year-Month-Hour'!Q$358*'LBMP_by_Year-Month-Hour'!Q368,$B$29*'LBMP_by_Year-Month-Hour'!Q$390*'LBMP_by_Year-Month-Hour'!Q400,$B$30*'LBMP_by_Year-Month-Hour'!Q$422*'LBMP_by_Year-Month-Hour'!Q432,$B$31*'LBMP_by_Year-Month-Hour'!Q$454*'LBMP_by_Year-Month-Hour'!Q464,$B$32*'LBMP_by_Year-Month-Hour'!Q$486*'LBMP_by_Year-Month-Hour'!Q496,$B$33*'LBMP_by_Year-Month-Hour'!Q$518*'LBMP_by_Year-Month-Hour'!Q528,$B$34*'LBMP_by_Year-Month-Hour'!Q$550*'LBMP_by_Year-Month-Hour'!Q560,$B$35*'LBMP_by_Year-Month-Hour'!Q$582*'LBMP_by_Year-Month-Hour'!Q592)*Q25/$C$6/24</f>
        <v>0</v>
      </c>
      <c r="S87">
        <v>6</v>
      </c>
      <c r="T87">
        <f>NPV($C$7,$B$19*'LBMP_by_Year-Month-Hour'!T$70*'LBMP_by_Year-Month-Hour'!T80,$B$20*'LBMP_by_Year-Month-Hour'!T$102*'LBMP_by_Year-Month-Hour'!T112,$B$21*'LBMP_by_Year-Month-Hour'!T$134*'LBMP_by_Year-Month-Hour'!T144,$B$22*'LBMP_by_Year-Month-Hour'!T$166*'LBMP_by_Year-Month-Hour'!T176,$B$23*'LBMP_by_Year-Month-Hour'!T$198*'LBMP_by_Year-Month-Hour'!T208,$B$24*'LBMP_by_Year-Month-Hour'!T$230*'LBMP_by_Year-Month-Hour'!T240,$B$25*'LBMP_by_Year-Month-Hour'!T$262*'LBMP_by_Year-Month-Hour'!T272,$B$26*'LBMP_by_Year-Month-Hour'!T$294*'LBMP_by_Year-Month-Hour'!T304,$B$27*'LBMP_by_Year-Month-Hour'!T$326*'LBMP_by_Year-Month-Hour'!T336,$B$28*'LBMP_by_Year-Month-Hour'!T$358*'LBMP_by_Year-Month-Hour'!T368,$B$29*'LBMP_by_Year-Month-Hour'!T$390*'LBMP_by_Year-Month-Hour'!T400,$B$30*'LBMP_by_Year-Month-Hour'!T$422*'LBMP_by_Year-Month-Hour'!T432,$B$31*'LBMP_by_Year-Month-Hour'!T$454*'LBMP_by_Year-Month-Hour'!T464,$B$32*'LBMP_by_Year-Month-Hour'!T$486*'LBMP_by_Year-Month-Hour'!T496,$B$33*'LBMP_by_Year-Month-Hour'!T$518*'LBMP_by_Year-Month-Hour'!T528,$B$34*'LBMP_by_Year-Month-Hour'!T$550*'LBMP_by_Year-Month-Hour'!T560,$B$35*'LBMP_by_Year-Month-Hour'!T$582*'LBMP_by_Year-Month-Hour'!T592)*T25/$C$6/24</f>
        <v>-21901.751801998704</v>
      </c>
      <c r="V87">
        <v>6</v>
      </c>
      <c r="W87">
        <f>NPV($C$7,$B$19*'LBMP_by_Year-Month-Hour'!W$70*'LBMP_by_Year-Month-Hour'!W80,$B$20*'LBMP_by_Year-Month-Hour'!W$102*'LBMP_by_Year-Month-Hour'!W112,$B$21*'LBMP_by_Year-Month-Hour'!W$134*'LBMP_by_Year-Month-Hour'!W144,$B$22*'LBMP_by_Year-Month-Hour'!W$166*'LBMP_by_Year-Month-Hour'!W176,$B$23*'LBMP_by_Year-Month-Hour'!W$198*'LBMP_by_Year-Month-Hour'!W208,$B$24*'LBMP_by_Year-Month-Hour'!W$230*'LBMP_by_Year-Month-Hour'!W240,$B$25*'LBMP_by_Year-Month-Hour'!W$262*'LBMP_by_Year-Month-Hour'!W272,$B$26*'LBMP_by_Year-Month-Hour'!W$294*'LBMP_by_Year-Month-Hour'!W304,$B$27*'LBMP_by_Year-Month-Hour'!W$326*'LBMP_by_Year-Month-Hour'!W336,$B$28*'LBMP_by_Year-Month-Hour'!W$358*'LBMP_by_Year-Month-Hour'!W368,$B$29*'LBMP_by_Year-Month-Hour'!W$390*'LBMP_by_Year-Month-Hour'!W400,$B$30*'LBMP_by_Year-Month-Hour'!W$422*'LBMP_by_Year-Month-Hour'!W432,$B$31*'LBMP_by_Year-Month-Hour'!W$454*'LBMP_by_Year-Month-Hour'!W464,$B$32*'LBMP_by_Year-Month-Hour'!W$486*'LBMP_by_Year-Month-Hour'!W496,$B$33*'LBMP_by_Year-Month-Hour'!W$518*'LBMP_by_Year-Month-Hour'!W528,$B$34*'LBMP_by_Year-Month-Hour'!W$550*'LBMP_by_Year-Month-Hour'!W560,$B$35*'LBMP_by_Year-Month-Hour'!W$582*'LBMP_by_Year-Month-Hour'!W592)*W25/$C$6/24</f>
        <v>-24115.319698346768</v>
      </c>
      <c r="Y87">
        <v>6</v>
      </c>
      <c r="Z87">
        <f>NPV($C$7,$B$19*'LBMP_by_Year-Month-Hour'!Z$70*'LBMP_by_Year-Month-Hour'!Z80,$B$20*'LBMP_by_Year-Month-Hour'!Z$102*'LBMP_by_Year-Month-Hour'!Z112,$B$21*'LBMP_by_Year-Month-Hour'!Z$134*'LBMP_by_Year-Month-Hour'!Z144,$B$22*'LBMP_by_Year-Month-Hour'!Z$166*'LBMP_by_Year-Month-Hour'!Z176,$B$23*'LBMP_by_Year-Month-Hour'!Z$198*'LBMP_by_Year-Month-Hour'!Z208,$B$24*'LBMP_by_Year-Month-Hour'!Z$230*'LBMP_by_Year-Month-Hour'!Z240,$B$25*'LBMP_by_Year-Month-Hour'!Z$262*'LBMP_by_Year-Month-Hour'!Z272,$B$26*'LBMP_by_Year-Month-Hour'!Z$294*'LBMP_by_Year-Month-Hour'!Z304,$B$27*'LBMP_by_Year-Month-Hour'!Z$326*'LBMP_by_Year-Month-Hour'!Z336,$B$28*'LBMP_by_Year-Month-Hour'!Z$358*'LBMP_by_Year-Month-Hour'!Z368,$B$29*'LBMP_by_Year-Month-Hour'!Z$390*'LBMP_by_Year-Month-Hour'!Z400,$B$30*'LBMP_by_Year-Month-Hour'!Z$422*'LBMP_by_Year-Month-Hour'!Z432,$B$31*'LBMP_by_Year-Month-Hour'!Z$454*'LBMP_by_Year-Month-Hour'!Z464,$B$32*'LBMP_by_Year-Month-Hour'!Z$486*'LBMP_by_Year-Month-Hour'!Z496,$B$33*'LBMP_by_Year-Month-Hour'!Z$518*'LBMP_by_Year-Month-Hour'!Z528,$B$34*'LBMP_by_Year-Month-Hour'!Z$550*'LBMP_by_Year-Month-Hour'!Z560,$B$35*'LBMP_by_Year-Month-Hour'!Z$582*'LBMP_by_Year-Month-Hour'!Z592)*Z25/$C$6/24</f>
        <v>-23041.045134439799</v>
      </c>
      <c r="AB87">
        <v>6</v>
      </c>
      <c r="AC87">
        <f>NPV($C$7,$B$19*'LBMP_by_Year-Month-Hour'!AC$70*'LBMP_by_Year-Month-Hour'!AC80,$B$20*'LBMP_by_Year-Month-Hour'!AC$102*'LBMP_by_Year-Month-Hour'!AC112,$B$21*'LBMP_by_Year-Month-Hour'!AC$134*'LBMP_by_Year-Month-Hour'!AC144,$B$22*'LBMP_by_Year-Month-Hour'!AC$166*'LBMP_by_Year-Month-Hour'!AC176,$B$23*'LBMP_by_Year-Month-Hour'!AC$198*'LBMP_by_Year-Month-Hour'!AC208,$B$24*'LBMP_by_Year-Month-Hour'!AC$230*'LBMP_by_Year-Month-Hour'!AC240,$B$25*'LBMP_by_Year-Month-Hour'!AC$262*'LBMP_by_Year-Month-Hour'!AC272,$B$26*'LBMP_by_Year-Month-Hour'!AC$294*'LBMP_by_Year-Month-Hour'!AC304,$B$27*'LBMP_by_Year-Month-Hour'!AC$326*'LBMP_by_Year-Month-Hour'!AC336,$B$28*'LBMP_by_Year-Month-Hour'!AC$358*'LBMP_by_Year-Month-Hour'!AC368,$B$29*'LBMP_by_Year-Month-Hour'!AC$390*'LBMP_by_Year-Month-Hour'!AC400,$B$30*'LBMP_by_Year-Month-Hour'!AC$422*'LBMP_by_Year-Month-Hour'!AC432,$B$31*'LBMP_by_Year-Month-Hour'!AC$454*'LBMP_by_Year-Month-Hour'!AC464,$B$32*'LBMP_by_Year-Month-Hour'!AC$486*'LBMP_by_Year-Month-Hour'!AC496,$B$33*'LBMP_by_Year-Month-Hour'!AC$518*'LBMP_by_Year-Month-Hour'!AC528,$B$34*'LBMP_by_Year-Month-Hour'!AC$550*'LBMP_by_Year-Month-Hour'!AC560,$B$35*'LBMP_by_Year-Month-Hour'!AC$582*'LBMP_by_Year-Month-Hour'!AC592)*AC25/$C$6/24</f>
        <v>-22244.445618915783</v>
      </c>
      <c r="AE87">
        <v>6</v>
      </c>
      <c r="AF87">
        <f>NPV($C$7,$B$19*'LBMP_by_Year-Month-Hour'!AF$70*'LBMP_by_Year-Month-Hour'!AF80,$B$20*'LBMP_by_Year-Month-Hour'!AF$102*'LBMP_by_Year-Month-Hour'!AF112,$B$21*'LBMP_by_Year-Month-Hour'!AF$134*'LBMP_by_Year-Month-Hour'!AF144,$B$22*'LBMP_by_Year-Month-Hour'!AF$166*'LBMP_by_Year-Month-Hour'!AF176,$B$23*'LBMP_by_Year-Month-Hour'!AF$198*'LBMP_by_Year-Month-Hour'!AF208,$B$24*'LBMP_by_Year-Month-Hour'!AF$230*'LBMP_by_Year-Month-Hour'!AF240,$B$25*'LBMP_by_Year-Month-Hour'!AF$262*'LBMP_by_Year-Month-Hour'!AF272,$B$26*'LBMP_by_Year-Month-Hour'!AF$294*'LBMP_by_Year-Month-Hour'!AF304,$B$27*'LBMP_by_Year-Month-Hour'!AF$326*'LBMP_by_Year-Month-Hour'!AF336,$B$28*'LBMP_by_Year-Month-Hour'!AF$358*'LBMP_by_Year-Month-Hour'!AF368,$B$29*'LBMP_by_Year-Month-Hour'!AF$390*'LBMP_by_Year-Month-Hour'!AF400,$B$30*'LBMP_by_Year-Month-Hour'!AF$422*'LBMP_by_Year-Month-Hour'!AF432,$B$31*'LBMP_by_Year-Month-Hour'!AF$454*'LBMP_by_Year-Month-Hour'!AF464,$B$32*'LBMP_by_Year-Month-Hour'!AF$486*'LBMP_by_Year-Month-Hour'!AF496,$B$33*'LBMP_by_Year-Month-Hour'!AF$518*'LBMP_by_Year-Month-Hour'!AF528,$B$34*'LBMP_by_Year-Month-Hour'!AF$550*'LBMP_by_Year-Month-Hour'!AF560,$B$35*'LBMP_by_Year-Month-Hour'!AF$582*'LBMP_by_Year-Month-Hour'!AF592)*AF25/$C$6/24</f>
        <v>0</v>
      </c>
      <c r="AH87">
        <v>6</v>
      </c>
      <c r="AI87">
        <f>NPV($C$7,$B$19*'LBMP_by_Year-Month-Hour'!AI$70*'LBMP_by_Year-Month-Hour'!AI80,$B$20*'LBMP_by_Year-Month-Hour'!AI$102*'LBMP_by_Year-Month-Hour'!AI112,$B$21*'LBMP_by_Year-Month-Hour'!AI$134*'LBMP_by_Year-Month-Hour'!AI144,$B$22*'LBMP_by_Year-Month-Hour'!AI$166*'LBMP_by_Year-Month-Hour'!AI176,$B$23*'LBMP_by_Year-Month-Hour'!AI$198*'LBMP_by_Year-Month-Hour'!AI208,$B$24*'LBMP_by_Year-Month-Hour'!AI$230*'LBMP_by_Year-Month-Hour'!AI240,$B$25*'LBMP_by_Year-Month-Hour'!AI$262*'LBMP_by_Year-Month-Hour'!AI272,$B$26*'LBMP_by_Year-Month-Hour'!AI$294*'LBMP_by_Year-Month-Hour'!AI304,$B$27*'LBMP_by_Year-Month-Hour'!AI$326*'LBMP_by_Year-Month-Hour'!AI336,$B$28*'LBMP_by_Year-Month-Hour'!AI$358*'LBMP_by_Year-Month-Hour'!AI368,$B$29*'LBMP_by_Year-Month-Hour'!AI$390*'LBMP_by_Year-Month-Hour'!AI400,$B$30*'LBMP_by_Year-Month-Hour'!AI$422*'LBMP_by_Year-Month-Hour'!AI432,$B$31*'LBMP_by_Year-Month-Hour'!AI$454*'LBMP_by_Year-Month-Hour'!AI464,$B$32*'LBMP_by_Year-Month-Hour'!AI$486*'LBMP_by_Year-Month-Hour'!AI496,$B$33*'LBMP_by_Year-Month-Hour'!AI$518*'LBMP_by_Year-Month-Hour'!AI528,$B$34*'LBMP_by_Year-Month-Hour'!AI$550*'LBMP_by_Year-Month-Hour'!AI560,$B$35*'LBMP_by_Year-Month-Hour'!AI$582*'LBMP_by_Year-Month-Hour'!AI592)*AI25/$C$6/24</f>
        <v>0</v>
      </c>
      <c r="AK87">
        <v>6</v>
      </c>
      <c r="AL87">
        <f>NPV($C$7,$B$19*'LBMP_by_Year-Month-Hour'!AL$70*'LBMP_by_Year-Month-Hour'!AL80,$B$20*'LBMP_by_Year-Month-Hour'!AL$102*'LBMP_by_Year-Month-Hour'!AL112,$B$21*'LBMP_by_Year-Month-Hour'!AL$134*'LBMP_by_Year-Month-Hour'!AL144,$B$22*'LBMP_by_Year-Month-Hour'!AL$166*'LBMP_by_Year-Month-Hour'!AL176,$B$23*'LBMP_by_Year-Month-Hour'!AL$198*'LBMP_by_Year-Month-Hour'!AL208,$B$24*'LBMP_by_Year-Month-Hour'!AL$230*'LBMP_by_Year-Month-Hour'!AL240,$B$25*'LBMP_by_Year-Month-Hour'!AL$262*'LBMP_by_Year-Month-Hour'!AL272,$B$26*'LBMP_by_Year-Month-Hour'!AL$294*'LBMP_by_Year-Month-Hour'!AL304,$B$27*'LBMP_by_Year-Month-Hour'!AL$326*'LBMP_by_Year-Month-Hour'!AL336,$B$28*'LBMP_by_Year-Month-Hour'!AL$358*'LBMP_by_Year-Month-Hour'!AL368,$B$29*'LBMP_by_Year-Month-Hour'!AL$390*'LBMP_by_Year-Month-Hour'!AL400,$B$30*'LBMP_by_Year-Month-Hour'!AL$422*'LBMP_by_Year-Month-Hour'!AL432,$B$31*'LBMP_by_Year-Month-Hour'!AL$454*'LBMP_by_Year-Month-Hour'!AL464,$B$32*'LBMP_by_Year-Month-Hour'!AL$486*'LBMP_by_Year-Month-Hour'!AL496,$B$33*'LBMP_by_Year-Month-Hour'!AL$518*'LBMP_by_Year-Month-Hour'!AL528,$B$34*'LBMP_by_Year-Month-Hour'!AL$550*'LBMP_by_Year-Month-Hour'!AL560,$B$35*'LBMP_by_Year-Month-Hour'!AL$582*'LBMP_by_Year-Month-Hour'!AL592)*AL25/$C$6/24</f>
        <v>0</v>
      </c>
    </row>
    <row r="88" spans="1:38">
      <c r="A88">
        <v>7</v>
      </c>
      <c r="B88">
        <f t="shared" si="10"/>
        <v>-96692.89311879348</v>
      </c>
      <c r="D88">
        <v>7</v>
      </c>
      <c r="E88">
        <f>NPV($C$7,$B$19*'LBMP_by_Year-Month-Hour'!E$70*'LBMP_by_Year-Month-Hour'!E81,$B$20*'LBMP_by_Year-Month-Hour'!E$102*'LBMP_by_Year-Month-Hour'!E113,$B$21*'LBMP_by_Year-Month-Hour'!E$134*'LBMP_by_Year-Month-Hour'!E145,$B$22*'LBMP_by_Year-Month-Hour'!E$166*'LBMP_by_Year-Month-Hour'!E177,$B$23*'LBMP_by_Year-Month-Hour'!E$198*'LBMP_by_Year-Month-Hour'!E209,$B$24*'LBMP_by_Year-Month-Hour'!E$230*'LBMP_by_Year-Month-Hour'!E241,$B$25*'LBMP_by_Year-Month-Hour'!E$262*'LBMP_by_Year-Month-Hour'!E273,$B$26*'LBMP_by_Year-Month-Hour'!E$294*'LBMP_by_Year-Month-Hour'!E305,$B$27*'LBMP_by_Year-Month-Hour'!E$326*'LBMP_by_Year-Month-Hour'!E337,$B$28*'LBMP_by_Year-Month-Hour'!E$358*'LBMP_by_Year-Month-Hour'!E369,$B$29*'LBMP_by_Year-Month-Hour'!E$390*'LBMP_by_Year-Month-Hour'!E401,$B$30*'LBMP_by_Year-Month-Hour'!E$422*'LBMP_by_Year-Month-Hour'!E433,$B$31*'LBMP_by_Year-Month-Hour'!E$454*'LBMP_by_Year-Month-Hour'!E465,$B$32*'LBMP_by_Year-Month-Hour'!E$486*'LBMP_by_Year-Month-Hour'!E497,$B$33*'LBMP_by_Year-Month-Hour'!E$518*'LBMP_by_Year-Month-Hour'!E529,$B$34*'LBMP_by_Year-Month-Hour'!E$550*'LBMP_by_Year-Month-Hour'!E561,$B$35*'LBMP_by_Year-Month-Hour'!E$582*'LBMP_by_Year-Month-Hour'!E593)*E26/$C$6/24</f>
        <v>0</v>
      </c>
      <c r="G88">
        <v>7</v>
      </c>
      <c r="H88">
        <f>NPV($C$7,$B$19*'LBMP_by_Year-Month-Hour'!H$70*'LBMP_by_Year-Month-Hour'!H81,$B$20*'LBMP_by_Year-Month-Hour'!H$102*'LBMP_by_Year-Month-Hour'!H113,$B$21*'LBMP_by_Year-Month-Hour'!H$134*'LBMP_by_Year-Month-Hour'!H145,$B$22*'LBMP_by_Year-Month-Hour'!H$166*'LBMP_by_Year-Month-Hour'!H177,$B$23*'LBMP_by_Year-Month-Hour'!H$198*'LBMP_by_Year-Month-Hour'!H209,$B$24*'LBMP_by_Year-Month-Hour'!H$230*'LBMP_by_Year-Month-Hour'!H241,$B$25*'LBMP_by_Year-Month-Hour'!H$262*'LBMP_by_Year-Month-Hour'!H273,$B$26*'LBMP_by_Year-Month-Hour'!H$294*'LBMP_by_Year-Month-Hour'!H305,$B$27*'LBMP_by_Year-Month-Hour'!H$326*'LBMP_by_Year-Month-Hour'!H337,$B$28*'LBMP_by_Year-Month-Hour'!H$358*'LBMP_by_Year-Month-Hour'!H369,$B$29*'LBMP_by_Year-Month-Hour'!H$390*'LBMP_by_Year-Month-Hour'!H401,$B$30*'LBMP_by_Year-Month-Hour'!H$422*'LBMP_by_Year-Month-Hour'!H433,$B$31*'LBMP_by_Year-Month-Hour'!H$454*'LBMP_by_Year-Month-Hour'!H465,$B$32*'LBMP_by_Year-Month-Hour'!H$486*'LBMP_by_Year-Month-Hour'!H497,$B$33*'LBMP_by_Year-Month-Hour'!H$518*'LBMP_by_Year-Month-Hour'!H529,$B$34*'LBMP_by_Year-Month-Hour'!H$550*'LBMP_by_Year-Month-Hour'!H561,$B$35*'LBMP_by_Year-Month-Hour'!H$582*'LBMP_by_Year-Month-Hour'!H593)*H26/$C$6/24</f>
        <v>0</v>
      </c>
      <c r="J88">
        <v>7</v>
      </c>
      <c r="K88">
        <f>NPV($C$7,$B$19*'LBMP_by_Year-Month-Hour'!K$70*'LBMP_by_Year-Month-Hour'!K81,$B$20*'LBMP_by_Year-Month-Hour'!K$102*'LBMP_by_Year-Month-Hour'!K113,$B$21*'LBMP_by_Year-Month-Hour'!K$134*'LBMP_by_Year-Month-Hour'!K145,$B$22*'LBMP_by_Year-Month-Hour'!K$166*'LBMP_by_Year-Month-Hour'!K177,$B$23*'LBMP_by_Year-Month-Hour'!K$198*'LBMP_by_Year-Month-Hour'!K209,$B$24*'LBMP_by_Year-Month-Hour'!K$230*'LBMP_by_Year-Month-Hour'!K241,$B$25*'LBMP_by_Year-Month-Hour'!K$262*'LBMP_by_Year-Month-Hour'!K273,$B$26*'LBMP_by_Year-Month-Hour'!K$294*'LBMP_by_Year-Month-Hour'!K305,$B$27*'LBMP_by_Year-Month-Hour'!K$326*'LBMP_by_Year-Month-Hour'!K337,$B$28*'LBMP_by_Year-Month-Hour'!K$358*'LBMP_by_Year-Month-Hour'!K369,$B$29*'LBMP_by_Year-Month-Hour'!K$390*'LBMP_by_Year-Month-Hour'!K401,$B$30*'LBMP_by_Year-Month-Hour'!K$422*'LBMP_by_Year-Month-Hour'!K433,$B$31*'LBMP_by_Year-Month-Hour'!K$454*'LBMP_by_Year-Month-Hour'!K465,$B$32*'LBMP_by_Year-Month-Hour'!K$486*'LBMP_by_Year-Month-Hour'!K497,$B$33*'LBMP_by_Year-Month-Hour'!K$518*'LBMP_by_Year-Month-Hour'!K529,$B$34*'LBMP_by_Year-Month-Hour'!K$550*'LBMP_by_Year-Month-Hour'!K561,$B$35*'LBMP_by_Year-Month-Hour'!K$582*'LBMP_by_Year-Month-Hour'!K593)*K26/$C$6/24</f>
        <v>0</v>
      </c>
      <c r="M88">
        <v>7</v>
      </c>
      <c r="N88">
        <f>NPV($C$7,$B$19*'LBMP_by_Year-Month-Hour'!N$70*'LBMP_by_Year-Month-Hour'!N81,$B$20*'LBMP_by_Year-Month-Hour'!N$102*'LBMP_by_Year-Month-Hour'!N113,$B$21*'LBMP_by_Year-Month-Hour'!N$134*'LBMP_by_Year-Month-Hour'!N145,$B$22*'LBMP_by_Year-Month-Hour'!N$166*'LBMP_by_Year-Month-Hour'!N177,$B$23*'LBMP_by_Year-Month-Hour'!N$198*'LBMP_by_Year-Month-Hour'!N209,$B$24*'LBMP_by_Year-Month-Hour'!N$230*'LBMP_by_Year-Month-Hour'!N241,$B$25*'LBMP_by_Year-Month-Hour'!N$262*'LBMP_by_Year-Month-Hour'!N273,$B$26*'LBMP_by_Year-Month-Hour'!N$294*'LBMP_by_Year-Month-Hour'!N305,$B$27*'LBMP_by_Year-Month-Hour'!N$326*'LBMP_by_Year-Month-Hour'!N337,$B$28*'LBMP_by_Year-Month-Hour'!N$358*'LBMP_by_Year-Month-Hour'!N369,$B$29*'LBMP_by_Year-Month-Hour'!N$390*'LBMP_by_Year-Month-Hour'!N401,$B$30*'LBMP_by_Year-Month-Hour'!N$422*'LBMP_by_Year-Month-Hour'!N433,$B$31*'LBMP_by_Year-Month-Hour'!N$454*'LBMP_by_Year-Month-Hour'!N465,$B$32*'LBMP_by_Year-Month-Hour'!N$486*'LBMP_by_Year-Month-Hour'!N497,$B$33*'LBMP_by_Year-Month-Hour'!N$518*'LBMP_by_Year-Month-Hour'!N529,$B$34*'LBMP_by_Year-Month-Hour'!N$550*'LBMP_by_Year-Month-Hour'!N561,$B$35*'LBMP_by_Year-Month-Hour'!N$582*'LBMP_by_Year-Month-Hour'!N593)*N26/$C$6/24</f>
        <v>0</v>
      </c>
      <c r="P88">
        <v>7</v>
      </c>
      <c r="Q88">
        <f>NPV($C$7,$B$19*'LBMP_by_Year-Month-Hour'!Q$70*'LBMP_by_Year-Month-Hour'!Q81,$B$20*'LBMP_by_Year-Month-Hour'!Q$102*'LBMP_by_Year-Month-Hour'!Q113,$B$21*'LBMP_by_Year-Month-Hour'!Q$134*'LBMP_by_Year-Month-Hour'!Q145,$B$22*'LBMP_by_Year-Month-Hour'!Q$166*'LBMP_by_Year-Month-Hour'!Q177,$B$23*'LBMP_by_Year-Month-Hour'!Q$198*'LBMP_by_Year-Month-Hour'!Q209,$B$24*'LBMP_by_Year-Month-Hour'!Q$230*'LBMP_by_Year-Month-Hour'!Q241,$B$25*'LBMP_by_Year-Month-Hour'!Q$262*'LBMP_by_Year-Month-Hour'!Q273,$B$26*'LBMP_by_Year-Month-Hour'!Q$294*'LBMP_by_Year-Month-Hour'!Q305,$B$27*'LBMP_by_Year-Month-Hour'!Q$326*'LBMP_by_Year-Month-Hour'!Q337,$B$28*'LBMP_by_Year-Month-Hour'!Q$358*'LBMP_by_Year-Month-Hour'!Q369,$B$29*'LBMP_by_Year-Month-Hour'!Q$390*'LBMP_by_Year-Month-Hour'!Q401,$B$30*'LBMP_by_Year-Month-Hour'!Q$422*'LBMP_by_Year-Month-Hour'!Q433,$B$31*'LBMP_by_Year-Month-Hour'!Q$454*'LBMP_by_Year-Month-Hour'!Q465,$B$32*'LBMP_by_Year-Month-Hour'!Q$486*'LBMP_by_Year-Month-Hour'!Q497,$B$33*'LBMP_by_Year-Month-Hour'!Q$518*'LBMP_by_Year-Month-Hour'!Q529,$B$34*'LBMP_by_Year-Month-Hour'!Q$550*'LBMP_by_Year-Month-Hour'!Q561,$B$35*'LBMP_by_Year-Month-Hour'!Q$582*'LBMP_by_Year-Month-Hour'!Q593)*Q26/$C$6/24</f>
        <v>0</v>
      </c>
      <c r="S88">
        <v>7</v>
      </c>
      <c r="T88">
        <f>NPV($C$7,$B$19*'LBMP_by_Year-Month-Hour'!T$70*'LBMP_by_Year-Month-Hour'!T81,$B$20*'LBMP_by_Year-Month-Hour'!T$102*'LBMP_by_Year-Month-Hour'!T113,$B$21*'LBMP_by_Year-Month-Hour'!T$134*'LBMP_by_Year-Month-Hour'!T145,$B$22*'LBMP_by_Year-Month-Hour'!T$166*'LBMP_by_Year-Month-Hour'!T177,$B$23*'LBMP_by_Year-Month-Hour'!T$198*'LBMP_by_Year-Month-Hour'!T209,$B$24*'LBMP_by_Year-Month-Hour'!T$230*'LBMP_by_Year-Month-Hour'!T241,$B$25*'LBMP_by_Year-Month-Hour'!T$262*'LBMP_by_Year-Month-Hour'!T273,$B$26*'LBMP_by_Year-Month-Hour'!T$294*'LBMP_by_Year-Month-Hour'!T305,$B$27*'LBMP_by_Year-Month-Hour'!T$326*'LBMP_by_Year-Month-Hour'!T337,$B$28*'LBMP_by_Year-Month-Hour'!T$358*'LBMP_by_Year-Month-Hour'!T369,$B$29*'LBMP_by_Year-Month-Hour'!T$390*'LBMP_by_Year-Month-Hour'!T401,$B$30*'LBMP_by_Year-Month-Hour'!T$422*'LBMP_by_Year-Month-Hour'!T433,$B$31*'LBMP_by_Year-Month-Hour'!T$454*'LBMP_by_Year-Month-Hour'!T465,$B$32*'LBMP_by_Year-Month-Hour'!T$486*'LBMP_by_Year-Month-Hour'!T497,$B$33*'LBMP_by_Year-Month-Hour'!T$518*'LBMP_by_Year-Month-Hour'!T529,$B$34*'LBMP_by_Year-Month-Hour'!T$550*'LBMP_by_Year-Month-Hour'!T561,$B$35*'LBMP_by_Year-Month-Hour'!T$582*'LBMP_by_Year-Month-Hour'!T593)*T26/$C$6/24</f>
        <v>-22768.92727718089</v>
      </c>
      <c r="V88">
        <v>7</v>
      </c>
      <c r="W88">
        <f>NPV($C$7,$B$19*'LBMP_by_Year-Month-Hour'!W$70*'LBMP_by_Year-Month-Hour'!W81,$B$20*'LBMP_by_Year-Month-Hour'!W$102*'LBMP_by_Year-Month-Hour'!W113,$B$21*'LBMP_by_Year-Month-Hour'!W$134*'LBMP_by_Year-Month-Hour'!W145,$B$22*'LBMP_by_Year-Month-Hour'!W$166*'LBMP_by_Year-Month-Hour'!W177,$B$23*'LBMP_by_Year-Month-Hour'!W$198*'LBMP_by_Year-Month-Hour'!W209,$B$24*'LBMP_by_Year-Month-Hour'!W$230*'LBMP_by_Year-Month-Hour'!W241,$B$25*'LBMP_by_Year-Month-Hour'!W$262*'LBMP_by_Year-Month-Hour'!W273,$B$26*'LBMP_by_Year-Month-Hour'!W$294*'LBMP_by_Year-Month-Hour'!W305,$B$27*'LBMP_by_Year-Month-Hour'!W$326*'LBMP_by_Year-Month-Hour'!W337,$B$28*'LBMP_by_Year-Month-Hour'!W$358*'LBMP_by_Year-Month-Hour'!W369,$B$29*'LBMP_by_Year-Month-Hour'!W$390*'LBMP_by_Year-Month-Hour'!W401,$B$30*'LBMP_by_Year-Month-Hour'!W$422*'LBMP_by_Year-Month-Hour'!W433,$B$31*'LBMP_by_Year-Month-Hour'!W$454*'LBMP_by_Year-Month-Hour'!W465,$B$32*'LBMP_by_Year-Month-Hour'!W$486*'LBMP_by_Year-Month-Hour'!W497,$B$33*'LBMP_by_Year-Month-Hour'!W$518*'LBMP_by_Year-Month-Hour'!W529,$B$34*'LBMP_by_Year-Month-Hour'!W$550*'LBMP_by_Year-Month-Hour'!W561,$B$35*'LBMP_by_Year-Month-Hour'!W$582*'LBMP_by_Year-Month-Hour'!W593)*W26/$C$6/24</f>
        <v>-25641.799648247888</v>
      </c>
      <c r="Y88">
        <v>7</v>
      </c>
      <c r="Z88">
        <f>NPV($C$7,$B$19*'LBMP_by_Year-Month-Hour'!Z$70*'LBMP_by_Year-Month-Hour'!Z81,$B$20*'LBMP_by_Year-Month-Hour'!Z$102*'LBMP_by_Year-Month-Hour'!Z113,$B$21*'LBMP_by_Year-Month-Hour'!Z$134*'LBMP_by_Year-Month-Hour'!Z145,$B$22*'LBMP_by_Year-Month-Hour'!Z$166*'LBMP_by_Year-Month-Hour'!Z177,$B$23*'LBMP_by_Year-Month-Hour'!Z$198*'LBMP_by_Year-Month-Hour'!Z209,$B$24*'LBMP_by_Year-Month-Hour'!Z$230*'LBMP_by_Year-Month-Hour'!Z241,$B$25*'LBMP_by_Year-Month-Hour'!Z$262*'LBMP_by_Year-Month-Hour'!Z273,$B$26*'LBMP_by_Year-Month-Hour'!Z$294*'LBMP_by_Year-Month-Hour'!Z305,$B$27*'LBMP_by_Year-Month-Hour'!Z$326*'LBMP_by_Year-Month-Hour'!Z337,$B$28*'LBMP_by_Year-Month-Hour'!Z$358*'LBMP_by_Year-Month-Hour'!Z369,$B$29*'LBMP_by_Year-Month-Hour'!Z$390*'LBMP_by_Year-Month-Hour'!Z401,$B$30*'LBMP_by_Year-Month-Hour'!Z$422*'LBMP_by_Year-Month-Hour'!Z433,$B$31*'LBMP_by_Year-Month-Hour'!Z$454*'LBMP_by_Year-Month-Hour'!Z465,$B$32*'LBMP_by_Year-Month-Hour'!Z$486*'LBMP_by_Year-Month-Hour'!Z497,$B$33*'LBMP_by_Year-Month-Hour'!Z$518*'LBMP_by_Year-Month-Hour'!Z529,$B$34*'LBMP_by_Year-Month-Hour'!Z$550*'LBMP_by_Year-Month-Hour'!Z561,$B$35*'LBMP_by_Year-Month-Hour'!Z$582*'LBMP_by_Year-Month-Hour'!Z593)*Z26/$C$6/24</f>
        <v>-24755.311209076117</v>
      </c>
      <c r="AB88">
        <v>7</v>
      </c>
      <c r="AC88">
        <f>NPV($C$7,$B$19*'LBMP_by_Year-Month-Hour'!AC$70*'LBMP_by_Year-Month-Hour'!AC81,$B$20*'LBMP_by_Year-Month-Hour'!AC$102*'LBMP_by_Year-Month-Hour'!AC113,$B$21*'LBMP_by_Year-Month-Hour'!AC$134*'LBMP_by_Year-Month-Hour'!AC145,$B$22*'LBMP_by_Year-Month-Hour'!AC$166*'LBMP_by_Year-Month-Hour'!AC177,$B$23*'LBMP_by_Year-Month-Hour'!AC$198*'LBMP_by_Year-Month-Hour'!AC209,$B$24*'LBMP_by_Year-Month-Hour'!AC$230*'LBMP_by_Year-Month-Hour'!AC241,$B$25*'LBMP_by_Year-Month-Hour'!AC$262*'LBMP_by_Year-Month-Hour'!AC273,$B$26*'LBMP_by_Year-Month-Hour'!AC$294*'LBMP_by_Year-Month-Hour'!AC305,$B$27*'LBMP_by_Year-Month-Hour'!AC$326*'LBMP_by_Year-Month-Hour'!AC337,$B$28*'LBMP_by_Year-Month-Hour'!AC$358*'LBMP_by_Year-Month-Hour'!AC369,$B$29*'LBMP_by_Year-Month-Hour'!AC$390*'LBMP_by_Year-Month-Hour'!AC401,$B$30*'LBMP_by_Year-Month-Hour'!AC$422*'LBMP_by_Year-Month-Hour'!AC433,$B$31*'LBMP_by_Year-Month-Hour'!AC$454*'LBMP_by_Year-Month-Hour'!AC465,$B$32*'LBMP_by_Year-Month-Hour'!AC$486*'LBMP_by_Year-Month-Hour'!AC497,$B$33*'LBMP_by_Year-Month-Hour'!AC$518*'LBMP_by_Year-Month-Hour'!AC529,$B$34*'LBMP_by_Year-Month-Hour'!AC$550*'LBMP_by_Year-Month-Hour'!AC561,$B$35*'LBMP_by_Year-Month-Hour'!AC$582*'LBMP_by_Year-Month-Hour'!AC593)*AC26/$C$6/24</f>
        <v>-23526.854984288588</v>
      </c>
      <c r="AE88">
        <v>7</v>
      </c>
      <c r="AF88">
        <f>NPV($C$7,$B$19*'LBMP_by_Year-Month-Hour'!AF$70*'LBMP_by_Year-Month-Hour'!AF81,$B$20*'LBMP_by_Year-Month-Hour'!AF$102*'LBMP_by_Year-Month-Hour'!AF113,$B$21*'LBMP_by_Year-Month-Hour'!AF$134*'LBMP_by_Year-Month-Hour'!AF145,$B$22*'LBMP_by_Year-Month-Hour'!AF$166*'LBMP_by_Year-Month-Hour'!AF177,$B$23*'LBMP_by_Year-Month-Hour'!AF$198*'LBMP_by_Year-Month-Hour'!AF209,$B$24*'LBMP_by_Year-Month-Hour'!AF$230*'LBMP_by_Year-Month-Hour'!AF241,$B$25*'LBMP_by_Year-Month-Hour'!AF$262*'LBMP_by_Year-Month-Hour'!AF273,$B$26*'LBMP_by_Year-Month-Hour'!AF$294*'LBMP_by_Year-Month-Hour'!AF305,$B$27*'LBMP_by_Year-Month-Hour'!AF$326*'LBMP_by_Year-Month-Hour'!AF337,$B$28*'LBMP_by_Year-Month-Hour'!AF$358*'LBMP_by_Year-Month-Hour'!AF369,$B$29*'LBMP_by_Year-Month-Hour'!AF$390*'LBMP_by_Year-Month-Hour'!AF401,$B$30*'LBMP_by_Year-Month-Hour'!AF$422*'LBMP_by_Year-Month-Hour'!AF433,$B$31*'LBMP_by_Year-Month-Hour'!AF$454*'LBMP_by_Year-Month-Hour'!AF465,$B$32*'LBMP_by_Year-Month-Hour'!AF$486*'LBMP_by_Year-Month-Hour'!AF497,$B$33*'LBMP_by_Year-Month-Hour'!AF$518*'LBMP_by_Year-Month-Hour'!AF529,$B$34*'LBMP_by_Year-Month-Hour'!AF$550*'LBMP_by_Year-Month-Hour'!AF561,$B$35*'LBMP_by_Year-Month-Hour'!AF$582*'LBMP_by_Year-Month-Hour'!AF593)*AF26/$C$6/24</f>
        <v>0</v>
      </c>
      <c r="AH88">
        <v>7</v>
      </c>
      <c r="AI88">
        <f>NPV($C$7,$B$19*'LBMP_by_Year-Month-Hour'!AI$70*'LBMP_by_Year-Month-Hour'!AI81,$B$20*'LBMP_by_Year-Month-Hour'!AI$102*'LBMP_by_Year-Month-Hour'!AI113,$B$21*'LBMP_by_Year-Month-Hour'!AI$134*'LBMP_by_Year-Month-Hour'!AI145,$B$22*'LBMP_by_Year-Month-Hour'!AI$166*'LBMP_by_Year-Month-Hour'!AI177,$B$23*'LBMP_by_Year-Month-Hour'!AI$198*'LBMP_by_Year-Month-Hour'!AI209,$B$24*'LBMP_by_Year-Month-Hour'!AI$230*'LBMP_by_Year-Month-Hour'!AI241,$B$25*'LBMP_by_Year-Month-Hour'!AI$262*'LBMP_by_Year-Month-Hour'!AI273,$B$26*'LBMP_by_Year-Month-Hour'!AI$294*'LBMP_by_Year-Month-Hour'!AI305,$B$27*'LBMP_by_Year-Month-Hour'!AI$326*'LBMP_by_Year-Month-Hour'!AI337,$B$28*'LBMP_by_Year-Month-Hour'!AI$358*'LBMP_by_Year-Month-Hour'!AI369,$B$29*'LBMP_by_Year-Month-Hour'!AI$390*'LBMP_by_Year-Month-Hour'!AI401,$B$30*'LBMP_by_Year-Month-Hour'!AI$422*'LBMP_by_Year-Month-Hour'!AI433,$B$31*'LBMP_by_Year-Month-Hour'!AI$454*'LBMP_by_Year-Month-Hour'!AI465,$B$32*'LBMP_by_Year-Month-Hour'!AI$486*'LBMP_by_Year-Month-Hour'!AI497,$B$33*'LBMP_by_Year-Month-Hour'!AI$518*'LBMP_by_Year-Month-Hour'!AI529,$B$34*'LBMP_by_Year-Month-Hour'!AI$550*'LBMP_by_Year-Month-Hour'!AI561,$B$35*'LBMP_by_Year-Month-Hour'!AI$582*'LBMP_by_Year-Month-Hour'!AI593)*AI26/$C$6/24</f>
        <v>0</v>
      </c>
      <c r="AK88">
        <v>7</v>
      </c>
      <c r="AL88">
        <f>NPV($C$7,$B$19*'LBMP_by_Year-Month-Hour'!AL$70*'LBMP_by_Year-Month-Hour'!AL81,$B$20*'LBMP_by_Year-Month-Hour'!AL$102*'LBMP_by_Year-Month-Hour'!AL113,$B$21*'LBMP_by_Year-Month-Hour'!AL$134*'LBMP_by_Year-Month-Hour'!AL145,$B$22*'LBMP_by_Year-Month-Hour'!AL$166*'LBMP_by_Year-Month-Hour'!AL177,$B$23*'LBMP_by_Year-Month-Hour'!AL$198*'LBMP_by_Year-Month-Hour'!AL209,$B$24*'LBMP_by_Year-Month-Hour'!AL$230*'LBMP_by_Year-Month-Hour'!AL241,$B$25*'LBMP_by_Year-Month-Hour'!AL$262*'LBMP_by_Year-Month-Hour'!AL273,$B$26*'LBMP_by_Year-Month-Hour'!AL$294*'LBMP_by_Year-Month-Hour'!AL305,$B$27*'LBMP_by_Year-Month-Hour'!AL$326*'LBMP_by_Year-Month-Hour'!AL337,$B$28*'LBMP_by_Year-Month-Hour'!AL$358*'LBMP_by_Year-Month-Hour'!AL369,$B$29*'LBMP_by_Year-Month-Hour'!AL$390*'LBMP_by_Year-Month-Hour'!AL401,$B$30*'LBMP_by_Year-Month-Hour'!AL$422*'LBMP_by_Year-Month-Hour'!AL433,$B$31*'LBMP_by_Year-Month-Hour'!AL$454*'LBMP_by_Year-Month-Hour'!AL465,$B$32*'LBMP_by_Year-Month-Hour'!AL$486*'LBMP_by_Year-Month-Hour'!AL497,$B$33*'LBMP_by_Year-Month-Hour'!AL$518*'LBMP_by_Year-Month-Hour'!AL529,$B$34*'LBMP_by_Year-Month-Hour'!AL$550*'LBMP_by_Year-Month-Hour'!AL561,$B$35*'LBMP_by_Year-Month-Hour'!AL$582*'LBMP_by_Year-Month-Hour'!AL593)*AL26/$C$6/24</f>
        <v>0</v>
      </c>
    </row>
    <row r="89" spans="1:38">
      <c r="A89">
        <v>8</v>
      </c>
      <c r="B89">
        <f t="shared" si="10"/>
        <v>0</v>
      </c>
      <c r="D89">
        <v>8</v>
      </c>
      <c r="E89">
        <f>NPV($C$7,$B$19*'LBMP_by_Year-Month-Hour'!E$70*'LBMP_by_Year-Month-Hour'!E82,$B$20*'LBMP_by_Year-Month-Hour'!E$102*'LBMP_by_Year-Month-Hour'!E114,$B$21*'LBMP_by_Year-Month-Hour'!E$134*'LBMP_by_Year-Month-Hour'!E146,$B$22*'LBMP_by_Year-Month-Hour'!E$166*'LBMP_by_Year-Month-Hour'!E178,$B$23*'LBMP_by_Year-Month-Hour'!E$198*'LBMP_by_Year-Month-Hour'!E210,$B$24*'LBMP_by_Year-Month-Hour'!E$230*'LBMP_by_Year-Month-Hour'!E242,$B$25*'LBMP_by_Year-Month-Hour'!E$262*'LBMP_by_Year-Month-Hour'!E274,$B$26*'LBMP_by_Year-Month-Hour'!E$294*'LBMP_by_Year-Month-Hour'!E306,$B$27*'LBMP_by_Year-Month-Hour'!E$326*'LBMP_by_Year-Month-Hour'!E338,$B$28*'LBMP_by_Year-Month-Hour'!E$358*'LBMP_by_Year-Month-Hour'!E370,$B$29*'LBMP_by_Year-Month-Hour'!E$390*'LBMP_by_Year-Month-Hour'!E402,$B$30*'LBMP_by_Year-Month-Hour'!E$422*'LBMP_by_Year-Month-Hour'!E434,$B$31*'LBMP_by_Year-Month-Hour'!E$454*'LBMP_by_Year-Month-Hour'!E466,$B$32*'LBMP_by_Year-Month-Hour'!E$486*'LBMP_by_Year-Month-Hour'!E498,$B$33*'LBMP_by_Year-Month-Hour'!E$518*'LBMP_by_Year-Month-Hour'!E530,$B$34*'LBMP_by_Year-Month-Hour'!E$550*'LBMP_by_Year-Month-Hour'!E562,$B$35*'LBMP_by_Year-Month-Hour'!E$582*'LBMP_by_Year-Month-Hour'!E594)*E27/$C$6/24</f>
        <v>0</v>
      </c>
      <c r="G89">
        <v>8</v>
      </c>
      <c r="H89">
        <f>NPV($C$7,$B$19*'LBMP_by_Year-Month-Hour'!H$70*'LBMP_by_Year-Month-Hour'!H82,$B$20*'LBMP_by_Year-Month-Hour'!H$102*'LBMP_by_Year-Month-Hour'!H114,$B$21*'LBMP_by_Year-Month-Hour'!H$134*'LBMP_by_Year-Month-Hour'!H146,$B$22*'LBMP_by_Year-Month-Hour'!H$166*'LBMP_by_Year-Month-Hour'!H178,$B$23*'LBMP_by_Year-Month-Hour'!H$198*'LBMP_by_Year-Month-Hour'!H210,$B$24*'LBMP_by_Year-Month-Hour'!H$230*'LBMP_by_Year-Month-Hour'!H242,$B$25*'LBMP_by_Year-Month-Hour'!H$262*'LBMP_by_Year-Month-Hour'!H274,$B$26*'LBMP_by_Year-Month-Hour'!H$294*'LBMP_by_Year-Month-Hour'!H306,$B$27*'LBMP_by_Year-Month-Hour'!H$326*'LBMP_by_Year-Month-Hour'!H338,$B$28*'LBMP_by_Year-Month-Hour'!H$358*'LBMP_by_Year-Month-Hour'!H370,$B$29*'LBMP_by_Year-Month-Hour'!H$390*'LBMP_by_Year-Month-Hour'!H402,$B$30*'LBMP_by_Year-Month-Hour'!H$422*'LBMP_by_Year-Month-Hour'!H434,$B$31*'LBMP_by_Year-Month-Hour'!H$454*'LBMP_by_Year-Month-Hour'!H466,$B$32*'LBMP_by_Year-Month-Hour'!H$486*'LBMP_by_Year-Month-Hour'!H498,$B$33*'LBMP_by_Year-Month-Hour'!H$518*'LBMP_by_Year-Month-Hour'!H530,$B$34*'LBMP_by_Year-Month-Hour'!H$550*'LBMP_by_Year-Month-Hour'!H562,$B$35*'LBMP_by_Year-Month-Hour'!H$582*'LBMP_by_Year-Month-Hour'!H594)*H27/$C$6/24</f>
        <v>0</v>
      </c>
      <c r="J89">
        <v>8</v>
      </c>
      <c r="K89">
        <f>NPV($C$7,$B$19*'LBMP_by_Year-Month-Hour'!K$70*'LBMP_by_Year-Month-Hour'!K82,$B$20*'LBMP_by_Year-Month-Hour'!K$102*'LBMP_by_Year-Month-Hour'!K114,$B$21*'LBMP_by_Year-Month-Hour'!K$134*'LBMP_by_Year-Month-Hour'!K146,$B$22*'LBMP_by_Year-Month-Hour'!K$166*'LBMP_by_Year-Month-Hour'!K178,$B$23*'LBMP_by_Year-Month-Hour'!K$198*'LBMP_by_Year-Month-Hour'!K210,$B$24*'LBMP_by_Year-Month-Hour'!K$230*'LBMP_by_Year-Month-Hour'!K242,$B$25*'LBMP_by_Year-Month-Hour'!K$262*'LBMP_by_Year-Month-Hour'!K274,$B$26*'LBMP_by_Year-Month-Hour'!K$294*'LBMP_by_Year-Month-Hour'!K306,$B$27*'LBMP_by_Year-Month-Hour'!K$326*'LBMP_by_Year-Month-Hour'!K338,$B$28*'LBMP_by_Year-Month-Hour'!K$358*'LBMP_by_Year-Month-Hour'!K370,$B$29*'LBMP_by_Year-Month-Hour'!K$390*'LBMP_by_Year-Month-Hour'!K402,$B$30*'LBMP_by_Year-Month-Hour'!K$422*'LBMP_by_Year-Month-Hour'!K434,$B$31*'LBMP_by_Year-Month-Hour'!K$454*'LBMP_by_Year-Month-Hour'!K466,$B$32*'LBMP_by_Year-Month-Hour'!K$486*'LBMP_by_Year-Month-Hour'!K498,$B$33*'LBMP_by_Year-Month-Hour'!K$518*'LBMP_by_Year-Month-Hour'!K530,$B$34*'LBMP_by_Year-Month-Hour'!K$550*'LBMP_by_Year-Month-Hour'!K562,$B$35*'LBMP_by_Year-Month-Hour'!K$582*'LBMP_by_Year-Month-Hour'!K594)*K27/$C$6/24</f>
        <v>0</v>
      </c>
      <c r="M89">
        <v>8</v>
      </c>
      <c r="N89">
        <f>NPV($C$7,$B$19*'LBMP_by_Year-Month-Hour'!N$70*'LBMP_by_Year-Month-Hour'!N82,$B$20*'LBMP_by_Year-Month-Hour'!N$102*'LBMP_by_Year-Month-Hour'!N114,$B$21*'LBMP_by_Year-Month-Hour'!N$134*'LBMP_by_Year-Month-Hour'!N146,$B$22*'LBMP_by_Year-Month-Hour'!N$166*'LBMP_by_Year-Month-Hour'!N178,$B$23*'LBMP_by_Year-Month-Hour'!N$198*'LBMP_by_Year-Month-Hour'!N210,$B$24*'LBMP_by_Year-Month-Hour'!N$230*'LBMP_by_Year-Month-Hour'!N242,$B$25*'LBMP_by_Year-Month-Hour'!N$262*'LBMP_by_Year-Month-Hour'!N274,$B$26*'LBMP_by_Year-Month-Hour'!N$294*'LBMP_by_Year-Month-Hour'!N306,$B$27*'LBMP_by_Year-Month-Hour'!N$326*'LBMP_by_Year-Month-Hour'!N338,$B$28*'LBMP_by_Year-Month-Hour'!N$358*'LBMP_by_Year-Month-Hour'!N370,$B$29*'LBMP_by_Year-Month-Hour'!N$390*'LBMP_by_Year-Month-Hour'!N402,$B$30*'LBMP_by_Year-Month-Hour'!N$422*'LBMP_by_Year-Month-Hour'!N434,$B$31*'LBMP_by_Year-Month-Hour'!N$454*'LBMP_by_Year-Month-Hour'!N466,$B$32*'LBMP_by_Year-Month-Hour'!N$486*'LBMP_by_Year-Month-Hour'!N498,$B$33*'LBMP_by_Year-Month-Hour'!N$518*'LBMP_by_Year-Month-Hour'!N530,$B$34*'LBMP_by_Year-Month-Hour'!N$550*'LBMP_by_Year-Month-Hour'!N562,$B$35*'LBMP_by_Year-Month-Hour'!N$582*'LBMP_by_Year-Month-Hour'!N594)*N27/$C$6/24</f>
        <v>0</v>
      </c>
      <c r="P89">
        <v>8</v>
      </c>
      <c r="Q89">
        <f>NPV($C$7,$B$19*'LBMP_by_Year-Month-Hour'!Q$70*'LBMP_by_Year-Month-Hour'!Q82,$B$20*'LBMP_by_Year-Month-Hour'!Q$102*'LBMP_by_Year-Month-Hour'!Q114,$B$21*'LBMP_by_Year-Month-Hour'!Q$134*'LBMP_by_Year-Month-Hour'!Q146,$B$22*'LBMP_by_Year-Month-Hour'!Q$166*'LBMP_by_Year-Month-Hour'!Q178,$B$23*'LBMP_by_Year-Month-Hour'!Q$198*'LBMP_by_Year-Month-Hour'!Q210,$B$24*'LBMP_by_Year-Month-Hour'!Q$230*'LBMP_by_Year-Month-Hour'!Q242,$B$25*'LBMP_by_Year-Month-Hour'!Q$262*'LBMP_by_Year-Month-Hour'!Q274,$B$26*'LBMP_by_Year-Month-Hour'!Q$294*'LBMP_by_Year-Month-Hour'!Q306,$B$27*'LBMP_by_Year-Month-Hour'!Q$326*'LBMP_by_Year-Month-Hour'!Q338,$B$28*'LBMP_by_Year-Month-Hour'!Q$358*'LBMP_by_Year-Month-Hour'!Q370,$B$29*'LBMP_by_Year-Month-Hour'!Q$390*'LBMP_by_Year-Month-Hour'!Q402,$B$30*'LBMP_by_Year-Month-Hour'!Q$422*'LBMP_by_Year-Month-Hour'!Q434,$B$31*'LBMP_by_Year-Month-Hour'!Q$454*'LBMP_by_Year-Month-Hour'!Q466,$B$32*'LBMP_by_Year-Month-Hour'!Q$486*'LBMP_by_Year-Month-Hour'!Q498,$B$33*'LBMP_by_Year-Month-Hour'!Q$518*'LBMP_by_Year-Month-Hour'!Q530,$B$34*'LBMP_by_Year-Month-Hour'!Q$550*'LBMP_by_Year-Month-Hour'!Q562,$B$35*'LBMP_by_Year-Month-Hour'!Q$582*'LBMP_by_Year-Month-Hour'!Q594)*Q27/$C$6/24</f>
        <v>0</v>
      </c>
      <c r="S89">
        <v>8</v>
      </c>
      <c r="T89">
        <f>NPV($C$7,$B$19*'LBMP_by_Year-Month-Hour'!T$70*'LBMP_by_Year-Month-Hour'!T82,$B$20*'LBMP_by_Year-Month-Hour'!T$102*'LBMP_by_Year-Month-Hour'!T114,$B$21*'LBMP_by_Year-Month-Hour'!T$134*'LBMP_by_Year-Month-Hour'!T146,$B$22*'LBMP_by_Year-Month-Hour'!T$166*'LBMP_by_Year-Month-Hour'!T178,$B$23*'LBMP_by_Year-Month-Hour'!T$198*'LBMP_by_Year-Month-Hour'!T210,$B$24*'LBMP_by_Year-Month-Hour'!T$230*'LBMP_by_Year-Month-Hour'!T242,$B$25*'LBMP_by_Year-Month-Hour'!T$262*'LBMP_by_Year-Month-Hour'!T274,$B$26*'LBMP_by_Year-Month-Hour'!T$294*'LBMP_by_Year-Month-Hour'!T306,$B$27*'LBMP_by_Year-Month-Hour'!T$326*'LBMP_by_Year-Month-Hour'!T338,$B$28*'LBMP_by_Year-Month-Hour'!T$358*'LBMP_by_Year-Month-Hour'!T370,$B$29*'LBMP_by_Year-Month-Hour'!T$390*'LBMP_by_Year-Month-Hour'!T402,$B$30*'LBMP_by_Year-Month-Hour'!T$422*'LBMP_by_Year-Month-Hour'!T434,$B$31*'LBMP_by_Year-Month-Hour'!T$454*'LBMP_by_Year-Month-Hour'!T466,$B$32*'LBMP_by_Year-Month-Hour'!T$486*'LBMP_by_Year-Month-Hour'!T498,$B$33*'LBMP_by_Year-Month-Hour'!T$518*'LBMP_by_Year-Month-Hour'!T530,$B$34*'LBMP_by_Year-Month-Hour'!T$550*'LBMP_by_Year-Month-Hour'!T562,$B$35*'LBMP_by_Year-Month-Hour'!T$582*'LBMP_by_Year-Month-Hour'!T594)*T27/$C$6/24</f>
        <v>0</v>
      </c>
      <c r="V89">
        <v>8</v>
      </c>
      <c r="W89">
        <f>NPV($C$7,$B$19*'LBMP_by_Year-Month-Hour'!W$70*'LBMP_by_Year-Month-Hour'!W82,$B$20*'LBMP_by_Year-Month-Hour'!W$102*'LBMP_by_Year-Month-Hour'!W114,$B$21*'LBMP_by_Year-Month-Hour'!W$134*'LBMP_by_Year-Month-Hour'!W146,$B$22*'LBMP_by_Year-Month-Hour'!W$166*'LBMP_by_Year-Month-Hour'!W178,$B$23*'LBMP_by_Year-Month-Hour'!W$198*'LBMP_by_Year-Month-Hour'!W210,$B$24*'LBMP_by_Year-Month-Hour'!W$230*'LBMP_by_Year-Month-Hour'!W242,$B$25*'LBMP_by_Year-Month-Hour'!W$262*'LBMP_by_Year-Month-Hour'!W274,$B$26*'LBMP_by_Year-Month-Hour'!W$294*'LBMP_by_Year-Month-Hour'!W306,$B$27*'LBMP_by_Year-Month-Hour'!W$326*'LBMP_by_Year-Month-Hour'!W338,$B$28*'LBMP_by_Year-Month-Hour'!W$358*'LBMP_by_Year-Month-Hour'!W370,$B$29*'LBMP_by_Year-Month-Hour'!W$390*'LBMP_by_Year-Month-Hour'!W402,$B$30*'LBMP_by_Year-Month-Hour'!W$422*'LBMP_by_Year-Month-Hour'!W434,$B$31*'LBMP_by_Year-Month-Hour'!W$454*'LBMP_by_Year-Month-Hour'!W466,$B$32*'LBMP_by_Year-Month-Hour'!W$486*'LBMP_by_Year-Month-Hour'!W498,$B$33*'LBMP_by_Year-Month-Hour'!W$518*'LBMP_by_Year-Month-Hour'!W530,$B$34*'LBMP_by_Year-Month-Hour'!W$550*'LBMP_by_Year-Month-Hour'!W562,$B$35*'LBMP_by_Year-Month-Hour'!W$582*'LBMP_by_Year-Month-Hour'!W594)*W27/$C$6/24</f>
        <v>0</v>
      </c>
      <c r="Y89">
        <v>8</v>
      </c>
      <c r="Z89">
        <f>NPV($C$7,$B$19*'LBMP_by_Year-Month-Hour'!Z$70*'LBMP_by_Year-Month-Hour'!Z82,$B$20*'LBMP_by_Year-Month-Hour'!Z$102*'LBMP_by_Year-Month-Hour'!Z114,$B$21*'LBMP_by_Year-Month-Hour'!Z$134*'LBMP_by_Year-Month-Hour'!Z146,$B$22*'LBMP_by_Year-Month-Hour'!Z$166*'LBMP_by_Year-Month-Hour'!Z178,$B$23*'LBMP_by_Year-Month-Hour'!Z$198*'LBMP_by_Year-Month-Hour'!Z210,$B$24*'LBMP_by_Year-Month-Hour'!Z$230*'LBMP_by_Year-Month-Hour'!Z242,$B$25*'LBMP_by_Year-Month-Hour'!Z$262*'LBMP_by_Year-Month-Hour'!Z274,$B$26*'LBMP_by_Year-Month-Hour'!Z$294*'LBMP_by_Year-Month-Hour'!Z306,$B$27*'LBMP_by_Year-Month-Hour'!Z$326*'LBMP_by_Year-Month-Hour'!Z338,$B$28*'LBMP_by_Year-Month-Hour'!Z$358*'LBMP_by_Year-Month-Hour'!Z370,$B$29*'LBMP_by_Year-Month-Hour'!Z$390*'LBMP_by_Year-Month-Hour'!Z402,$B$30*'LBMP_by_Year-Month-Hour'!Z$422*'LBMP_by_Year-Month-Hour'!Z434,$B$31*'LBMP_by_Year-Month-Hour'!Z$454*'LBMP_by_Year-Month-Hour'!Z466,$B$32*'LBMP_by_Year-Month-Hour'!Z$486*'LBMP_by_Year-Month-Hour'!Z498,$B$33*'LBMP_by_Year-Month-Hour'!Z$518*'LBMP_by_Year-Month-Hour'!Z530,$B$34*'LBMP_by_Year-Month-Hour'!Z$550*'LBMP_by_Year-Month-Hour'!Z562,$B$35*'LBMP_by_Year-Month-Hour'!Z$582*'LBMP_by_Year-Month-Hour'!Z594)*Z27/$C$6/24</f>
        <v>0</v>
      </c>
      <c r="AB89">
        <v>8</v>
      </c>
      <c r="AC89">
        <f>NPV($C$7,$B$19*'LBMP_by_Year-Month-Hour'!AC$70*'LBMP_by_Year-Month-Hour'!AC82,$B$20*'LBMP_by_Year-Month-Hour'!AC$102*'LBMP_by_Year-Month-Hour'!AC114,$B$21*'LBMP_by_Year-Month-Hour'!AC$134*'LBMP_by_Year-Month-Hour'!AC146,$B$22*'LBMP_by_Year-Month-Hour'!AC$166*'LBMP_by_Year-Month-Hour'!AC178,$B$23*'LBMP_by_Year-Month-Hour'!AC$198*'LBMP_by_Year-Month-Hour'!AC210,$B$24*'LBMP_by_Year-Month-Hour'!AC$230*'LBMP_by_Year-Month-Hour'!AC242,$B$25*'LBMP_by_Year-Month-Hour'!AC$262*'LBMP_by_Year-Month-Hour'!AC274,$B$26*'LBMP_by_Year-Month-Hour'!AC$294*'LBMP_by_Year-Month-Hour'!AC306,$B$27*'LBMP_by_Year-Month-Hour'!AC$326*'LBMP_by_Year-Month-Hour'!AC338,$B$28*'LBMP_by_Year-Month-Hour'!AC$358*'LBMP_by_Year-Month-Hour'!AC370,$B$29*'LBMP_by_Year-Month-Hour'!AC$390*'LBMP_by_Year-Month-Hour'!AC402,$B$30*'LBMP_by_Year-Month-Hour'!AC$422*'LBMP_by_Year-Month-Hour'!AC434,$B$31*'LBMP_by_Year-Month-Hour'!AC$454*'LBMP_by_Year-Month-Hour'!AC466,$B$32*'LBMP_by_Year-Month-Hour'!AC$486*'LBMP_by_Year-Month-Hour'!AC498,$B$33*'LBMP_by_Year-Month-Hour'!AC$518*'LBMP_by_Year-Month-Hour'!AC530,$B$34*'LBMP_by_Year-Month-Hour'!AC$550*'LBMP_by_Year-Month-Hour'!AC562,$B$35*'LBMP_by_Year-Month-Hour'!AC$582*'LBMP_by_Year-Month-Hour'!AC594)*AC27/$C$6/24</f>
        <v>0</v>
      </c>
      <c r="AE89">
        <v>8</v>
      </c>
      <c r="AF89">
        <f>NPV($C$7,$B$19*'LBMP_by_Year-Month-Hour'!AF$70*'LBMP_by_Year-Month-Hour'!AF82,$B$20*'LBMP_by_Year-Month-Hour'!AF$102*'LBMP_by_Year-Month-Hour'!AF114,$B$21*'LBMP_by_Year-Month-Hour'!AF$134*'LBMP_by_Year-Month-Hour'!AF146,$B$22*'LBMP_by_Year-Month-Hour'!AF$166*'LBMP_by_Year-Month-Hour'!AF178,$B$23*'LBMP_by_Year-Month-Hour'!AF$198*'LBMP_by_Year-Month-Hour'!AF210,$B$24*'LBMP_by_Year-Month-Hour'!AF$230*'LBMP_by_Year-Month-Hour'!AF242,$B$25*'LBMP_by_Year-Month-Hour'!AF$262*'LBMP_by_Year-Month-Hour'!AF274,$B$26*'LBMP_by_Year-Month-Hour'!AF$294*'LBMP_by_Year-Month-Hour'!AF306,$B$27*'LBMP_by_Year-Month-Hour'!AF$326*'LBMP_by_Year-Month-Hour'!AF338,$B$28*'LBMP_by_Year-Month-Hour'!AF$358*'LBMP_by_Year-Month-Hour'!AF370,$B$29*'LBMP_by_Year-Month-Hour'!AF$390*'LBMP_by_Year-Month-Hour'!AF402,$B$30*'LBMP_by_Year-Month-Hour'!AF$422*'LBMP_by_Year-Month-Hour'!AF434,$B$31*'LBMP_by_Year-Month-Hour'!AF$454*'LBMP_by_Year-Month-Hour'!AF466,$B$32*'LBMP_by_Year-Month-Hour'!AF$486*'LBMP_by_Year-Month-Hour'!AF498,$B$33*'LBMP_by_Year-Month-Hour'!AF$518*'LBMP_by_Year-Month-Hour'!AF530,$B$34*'LBMP_by_Year-Month-Hour'!AF$550*'LBMP_by_Year-Month-Hour'!AF562,$B$35*'LBMP_by_Year-Month-Hour'!AF$582*'LBMP_by_Year-Month-Hour'!AF594)*AF27/$C$6/24</f>
        <v>0</v>
      </c>
      <c r="AH89">
        <v>8</v>
      </c>
      <c r="AI89">
        <f>NPV($C$7,$B$19*'LBMP_by_Year-Month-Hour'!AI$70*'LBMP_by_Year-Month-Hour'!AI82,$B$20*'LBMP_by_Year-Month-Hour'!AI$102*'LBMP_by_Year-Month-Hour'!AI114,$B$21*'LBMP_by_Year-Month-Hour'!AI$134*'LBMP_by_Year-Month-Hour'!AI146,$B$22*'LBMP_by_Year-Month-Hour'!AI$166*'LBMP_by_Year-Month-Hour'!AI178,$B$23*'LBMP_by_Year-Month-Hour'!AI$198*'LBMP_by_Year-Month-Hour'!AI210,$B$24*'LBMP_by_Year-Month-Hour'!AI$230*'LBMP_by_Year-Month-Hour'!AI242,$B$25*'LBMP_by_Year-Month-Hour'!AI$262*'LBMP_by_Year-Month-Hour'!AI274,$B$26*'LBMP_by_Year-Month-Hour'!AI$294*'LBMP_by_Year-Month-Hour'!AI306,$B$27*'LBMP_by_Year-Month-Hour'!AI$326*'LBMP_by_Year-Month-Hour'!AI338,$B$28*'LBMP_by_Year-Month-Hour'!AI$358*'LBMP_by_Year-Month-Hour'!AI370,$B$29*'LBMP_by_Year-Month-Hour'!AI$390*'LBMP_by_Year-Month-Hour'!AI402,$B$30*'LBMP_by_Year-Month-Hour'!AI$422*'LBMP_by_Year-Month-Hour'!AI434,$B$31*'LBMP_by_Year-Month-Hour'!AI$454*'LBMP_by_Year-Month-Hour'!AI466,$B$32*'LBMP_by_Year-Month-Hour'!AI$486*'LBMP_by_Year-Month-Hour'!AI498,$B$33*'LBMP_by_Year-Month-Hour'!AI$518*'LBMP_by_Year-Month-Hour'!AI530,$B$34*'LBMP_by_Year-Month-Hour'!AI$550*'LBMP_by_Year-Month-Hour'!AI562,$B$35*'LBMP_by_Year-Month-Hour'!AI$582*'LBMP_by_Year-Month-Hour'!AI594)*AI27/$C$6/24</f>
        <v>0</v>
      </c>
      <c r="AK89">
        <v>8</v>
      </c>
      <c r="AL89">
        <f>NPV($C$7,$B$19*'LBMP_by_Year-Month-Hour'!AL$70*'LBMP_by_Year-Month-Hour'!AL82,$B$20*'LBMP_by_Year-Month-Hour'!AL$102*'LBMP_by_Year-Month-Hour'!AL114,$B$21*'LBMP_by_Year-Month-Hour'!AL$134*'LBMP_by_Year-Month-Hour'!AL146,$B$22*'LBMP_by_Year-Month-Hour'!AL$166*'LBMP_by_Year-Month-Hour'!AL178,$B$23*'LBMP_by_Year-Month-Hour'!AL$198*'LBMP_by_Year-Month-Hour'!AL210,$B$24*'LBMP_by_Year-Month-Hour'!AL$230*'LBMP_by_Year-Month-Hour'!AL242,$B$25*'LBMP_by_Year-Month-Hour'!AL$262*'LBMP_by_Year-Month-Hour'!AL274,$B$26*'LBMP_by_Year-Month-Hour'!AL$294*'LBMP_by_Year-Month-Hour'!AL306,$B$27*'LBMP_by_Year-Month-Hour'!AL$326*'LBMP_by_Year-Month-Hour'!AL338,$B$28*'LBMP_by_Year-Month-Hour'!AL$358*'LBMP_by_Year-Month-Hour'!AL370,$B$29*'LBMP_by_Year-Month-Hour'!AL$390*'LBMP_by_Year-Month-Hour'!AL402,$B$30*'LBMP_by_Year-Month-Hour'!AL$422*'LBMP_by_Year-Month-Hour'!AL434,$B$31*'LBMP_by_Year-Month-Hour'!AL$454*'LBMP_by_Year-Month-Hour'!AL466,$B$32*'LBMP_by_Year-Month-Hour'!AL$486*'LBMP_by_Year-Month-Hour'!AL498,$B$33*'LBMP_by_Year-Month-Hour'!AL$518*'LBMP_by_Year-Month-Hour'!AL530,$B$34*'LBMP_by_Year-Month-Hour'!AL$550*'LBMP_by_Year-Month-Hour'!AL562,$B$35*'LBMP_by_Year-Month-Hour'!AL$582*'LBMP_by_Year-Month-Hour'!AL594)*AL27/$C$6/24</f>
        <v>0</v>
      </c>
    </row>
    <row r="90" spans="1:38">
      <c r="A90">
        <v>9</v>
      </c>
      <c r="B90">
        <f t="shared" si="10"/>
        <v>0</v>
      </c>
      <c r="D90">
        <v>9</v>
      </c>
      <c r="E90">
        <f>NPV($C$7,$B$19*'LBMP_by_Year-Month-Hour'!E$70*'LBMP_by_Year-Month-Hour'!E83,$B$20*'LBMP_by_Year-Month-Hour'!E$102*'LBMP_by_Year-Month-Hour'!E115,$B$21*'LBMP_by_Year-Month-Hour'!E$134*'LBMP_by_Year-Month-Hour'!E147,$B$22*'LBMP_by_Year-Month-Hour'!E$166*'LBMP_by_Year-Month-Hour'!E179,$B$23*'LBMP_by_Year-Month-Hour'!E$198*'LBMP_by_Year-Month-Hour'!E211,$B$24*'LBMP_by_Year-Month-Hour'!E$230*'LBMP_by_Year-Month-Hour'!E243,$B$25*'LBMP_by_Year-Month-Hour'!E$262*'LBMP_by_Year-Month-Hour'!E275,$B$26*'LBMP_by_Year-Month-Hour'!E$294*'LBMP_by_Year-Month-Hour'!E307,$B$27*'LBMP_by_Year-Month-Hour'!E$326*'LBMP_by_Year-Month-Hour'!E339,$B$28*'LBMP_by_Year-Month-Hour'!E$358*'LBMP_by_Year-Month-Hour'!E371,$B$29*'LBMP_by_Year-Month-Hour'!E$390*'LBMP_by_Year-Month-Hour'!E403,$B$30*'LBMP_by_Year-Month-Hour'!E$422*'LBMP_by_Year-Month-Hour'!E435,$B$31*'LBMP_by_Year-Month-Hour'!E$454*'LBMP_by_Year-Month-Hour'!E467,$B$32*'LBMP_by_Year-Month-Hour'!E$486*'LBMP_by_Year-Month-Hour'!E499,$B$33*'LBMP_by_Year-Month-Hour'!E$518*'LBMP_by_Year-Month-Hour'!E531,$B$34*'LBMP_by_Year-Month-Hour'!E$550*'LBMP_by_Year-Month-Hour'!E563,$B$35*'LBMP_by_Year-Month-Hour'!E$582*'LBMP_by_Year-Month-Hour'!E595)*E28/$C$6/24</f>
        <v>0</v>
      </c>
      <c r="G90">
        <v>9</v>
      </c>
      <c r="H90">
        <f>NPV($C$7,$B$19*'LBMP_by_Year-Month-Hour'!H$70*'LBMP_by_Year-Month-Hour'!H83,$B$20*'LBMP_by_Year-Month-Hour'!H$102*'LBMP_by_Year-Month-Hour'!H115,$B$21*'LBMP_by_Year-Month-Hour'!H$134*'LBMP_by_Year-Month-Hour'!H147,$B$22*'LBMP_by_Year-Month-Hour'!H$166*'LBMP_by_Year-Month-Hour'!H179,$B$23*'LBMP_by_Year-Month-Hour'!H$198*'LBMP_by_Year-Month-Hour'!H211,$B$24*'LBMP_by_Year-Month-Hour'!H$230*'LBMP_by_Year-Month-Hour'!H243,$B$25*'LBMP_by_Year-Month-Hour'!H$262*'LBMP_by_Year-Month-Hour'!H275,$B$26*'LBMP_by_Year-Month-Hour'!H$294*'LBMP_by_Year-Month-Hour'!H307,$B$27*'LBMP_by_Year-Month-Hour'!H$326*'LBMP_by_Year-Month-Hour'!H339,$B$28*'LBMP_by_Year-Month-Hour'!H$358*'LBMP_by_Year-Month-Hour'!H371,$B$29*'LBMP_by_Year-Month-Hour'!H$390*'LBMP_by_Year-Month-Hour'!H403,$B$30*'LBMP_by_Year-Month-Hour'!H$422*'LBMP_by_Year-Month-Hour'!H435,$B$31*'LBMP_by_Year-Month-Hour'!H$454*'LBMP_by_Year-Month-Hour'!H467,$B$32*'LBMP_by_Year-Month-Hour'!H$486*'LBMP_by_Year-Month-Hour'!H499,$B$33*'LBMP_by_Year-Month-Hour'!H$518*'LBMP_by_Year-Month-Hour'!H531,$B$34*'LBMP_by_Year-Month-Hour'!H$550*'LBMP_by_Year-Month-Hour'!H563,$B$35*'LBMP_by_Year-Month-Hour'!H$582*'LBMP_by_Year-Month-Hour'!H595)*H28/$C$6/24</f>
        <v>0</v>
      </c>
      <c r="J90">
        <v>9</v>
      </c>
      <c r="K90">
        <f>NPV($C$7,$B$19*'LBMP_by_Year-Month-Hour'!K$70*'LBMP_by_Year-Month-Hour'!K83,$B$20*'LBMP_by_Year-Month-Hour'!K$102*'LBMP_by_Year-Month-Hour'!K115,$B$21*'LBMP_by_Year-Month-Hour'!K$134*'LBMP_by_Year-Month-Hour'!K147,$B$22*'LBMP_by_Year-Month-Hour'!K$166*'LBMP_by_Year-Month-Hour'!K179,$B$23*'LBMP_by_Year-Month-Hour'!K$198*'LBMP_by_Year-Month-Hour'!K211,$B$24*'LBMP_by_Year-Month-Hour'!K$230*'LBMP_by_Year-Month-Hour'!K243,$B$25*'LBMP_by_Year-Month-Hour'!K$262*'LBMP_by_Year-Month-Hour'!K275,$B$26*'LBMP_by_Year-Month-Hour'!K$294*'LBMP_by_Year-Month-Hour'!K307,$B$27*'LBMP_by_Year-Month-Hour'!K$326*'LBMP_by_Year-Month-Hour'!K339,$B$28*'LBMP_by_Year-Month-Hour'!K$358*'LBMP_by_Year-Month-Hour'!K371,$B$29*'LBMP_by_Year-Month-Hour'!K$390*'LBMP_by_Year-Month-Hour'!K403,$B$30*'LBMP_by_Year-Month-Hour'!K$422*'LBMP_by_Year-Month-Hour'!K435,$B$31*'LBMP_by_Year-Month-Hour'!K$454*'LBMP_by_Year-Month-Hour'!K467,$B$32*'LBMP_by_Year-Month-Hour'!K$486*'LBMP_by_Year-Month-Hour'!K499,$B$33*'LBMP_by_Year-Month-Hour'!K$518*'LBMP_by_Year-Month-Hour'!K531,$B$34*'LBMP_by_Year-Month-Hour'!K$550*'LBMP_by_Year-Month-Hour'!K563,$B$35*'LBMP_by_Year-Month-Hour'!K$582*'LBMP_by_Year-Month-Hour'!K595)*K28/$C$6/24</f>
        <v>0</v>
      </c>
      <c r="M90">
        <v>9</v>
      </c>
      <c r="N90">
        <f>NPV($C$7,$B$19*'LBMP_by_Year-Month-Hour'!N$70*'LBMP_by_Year-Month-Hour'!N83,$B$20*'LBMP_by_Year-Month-Hour'!N$102*'LBMP_by_Year-Month-Hour'!N115,$B$21*'LBMP_by_Year-Month-Hour'!N$134*'LBMP_by_Year-Month-Hour'!N147,$B$22*'LBMP_by_Year-Month-Hour'!N$166*'LBMP_by_Year-Month-Hour'!N179,$B$23*'LBMP_by_Year-Month-Hour'!N$198*'LBMP_by_Year-Month-Hour'!N211,$B$24*'LBMP_by_Year-Month-Hour'!N$230*'LBMP_by_Year-Month-Hour'!N243,$B$25*'LBMP_by_Year-Month-Hour'!N$262*'LBMP_by_Year-Month-Hour'!N275,$B$26*'LBMP_by_Year-Month-Hour'!N$294*'LBMP_by_Year-Month-Hour'!N307,$B$27*'LBMP_by_Year-Month-Hour'!N$326*'LBMP_by_Year-Month-Hour'!N339,$B$28*'LBMP_by_Year-Month-Hour'!N$358*'LBMP_by_Year-Month-Hour'!N371,$B$29*'LBMP_by_Year-Month-Hour'!N$390*'LBMP_by_Year-Month-Hour'!N403,$B$30*'LBMP_by_Year-Month-Hour'!N$422*'LBMP_by_Year-Month-Hour'!N435,$B$31*'LBMP_by_Year-Month-Hour'!N$454*'LBMP_by_Year-Month-Hour'!N467,$B$32*'LBMP_by_Year-Month-Hour'!N$486*'LBMP_by_Year-Month-Hour'!N499,$B$33*'LBMP_by_Year-Month-Hour'!N$518*'LBMP_by_Year-Month-Hour'!N531,$B$34*'LBMP_by_Year-Month-Hour'!N$550*'LBMP_by_Year-Month-Hour'!N563,$B$35*'LBMP_by_Year-Month-Hour'!N$582*'LBMP_by_Year-Month-Hour'!N595)*N28/$C$6/24</f>
        <v>0</v>
      </c>
      <c r="P90">
        <v>9</v>
      </c>
      <c r="Q90">
        <f>NPV($C$7,$B$19*'LBMP_by_Year-Month-Hour'!Q$70*'LBMP_by_Year-Month-Hour'!Q83,$B$20*'LBMP_by_Year-Month-Hour'!Q$102*'LBMP_by_Year-Month-Hour'!Q115,$B$21*'LBMP_by_Year-Month-Hour'!Q$134*'LBMP_by_Year-Month-Hour'!Q147,$B$22*'LBMP_by_Year-Month-Hour'!Q$166*'LBMP_by_Year-Month-Hour'!Q179,$B$23*'LBMP_by_Year-Month-Hour'!Q$198*'LBMP_by_Year-Month-Hour'!Q211,$B$24*'LBMP_by_Year-Month-Hour'!Q$230*'LBMP_by_Year-Month-Hour'!Q243,$B$25*'LBMP_by_Year-Month-Hour'!Q$262*'LBMP_by_Year-Month-Hour'!Q275,$B$26*'LBMP_by_Year-Month-Hour'!Q$294*'LBMP_by_Year-Month-Hour'!Q307,$B$27*'LBMP_by_Year-Month-Hour'!Q$326*'LBMP_by_Year-Month-Hour'!Q339,$B$28*'LBMP_by_Year-Month-Hour'!Q$358*'LBMP_by_Year-Month-Hour'!Q371,$B$29*'LBMP_by_Year-Month-Hour'!Q$390*'LBMP_by_Year-Month-Hour'!Q403,$B$30*'LBMP_by_Year-Month-Hour'!Q$422*'LBMP_by_Year-Month-Hour'!Q435,$B$31*'LBMP_by_Year-Month-Hour'!Q$454*'LBMP_by_Year-Month-Hour'!Q467,$B$32*'LBMP_by_Year-Month-Hour'!Q$486*'LBMP_by_Year-Month-Hour'!Q499,$B$33*'LBMP_by_Year-Month-Hour'!Q$518*'LBMP_by_Year-Month-Hour'!Q531,$B$34*'LBMP_by_Year-Month-Hour'!Q$550*'LBMP_by_Year-Month-Hour'!Q563,$B$35*'LBMP_by_Year-Month-Hour'!Q$582*'LBMP_by_Year-Month-Hour'!Q595)*Q28/$C$6/24</f>
        <v>0</v>
      </c>
      <c r="S90">
        <v>9</v>
      </c>
      <c r="T90">
        <f>NPV($C$7,$B$19*'LBMP_by_Year-Month-Hour'!T$70*'LBMP_by_Year-Month-Hour'!T83,$B$20*'LBMP_by_Year-Month-Hour'!T$102*'LBMP_by_Year-Month-Hour'!T115,$B$21*'LBMP_by_Year-Month-Hour'!T$134*'LBMP_by_Year-Month-Hour'!T147,$B$22*'LBMP_by_Year-Month-Hour'!T$166*'LBMP_by_Year-Month-Hour'!T179,$B$23*'LBMP_by_Year-Month-Hour'!T$198*'LBMP_by_Year-Month-Hour'!T211,$B$24*'LBMP_by_Year-Month-Hour'!T$230*'LBMP_by_Year-Month-Hour'!T243,$B$25*'LBMP_by_Year-Month-Hour'!T$262*'LBMP_by_Year-Month-Hour'!T275,$B$26*'LBMP_by_Year-Month-Hour'!T$294*'LBMP_by_Year-Month-Hour'!T307,$B$27*'LBMP_by_Year-Month-Hour'!T$326*'LBMP_by_Year-Month-Hour'!T339,$B$28*'LBMP_by_Year-Month-Hour'!T$358*'LBMP_by_Year-Month-Hour'!T371,$B$29*'LBMP_by_Year-Month-Hour'!T$390*'LBMP_by_Year-Month-Hour'!T403,$B$30*'LBMP_by_Year-Month-Hour'!T$422*'LBMP_by_Year-Month-Hour'!T435,$B$31*'LBMP_by_Year-Month-Hour'!T$454*'LBMP_by_Year-Month-Hour'!T467,$B$32*'LBMP_by_Year-Month-Hour'!T$486*'LBMP_by_Year-Month-Hour'!T499,$B$33*'LBMP_by_Year-Month-Hour'!T$518*'LBMP_by_Year-Month-Hour'!T531,$B$34*'LBMP_by_Year-Month-Hour'!T$550*'LBMP_by_Year-Month-Hour'!T563,$B$35*'LBMP_by_Year-Month-Hour'!T$582*'LBMP_by_Year-Month-Hour'!T595)*T28/$C$6/24</f>
        <v>0</v>
      </c>
      <c r="V90">
        <v>9</v>
      </c>
      <c r="W90">
        <f>NPV($C$7,$B$19*'LBMP_by_Year-Month-Hour'!W$70*'LBMP_by_Year-Month-Hour'!W83,$B$20*'LBMP_by_Year-Month-Hour'!W$102*'LBMP_by_Year-Month-Hour'!W115,$B$21*'LBMP_by_Year-Month-Hour'!W$134*'LBMP_by_Year-Month-Hour'!W147,$B$22*'LBMP_by_Year-Month-Hour'!W$166*'LBMP_by_Year-Month-Hour'!W179,$B$23*'LBMP_by_Year-Month-Hour'!W$198*'LBMP_by_Year-Month-Hour'!W211,$B$24*'LBMP_by_Year-Month-Hour'!W$230*'LBMP_by_Year-Month-Hour'!W243,$B$25*'LBMP_by_Year-Month-Hour'!W$262*'LBMP_by_Year-Month-Hour'!W275,$B$26*'LBMP_by_Year-Month-Hour'!W$294*'LBMP_by_Year-Month-Hour'!W307,$B$27*'LBMP_by_Year-Month-Hour'!W$326*'LBMP_by_Year-Month-Hour'!W339,$B$28*'LBMP_by_Year-Month-Hour'!W$358*'LBMP_by_Year-Month-Hour'!W371,$B$29*'LBMP_by_Year-Month-Hour'!W$390*'LBMP_by_Year-Month-Hour'!W403,$B$30*'LBMP_by_Year-Month-Hour'!W$422*'LBMP_by_Year-Month-Hour'!W435,$B$31*'LBMP_by_Year-Month-Hour'!W$454*'LBMP_by_Year-Month-Hour'!W467,$B$32*'LBMP_by_Year-Month-Hour'!W$486*'LBMP_by_Year-Month-Hour'!W499,$B$33*'LBMP_by_Year-Month-Hour'!W$518*'LBMP_by_Year-Month-Hour'!W531,$B$34*'LBMP_by_Year-Month-Hour'!W$550*'LBMP_by_Year-Month-Hour'!W563,$B$35*'LBMP_by_Year-Month-Hour'!W$582*'LBMP_by_Year-Month-Hour'!W595)*W28/$C$6/24</f>
        <v>0</v>
      </c>
      <c r="Y90">
        <v>9</v>
      </c>
      <c r="Z90">
        <f>NPV($C$7,$B$19*'LBMP_by_Year-Month-Hour'!Z$70*'LBMP_by_Year-Month-Hour'!Z83,$B$20*'LBMP_by_Year-Month-Hour'!Z$102*'LBMP_by_Year-Month-Hour'!Z115,$B$21*'LBMP_by_Year-Month-Hour'!Z$134*'LBMP_by_Year-Month-Hour'!Z147,$B$22*'LBMP_by_Year-Month-Hour'!Z$166*'LBMP_by_Year-Month-Hour'!Z179,$B$23*'LBMP_by_Year-Month-Hour'!Z$198*'LBMP_by_Year-Month-Hour'!Z211,$B$24*'LBMP_by_Year-Month-Hour'!Z$230*'LBMP_by_Year-Month-Hour'!Z243,$B$25*'LBMP_by_Year-Month-Hour'!Z$262*'LBMP_by_Year-Month-Hour'!Z275,$B$26*'LBMP_by_Year-Month-Hour'!Z$294*'LBMP_by_Year-Month-Hour'!Z307,$B$27*'LBMP_by_Year-Month-Hour'!Z$326*'LBMP_by_Year-Month-Hour'!Z339,$B$28*'LBMP_by_Year-Month-Hour'!Z$358*'LBMP_by_Year-Month-Hour'!Z371,$B$29*'LBMP_by_Year-Month-Hour'!Z$390*'LBMP_by_Year-Month-Hour'!Z403,$B$30*'LBMP_by_Year-Month-Hour'!Z$422*'LBMP_by_Year-Month-Hour'!Z435,$B$31*'LBMP_by_Year-Month-Hour'!Z$454*'LBMP_by_Year-Month-Hour'!Z467,$B$32*'LBMP_by_Year-Month-Hour'!Z$486*'LBMP_by_Year-Month-Hour'!Z499,$B$33*'LBMP_by_Year-Month-Hour'!Z$518*'LBMP_by_Year-Month-Hour'!Z531,$B$34*'LBMP_by_Year-Month-Hour'!Z$550*'LBMP_by_Year-Month-Hour'!Z563,$B$35*'LBMP_by_Year-Month-Hour'!Z$582*'LBMP_by_Year-Month-Hour'!Z595)*Z28/$C$6/24</f>
        <v>0</v>
      </c>
      <c r="AB90">
        <v>9</v>
      </c>
      <c r="AC90">
        <f>NPV($C$7,$B$19*'LBMP_by_Year-Month-Hour'!AC$70*'LBMP_by_Year-Month-Hour'!AC83,$B$20*'LBMP_by_Year-Month-Hour'!AC$102*'LBMP_by_Year-Month-Hour'!AC115,$B$21*'LBMP_by_Year-Month-Hour'!AC$134*'LBMP_by_Year-Month-Hour'!AC147,$B$22*'LBMP_by_Year-Month-Hour'!AC$166*'LBMP_by_Year-Month-Hour'!AC179,$B$23*'LBMP_by_Year-Month-Hour'!AC$198*'LBMP_by_Year-Month-Hour'!AC211,$B$24*'LBMP_by_Year-Month-Hour'!AC$230*'LBMP_by_Year-Month-Hour'!AC243,$B$25*'LBMP_by_Year-Month-Hour'!AC$262*'LBMP_by_Year-Month-Hour'!AC275,$B$26*'LBMP_by_Year-Month-Hour'!AC$294*'LBMP_by_Year-Month-Hour'!AC307,$B$27*'LBMP_by_Year-Month-Hour'!AC$326*'LBMP_by_Year-Month-Hour'!AC339,$B$28*'LBMP_by_Year-Month-Hour'!AC$358*'LBMP_by_Year-Month-Hour'!AC371,$B$29*'LBMP_by_Year-Month-Hour'!AC$390*'LBMP_by_Year-Month-Hour'!AC403,$B$30*'LBMP_by_Year-Month-Hour'!AC$422*'LBMP_by_Year-Month-Hour'!AC435,$B$31*'LBMP_by_Year-Month-Hour'!AC$454*'LBMP_by_Year-Month-Hour'!AC467,$B$32*'LBMP_by_Year-Month-Hour'!AC$486*'LBMP_by_Year-Month-Hour'!AC499,$B$33*'LBMP_by_Year-Month-Hour'!AC$518*'LBMP_by_Year-Month-Hour'!AC531,$B$34*'LBMP_by_Year-Month-Hour'!AC$550*'LBMP_by_Year-Month-Hour'!AC563,$B$35*'LBMP_by_Year-Month-Hour'!AC$582*'LBMP_by_Year-Month-Hour'!AC595)*AC28/$C$6/24</f>
        <v>0</v>
      </c>
      <c r="AE90">
        <v>9</v>
      </c>
      <c r="AF90">
        <f>NPV($C$7,$B$19*'LBMP_by_Year-Month-Hour'!AF$70*'LBMP_by_Year-Month-Hour'!AF83,$B$20*'LBMP_by_Year-Month-Hour'!AF$102*'LBMP_by_Year-Month-Hour'!AF115,$B$21*'LBMP_by_Year-Month-Hour'!AF$134*'LBMP_by_Year-Month-Hour'!AF147,$B$22*'LBMP_by_Year-Month-Hour'!AF$166*'LBMP_by_Year-Month-Hour'!AF179,$B$23*'LBMP_by_Year-Month-Hour'!AF$198*'LBMP_by_Year-Month-Hour'!AF211,$B$24*'LBMP_by_Year-Month-Hour'!AF$230*'LBMP_by_Year-Month-Hour'!AF243,$B$25*'LBMP_by_Year-Month-Hour'!AF$262*'LBMP_by_Year-Month-Hour'!AF275,$B$26*'LBMP_by_Year-Month-Hour'!AF$294*'LBMP_by_Year-Month-Hour'!AF307,$B$27*'LBMP_by_Year-Month-Hour'!AF$326*'LBMP_by_Year-Month-Hour'!AF339,$B$28*'LBMP_by_Year-Month-Hour'!AF$358*'LBMP_by_Year-Month-Hour'!AF371,$B$29*'LBMP_by_Year-Month-Hour'!AF$390*'LBMP_by_Year-Month-Hour'!AF403,$B$30*'LBMP_by_Year-Month-Hour'!AF$422*'LBMP_by_Year-Month-Hour'!AF435,$B$31*'LBMP_by_Year-Month-Hour'!AF$454*'LBMP_by_Year-Month-Hour'!AF467,$B$32*'LBMP_by_Year-Month-Hour'!AF$486*'LBMP_by_Year-Month-Hour'!AF499,$B$33*'LBMP_by_Year-Month-Hour'!AF$518*'LBMP_by_Year-Month-Hour'!AF531,$B$34*'LBMP_by_Year-Month-Hour'!AF$550*'LBMP_by_Year-Month-Hour'!AF563,$B$35*'LBMP_by_Year-Month-Hour'!AF$582*'LBMP_by_Year-Month-Hour'!AF595)*AF28/$C$6/24</f>
        <v>0</v>
      </c>
      <c r="AH90">
        <v>9</v>
      </c>
      <c r="AI90">
        <f>NPV($C$7,$B$19*'LBMP_by_Year-Month-Hour'!AI$70*'LBMP_by_Year-Month-Hour'!AI83,$B$20*'LBMP_by_Year-Month-Hour'!AI$102*'LBMP_by_Year-Month-Hour'!AI115,$B$21*'LBMP_by_Year-Month-Hour'!AI$134*'LBMP_by_Year-Month-Hour'!AI147,$B$22*'LBMP_by_Year-Month-Hour'!AI$166*'LBMP_by_Year-Month-Hour'!AI179,$B$23*'LBMP_by_Year-Month-Hour'!AI$198*'LBMP_by_Year-Month-Hour'!AI211,$B$24*'LBMP_by_Year-Month-Hour'!AI$230*'LBMP_by_Year-Month-Hour'!AI243,$B$25*'LBMP_by_Year-Month-Hour'!AI$262*'LBMP_by_Year-Month-Hour'!AI275,$B$26*'LBMP_by_Year-Month-Hour'!AI$294*'LBMP_by_Year-Month-Hour'!AI307,$B$27*'LBMP_by_Year-Month-Hour'!AI$326*'LBMP_by_Year-Month-Hour'!AI339,$B$28*'LBMP_by_Year-Month-Hour'!AI$358*'LBMP_by_Year-Month-Hour'!AI371,$B$29*'LBMP_by_Year-Month-Hour'!AI$390*'LBMP_by_Year-Month-Hour'!AI403,$B$30*'LBMP_by_Year-Month-Hour'!AI$422*'LBMP_by_Year-Month-Hour'!AI435,$B$31*'LBMP_by_Year-Month-Hour'!AI$454*'LBMP_by_Year-Month-Hour'!AI467,$B$32*'LBMP_by_Year-Month-Hour'!AI$486*'LBMP_by_Year-Month-Hour'!AI499,$B$33*'LBMP_by_Year-Month-Hour'!AI$518*'LBMP_by_Year-Month-Hour'!AI531,$B$34*'LBMP_by_Year-Month-Hour'!AI$550*'LBMP_by_Year-Month-Hour'!AI563,$B$35*'LBMP_by_Year-Month-Hour'!AI$582*'LBMP_by_Year-Month-Hour'!AI595)*AI28/$C$6/24</f>
        <v>0</v>
      </c>
      <c r="AK90">
        <v>9</v>
      </c>
      <c r="AL90">
        <f>NPV($C$7,$B$19*'LBMP_by_Year-Month-Hour'!AL$70*'LBMP_by_Year-Month-Hour'!AL83,$B$20*'LBMP_by_Year-Month-Hour'!AL$102*'LBMP_by_Year-Month-Hour'!AL115,$B$21*'LBMP_by_Year-Month-Hour'!AL$134*'LBMP_by_Year-Month-Hour'!AL147,$B$22*'LBMP_by_Year-Month-Hour'!AL$166*'LBMP_by_Year-Month-Hour'!AL179,$B$23*'LBMP_by_Year-Month-Hour'!AL$198*'LBMP_by_Year-Month-Hour'!AL211,$B$24*'LBMP_by_Year-Month-Hour'!AL$230*'LBMP_by_Year-Month-Hour'!AL243,$B$25*'LBMP_by_Year-Month-Hour'!AL$262*'LBMP_by_Year-Month-Hour'!AL275,$B$26*'LBMP_by_Year-Month-Hour'!AL$294*'LBMP_by_Year-Month-Hour'!AL307,$B$27*'LBMP_by_Year-Month-Hour'!AL$326*'LBMP_by_Year-Month-Hour'!AL339,$B$28*'LBMP_by_Year-Month-Hour'!AL$358*'LBMP_by_Year-Month-Hour'!AL371,$B$29*'LBMP_by_Year-Month-Hour'!AL$390*'LBMP_by_Year-Month-Hour'!AL403,$B$30*'LBMP_by_Year-Month-Hour'!AL$422*'LBMP_by_Year-Month-Hour'!AL435,$B$31*'LBMP_by_Year-Month-Hour'!AL$454*'LBMP_by_Year-Month-Hour'!AL467,$B$32*'LBMP_by_Year-Month-Hour'!AL$486*'LBMP_by_Year-Month-Hour'!AL499,$B$33*'LBMP_by_Year-Month-Hour'!AL$518*'LBMP_by_Year-Month-Hour'!AL531,$B$34*'LBMP_by_Year-Month-Hour'!AL$550*'LBMP_by_Year-Month-Hour'!AL563,$B$35*'LBMP_by_Year-Month-Hour'!AL$582*'LBMP_by_Year-Month-Hour'!AL595)*AL28/$C$6/24</f>
        <v>0</v>
      </c>
    </row>
    <row r="91" spans="1:38">
      <c r="A91">
        <v>10</v>
      </c>
      <c r="B91">
        <f t="shared" si="10"/>
        <v>0</v>
      </c>
      <c r="D91">
        <v>10</v>
      </c>
      <c r="E91">
        <f>NPV($C$7,$B$19*'LBMP_by_Year-Month-Hour'!E$70*'LBMP_by_Year-Month-Hour'!E84,$B$20*'LBMP_by_Year-Month-Hour'!E$102*'LBMP_by_Year-Month-Hour'!E116,$B$21*'LBMP_by_Year-Month-Hour'!E$134*'LBMP_by_Year-Month-Hour'!E148,$B$22*'LBMP_by_Year-Month-Hour'!E$166*'LBMP_by_Year-Month-Hour'!E180,$B$23*'LBMP_by_Year-Month-Hour'!E$198*'LBMP_by_Year-Month-Hour'!E212,$B$24*'LBMP_by_Year-Month-Hour'!E$230*'LBMP_by_Year-Month-Hour'!E244,$B$25*'LBMP_by_Year-Month-Hour'!E$262*'LBMP_by_Year-Month-Hour'!E276,$B$26*'LBMP_by_Year-Month-Hour'!E$294*'LBMP_by_Year-Month-Hour'!E308,$B$27*'LBMP_by_Year-Month-Hour'!E$326*'LBMP_by_Year-Month-Hour'!E340,$B$28*'LBMP_by_Year-Month-Hour'!E$358*'LBMP_by_Year-Month-Hour'!E372,$B$29*'LBMP_by_Year-Month-Hour'!E$390*'LBMP_by_Year-Month-Hour'!E404,$B$30*'LBMP_by_Year-Month-Hour'!E$422*'LBMP_by_Year-Month-Hour'!E436,$B$31*'LBMP_by_Year-Month-Hour'!E$454*'LBMP_by_Year-Month-Hour'!E468,$B$32*'LBMP_by_Year-Month-Hour'!E$486*'LBMP_by_Year-Month-Hour'!E500,$B$33*'LBMP_by_Year-Month-Hour'!E$518*'LBMP_by_Year-Month-Hour'!E532,$B$34*'LBMP_by_Year-Month-Hour'!E$550*'LBMP_by_Year-Month-Hour'!E564,$B$35*'LBMP_by_Year-Month-Hour'!E$582*'LBMP_by_Year-Month-Hour'!E596)*E29/$C$6/24</f>
        <v>0</v>
      </c>
      <c r="G91">
        <v>10</v>
      </c>
      <c r="H91">
        <f>NPV($C$7,$B$19*'LBMP_by_Year-Month-Hour'!H$70*'LBMP_by_Year-Month-Hour'!H84,$B$20*'LBMP_by_Year-Month-Hour'!H$102*'LBMP_by_Year-Month-Hour'!H116,$B$21*'LBMP_by_Year-Month-Hour'!H$134*'LBMP_by_Year-Month-Hour'!H148,$B$22*'LBMP_by_Year-Month-Hour'!H$166*'LBMP_by_Year-Month-Hour'!H180,$B$23*'LBMP_by_Year-Month-Hour'!H$198*'LBMP_by_Year-Month-Hour'!H212,$B$24*'LBMP_by_Year-Month-Hour'!H$230*'LBMP_by_Year-Month-Hour'!H244,$B$25*'LBMP_by_Year-Month-Hour'!H$262*'LBMP_by_Year-Month-Hour'!H276,$B$26*'LBMP_by_Year-Month-Hour'!H$294*'LBMP_by_Year-Month-Hour'!H308,$B$27*'LBMP_by_Year-Month-Hour'!H$326*'LBMP_by_Year-Month-Hour'!H340,$B$28*'LBMP_by_Year-Month-Hour'!H$358*'LBMP_by_Year-Month-Hour'!H372,$B$29*'LBMP_by_Year-Month-Hour'!H$390*'LBMP_by_Year-Month-Hour'!H404,$B$30*'LBMP_by_Year-Month-Hour'!H$422*'LBMP_by_Year-Month-Hour'!H436,$B$31*'LBMP_by_Year-Month-Hour'!H$454*'LBMP_by_Year-Month-Hour'!H468,$B$32*'LBMP_by_Year-Month-Hour'!H$486*'LBMP_by_Year-Month-Hour'!H500,$B$33*'LBMP_by_Year-Month-Hour'!H$518*'LBMP_by_Year-Month-Hour'!H532,$B$34*'LBMP_by_Year-Month-Hour'!H$550*'LBMP_by_Year-Month-Hour'!H564,$B$35*'LBMP_by_Year-Month-Hour'!H$582*'LBMP_by_Year-Month-Hour'!H596)*H29/$C$6/24</f>
        <v>0</v>
      </c>
      <c r="J91">
        <v>10</v>
      </c>
      <c r="K91">
        <f>NPV($C$7,$B$19*'LBMP_by_Year-Month-Hour'!K$70*'LBMP_by_Year-Month-Hour'!K84,$B$20*'LBMP_by_Year-Month-Hour'!K$102*'LBMP_by_Year-Month-Hour'!K116,$B$21*'LBMP_by_Year-Month-Hour'!K$134*'LBMP_by_Year-Month-Hour'!K148,$B$22*'LBMP_by_Year-Month-Hour'!K$166*'LBMP_by_Year-Month-Hour'!K180,$B$23*'LBMP_by_Year-Month-Hour'!K$198*'LBMP_by_Year-Month-Hour'!K212,$B$24*'LBMP_by_Year-Month-Hour'!K$230*'LBMP_by_Year-Month-Hour'!K244,$B$25*'LBMP_by_Year-Month-Hour'!K$262*'LBMP_by_Year-Month-Hour'!K276,$B$26*'LBMP_by_Year-Month-Hour'!K$294*'LBMP_by_Year-Month-Hour'!K308,$B$27*'LBMP_by_Year-Month-Hour'!K$326*'LBMP_by_Year-Month-Hour'!K340,$B$28*'LBMP_by_Year-Month-Hour'!K$358*'LBMP_by_Year-Month-Hour'!K372,$B$29*'LBMP_by_Year-Month-Hour'!K$390*'LBMP_by_Year-Month-Hour'!K404,$B$30*'LBMP_by_Year-Month-Hour'!K$422*'LBMP_by_Year-Month-Hour'!K436,$B$31*'LBMP_by_Year-Month-Hour'!K$454*'LBMP_by_Year-Month-Hour'!K468,$B$32*'LBMP_by_Year-Month-Hour'!K$486*'LBMP_by_Year-Month-Hour'!K500,$B$33*'LBMP_by_Year-Month-Hour'!K$518*'LBMP_by_Year-Month-Hour'!K532,$B$34*'LBMP_by_Year-Month-Hour'!K$550*'LBMP_by_Year-Month-Hour'!K564,$B$35*'LBMP_by_Year-Month-Hour'!K$582*'LBMP_by_Year-Month-Hour'!K596)*K29/$C$6/24</f>
        <v>0</v>
      </c>
      <c r="M91">
        <v>10</v>
      </c>
      <c r="N91">
        <f>NPV($C$7,$B$19*'LBMP_by_Year-Month-Hour'!N$70*'LBMP_by_Year-Month-Hour'!N84,$B$20*'LBMP_by_Year-Month-Hour'!N$102*'LBMP_by_Year-Month-Hour'!N116,$B$21*'LBMP_by_Year-Month-Hour'!N$134*'LBMP_by_Year-Month-Hour'!N148,$B$22*'LBMP_by_Year-Month-Hour'!N$166*'LBMP_by_Year-Month-Hour'!N180,$B$23*'LBMP_by_Year-Month-Hour'!N$198*'LBMP_by_Year-Month-Hour'!N212,$B$24*'LBMP_by_Year-Month-Hour'!N$230*'LBMP_by_Year-Month-Hour'!N244,$B$25*'LBMP_by_Year-Month-Hour'!N$262*'LBMP_by_Year-Month-Hour'!N276,$B$26*'LBMP_by_Year-Month-Hour'!N$294*'LBMP_by_Year-Month-Hour'!N308,$B$27*'LBMP_by_Year-Month-Hour'!N$326*'LBMP_by_Year-Month-Hour'!N340,$B$28*'LBMP_by_Year-Month-Hour'!N$358*'LBMP_by_Year-Month-Hour'!N372,$B$29*'LBMP_by_Year-Month-Hour'!N$390*'LBMP_by_Year-Month-Hour'!N404,$B$30*'LBMP_by_Year-Month-Hour'!N$422*'LBMP_by_Year-Month-Hour'!N436,$B$31*'LBMP_by_Year-Month-Hour'!N$454*'LBMP_by_Year-Month-Hour'!N468,$B$32*'LBMP_by_Year-Month-Hour'!N$486*'LBMP_by_Year-Month-Hour'!N500,$B$33*'LBMP_by_Year-Month-Hour'!N$518*'LBMP_by_Year-Month-Hour'!N532,$B$34*'LBMP_by_Year-Month-Hour'!N$550*'LBMP_by_Year-Month-Hour'!N564,$B$35*'LBMP_by_Year-Month-Hour'!N$582*'LBMP_by_Year-Month-Hour'!N596)*N29/$C$6/24</f>
        <v>0</v>
      </c>
      <c r="P91">
        <v>10</v>
      </c>
      <c r="Q91">
        <f>NPV($C$7,$B$19*'LBMP_by_Year-Month-Hour'!Q$70*'LBMP_by_Year-Month-Hour'!Q84,$B$20*'LBMP_by_Year-Month-Hour'!Q$102*'LBMP_by_Year-Month-Hour'!Q116,$B$21*'LBMP_by_Year-Month-Hour'!Q$134*'LBMP_by_Year-Month-Hour'!Q148,$B$22*'LBMP_by_Year-Month-Hour'!Q$166*'LBMP_by_Year-Month-Hour'!Q180,$B$23*'LBMP_by_Year-Month-Hour'!Q$198*'LBMP_by_Year-Month-Hour'!Q212,$B$24*'LBMP_by_Year-Month-Hour'!Q$230*'LBMP_by_Year-Month-Hour'!Q244,$B$25*'LBMP_by_Year-Month-Hour'!Q$262*'LBMP_by_Year-Month-Hour'!Q276,$B$26*'LBMP_by_Year-Month-Hour'!Q$294*'LBMP_by_Year-Month-Hour'!Q308,$B$27*'LBMP_by_Year-Month-Hour'!Q$326*'LBMP_by_Year-Month-Hour'!Q340,$B$28*'LBMP_by_Year-Month-Hour'!Q$358*'LBMP_by_Year-Month-Hour'!Q372,$B$29*'LBMP_by_Year-Month-Hour'!Q$390*'LBMP_by_Year-Month-Hour'!Q404,$B$30*'LBMP_by_Year-Month-Hour'!Q$422*'LBMP_by_Year-Month-Hour'!Q436,$B$31*'LBMP_by_Year-Month-Hour'!Q$454*'LBMP_by_Year-Month-Hour'!Q468,$B$32*'LBMP_by_Year-Month-Hour'!Q$486*'LBMP_by_Year-Month-Hour'!Q500,$B$33*'LBMP_by_Year-Month-Hour'!Q$518*'LBMP_by_Year-Month-Hour'!Q532,$B$34*'LBMP_by_Year-Month-Hour'!Q$550*'LBMP_by_Year-Month-Hour'!Q564,$B$35*'LBMP_by_Year-Month-Hour'!Q$582*'LBMP_by_Year-Month-Hour'!Q596)*Q29/$C$6/24</f>
        <v>0</v>
      </c>
      <c r="S91">
        <v>10</v>
      </c>
      <c r="T91">
        <f>NPV($C$7,$B$19*'LBMP_by_Year-Month-Hour'!T$70*'LBMP_by_Year-Month-Hour'!T84,$B$20*'LBMP_by_Year-Month-Hour'!T$102*'LBMP_by_Year-Month-Hour'!T116,$B$21*'LBMP_by_Year-Month-Hour'!T$134*'LBMP_by_Year-Month-Hour'!T148,$B$22*'LBMP_by_Year-Month-Hour'!T$166*'LBMP_by_Year-Month-Hour'!T180,$B$23*'LBMP_by_Year-Month-Hour'!T$198*'LBMP_by_Year-Month-Hour'!T212,$B$24*'LBMP_by_Year-Month-Hour'!T$230*'LBMP_by_Year-Month-Hour'!T244,$B$25*'LBMP_by_Year-Month-Hour'!T$262*'LBMP_by_Year-Month-Hour'!T276,$B$26*'LBMP_by_Year-Month-Hour'!T$294*'LBMP_by_Year-Month-Hour'!T308,$B$27*'LBMP_by_Year-Month-Hour'!T$326*'LBMP_by_Year-Month-Hour'!T340,$B$28*'LBMP_by_Year-Month-Hour'!T$358*'LBMP_by_Year-Month-Hour'!T372,$B$29*'LBMP_by_Year-Month-Hour'!T$390*'LBMP_by_Year-Month-Hour'!T404,$B$30*'LBMP_by_Year-Month-Hour'!T$422*'LBMP_by_Year-Month-Hour'!T436,$B$31*'LBMP_by_Year-Month-Hour'!T$454*'LBMP_by_Year-Month-Hour'!T468,$B$32*'LBMP_by_Year-Month-Hour'!T$486*'LBMP_by_Year-Month-Hour'!T500,$B$33*'LBMP_by_Year-Month-Hour'!T$518*'LBMP_by_Year-Month-Hour'!T532,$B$34*'LBMP_by_Year-Month-Hour'!T$550*'LBMP_by_Year-Month-Hour'!T564,$B$35*'LBMP_by_Year-Month-Hour'!T$582*'LBMP_by_Year-Month-Hour'!T596)*T29/$C$6/24</f>
        <v>0</v>
      </c>
      <c r="V91">
        <v>10</v>
      </c>
      <c r="W91">
        <f>NPV($C$7,$B$19*'LBMP_by_Year-Month-Hour'!W$70*'LBMP_by_Year-Month-Hour'!W84,$B$20*'LBMP_by_Year-Month-Hour'!W$102*'LBMP_by_Year-Month-Hour'!W116,$B$21*'LBMP_by_Year-Month-Hour'!W$134*'LBMP_by_Year-Month-Hour'!W148,$B$22*'LBMP_by_Year-Month-Hour'!W$166*'LBMP_by_Year-Month-Hour'!W180,$B$23*'LBMP_by_Year-Month-Hour'!W$198*'LBMP_by_Year-Month-Hour'!W212,$B$24*'LBMP_by_Year-Month-Hour'!W$230*'LBMP_by_Year-Month-Hour'!W244,$B$25*'LBMP_by_Year-Month-Hour'!W$262*'LBMP_by_Year-Month-Hour'!W276,$B$26*'LBMP_by_Year-Month-Hour'!W$294*'LBMP_by_Year-Month-Hour'!W308,$B$27*'LBMP_by_Year-Month-Hour'!W$326*'LBMP_by_Year-Month-Hour'!W340,$B$28*'LBMP_by_Year-Month-Hour'!W$358*'LBMP_by_Year-Month-Hour'!W372,$B$29*'LBMP_by_Year-Month-Hour'!W$390*'LBMP_by_Year-Month-Hour'!W404,$B$30*'LBMP_by_Year-Month-Hour'!W$422*'LBMP_by_Year-Month-Hour'!W436,$B$31*'LBMP_by_Year-Month-Hour'!W$454*'LBMP_by_Year-Month-Hour'!W468,$B$32*'LBMP_by_Year-Month-Hour'!W$486*'LBMP_by_Year-Month-Hour'!W500,$B$33*'LBMP_by_Year-Month-Hour'!W$518*'LBMP_by_Year-Month-Hour'!W532,$B$34*'LBMP_by_Year-Month-Hour'!W$550*'LBMP_by_Year-Month-Hour'!W564,$B$35*'LBMP_by_Year-Month-Hour'!W$582*'LBMP_by_Year-Month-Hour'!W596)*W29/$C$6/24</f>
        <v>0</v>
      </c>
      <c r="Y91">
        <v>10</v>
      </c>
      <c r="Z91">
        <f>NPV($C$7,$B$19*'LBMP_by_Year-Month-Hour'!Z$70*'LBMP_by_Year-Month-Hour'!Z84,$B$20*'LBMP_by_Year-Month-Hour'!Z$102*'LBMP_by_Year-Month-Hour'!Z116,$B$21*'LBMP_by_Year-Month-Hour'!Z$134*'LBMP_by_Year-Month-Hour'!Z148,$B$22*'LBMP_by_Year-Month-Hour'!Z$166*'LBMP_by_Year-Month-Hour'!Z180,$B$23*'LBMP_by_Year-Month-Hour'!Z$198*'LBMP_by_Year-Month-Hour'!Z212,$B$24*'LBMP_by_Year-Month-Hour'!Z$230*'LBMP_by_Year-Month-Hour'!Z244,$B$25*'LBMP_by_Year-Month-Hour'!Z$262*'LBMP_by_Year-Month-Hour'!Z276,$B$26*'LBMP_by_Year-Month-Hour'!Z$294*'LBMP_by_Year-Month-Hour'!Z308,$B$27*'LBMP_by_Year-Month-Hour'!Z$326*'LBMP_by_Year-Month-Hour'!Z340,$B$28*'LBMP_by_Year-Month-Hour'!Z$358*'LBMP_by_Year-Month-Hour'!Z372,$B$29*'LBMP_by_Year-Month-Hour'!Z$390*'LBMP_by_Year-Month-Hour'!Z404,$B$30*'LBMP_by_Year-Month-Hour'!Z$422*'LBMP_by_Year-Month-Hour'!Z436,$B$31*'LBMP_by_Year-Month-Hour'!Z$454*'LBMP_by_Year-Month-Hour'!Z468,$B$32*'LBMP_by_Year-Month-Hour'!Z$486*'LBMP_by_Year-Month-Hour'!Z500,$B$33*'LBMP_by_Year-Month-Hour'!Z$518*'LBMP_by_Year-Month-Hour'!Z532,$B$34*'LBMP_by_Year-Month-Hour'!Z$550*'LBMP_by_Year-Month-Hour'!Z564,$B$35*'LBMP_by_Year-Month-Hour'!Z$582*'LBMP_by_Year-Month-Hour'!Z596)*Z29/$C$6/24</f>
        <v>0</v>
      </c>
      <c r="AB91">
        <v>10</v>
      </c>
      <c r="AC91">
        <f>NPV($C$7,$B$19*'LBMP_by_Year-Month-Hour'!AC$70*'LBMP_by_Year-Month-Hour'!AC84,$B$20*'LBMP_by_Year-Month-Hour'!AC$102*'LBMP_by_Year-Month-Hour'!AC116,$B$21*'LBMP_by_Year-Month-Hour'!AC$134*'LBMP_by_Year-Month-Hour'!AC148,$B$22*'LBMP_by_Year-Month-Hour'!AC$166*'LBMP_by_Year-Month-Hour'!AC180,$B$23*'LBMP_by_Year-Month-Hour'!AC$198*'LBMP_by_Year-Month-Hour'!AC212,$B$24*'LBMP_by_Year-Month-Hour'!AC$230*'LBMP_by_Year-Month-Hour'!AC244,$B$25*'LBMP_by_Year-Month-Hour'!AC$262*'LBMP_by_Year-Month-Hour'!AC276,$B$26*'LBMP_by_Year-Month-Hour'!AC$294*'LBMP_by_Year-Month-Hour'!AC308,$B$27*'LBMP_by_Year-Month-Hour'!AC$326*'LBMP_by_Year-Month-Hour'!AC340,$B$28*'LBMP_by_Year-Month-Hour'!AC$358*'LBMP_by_Year-Month-Hour'!AC372,$B$29*'LBMP_by_Year-Month-Hour'!AC$390*'LBMP_by_Year-Month-Hour'!AC404,$B$30*'LBMP_by_Year-Month-Hour'!AC$422*'LBMP_by_Year-Month-Hour'!AC436,$B$31*'LBMP_by_Year-Month-Hour'!AC$454*'LBMP_by_Year-Month-Hour'!AC468,$B$32*'LBMP_by_Year-Month-Hour'!AC$486*'LBMP_by_Year-Month-Hour'!AC500,$B$33*'LBMP_by_Year-Month-Hour'!AC$518*'LBMP_by_Year-Month-Hour'!AC532,$B$34*'LBMP_by_Year-Month-Hour'!AC$550*'LBMP_by_Year-Month-Hour'!AC564,$B$35*'LBMP_by_Year-Month-Hour'!AC$582*'LBMP_by_Year-Month-Hour'!AC596)*AC29/$C$6/24</f>
        <v>0</v>
      </c>
      <c r="AE91">
        <v>10</v>
      </c>
      <c r="AF91">
        <f>NPV($C$7,$B$19*'LBMP_by_Year-Month-Hour'!AF$70*'LBMP_by_Year-Month-Hour'!AF84,$B$20*'LBMP_by_Year-Month-Hour'!AF$102*'LBMP_by_Year-Month-Hour'!AF116,$B$21*'LBMP_by_Year-Month-Hour'!AF$134*'LBMP_by_Year-Month-Hour'!AF148,$B$22*'LBMP_by_Year-Month-Hour'!AF$166*'LBMP_by_Year-Month-Hour'!AF180,$B$23*'LBMP_by_Year-Month-Hour'!AF$198*'LBMP_by_Year-Month-Hour'!AF212,$B$24*'LBMP_by_Year-Month-Hour'!AF$230*'LBMP_by_Year-Month-Hour'!AF244,$B$25*'LBMP_by_Year-Month-Hour'!AF$262*'LBMP_by_Year-Month-Hour'!AF276,$B$26*'LBMP_by_Year-Month-Hour'!AF$294*'LBMP_by_Year-Month-Hour'!AF308,$B$27*'LBMP_by_Year-Month-Hour'!AF$326*'LBMP_by_Year-Month-Hour'!AF340,$B$28*'LBMP_by_Year-Month-Hour'!AF$358*'LBMP_by_Year-Month-Hour'!AF372,$B$29*'LBMP_by_Year-Month-Hour'!AF$390*'LBMP_by_Year-Month-Hour'!AF404,$B$30*'LBMP_by_Year-Month-Hour'!AF$422*'LBMP_by_Year-Month-Hour'!AF436,$B$31*'LBMP_by_Year-Month-Hour'!AF$454*'LBMP_by_Year-Month-Hour'!AF468,$B$32*'LBMP_by_Year-Month-Hour'!AF$486*'LBMP_by_Year-Month-Hour'!AF500,$B$33*'LBMP_by_Year-Month-Hour'!AF$518*'LBMP_by_Year-Month-Hour'!AF532,$B$34*'LBMP_by_Year-Month-Hour'!AF$550*'LBMP_by_Year-Month-Hour'!AF564,$B$35*'LBMP_by_Year-Month-Hour'!AF$582*'LBMP_by_Year-Month-Hour'!AF596)*AF29/$C$6/24</f>
        <v>0</v>
      </c>
      <c r="AH91">
        <v>10</v>
      </c>
      <c r="AI91">
        <f>NPV($C$7,$B$19*'LBMP_by_Year-Month-Hour'!AI$70*'LBMP_by_Year-Month-Hour'!AI84,$B$20*'LBMP_by_Year-Month-Hour'!AI$102*'LBMP_by_Year-Month-Hour'!AI116,$B$21*'LBMP_by_Year-Month-Hour'!AI$134*'LBMP_by_Year-Month-Hour'!AI148,$B$22*'LBMP_by_Year-Month-Hour'!AI$166*'LBMP_by_Year-Month-Hour'!AI180,$B$23*'LBMP_by_Year-Month-Hour'!AI$198*'LBMP_by_Year-Month-Hour'!AI212,$B$24*'LBMP_by_Year-Month-Hour'!AI$230*'LBMP_by_Year-Month-Hour'!AI244,$B$25*'LBMP_by_Year-Month-Hour'!AI$262*'LBMP_by_Year-Month-Hour'!AI276,$B$26*'LBMP_by_Year-Month-Hour'!AI$294*'LBMP_by_Year-Month-Hour'!AI308,$B$27*'LBMP_by_Year-Month-Hour'!AI$326*'LBMP_by_Year-Month-Hour'!AI340,$B$28*'LBMP_by_Year-Month-Hour'!AI$358*'LBMP_by_Year-Month-Hour'!AI372,$B$29*'LBMP_by_Year-Month-Hour'!AI$390*'LBMP_by_Year-Month-Hour'!AI404,$B$30*'LBMP_by_Year-Month-Hour'!AI$422*'LBMP_by_Year-Month-Hour'!AI436,$B$31*'LBMP_by_Year-Month-Hour'!AI$454*'LBMP_by_Year-Month-Hour'!AI468,$B$32*'LBMP_by_Year-Month-Hour'!AI$486*'LBMP_by_Year-Month-Hour'!AI500,$B$33*'LBMP_by_Year-Month-Hour'!AI$518*'LBMP_by_Year-Month-Hour'!AI532,$B$34*'LBMP_by_Year-Month-Hour'!AI$550*'LBMP_by_Year-Month-Hour'!AI564,$B$35*'LBMP_by_Year-Month-Hour'!AI$582*'LBMP_by_Year-Month-Hour'!AI596)*AI29/$C$6/24</f>
        <v>0</v>
      </c>
      <c r="AK91">
        <v>10</v>
      </c>
      <c r="AL91">
        <f>NPV($C$7,$B$19*'LBMP_by_Year-Month-Hour'!AL$70*'LBMP_by_Year-Month-Hour'!AL84,$B$20*'LBMP_by_Year-Month-Hour'!AL$102*'LBMP_by_Year-Month-Hour'!AL116,$B$21*'LBMP_by_Year-Month-Hour'!AL$134*'LBMP_by_Year-Month-Hour'!AL148,$B$22*'LBMP_by_Year-Month-Hour'!AL$166*'LBMP_by_Year-Month-Hour'!AL180,$B$23*'LBMP_by_Year-Month-Hour'!AL$198*'LBMP_by_Year-Month-Hour'!AL212,$B$24*'LBMP_by_Year-Month-Hour'!AL$230*'LBMP_by_Year-Month-Hour'!AL244,$B$25*'LBMP_by_Year-Month-Hour'!AL$262*'LBMP_by_Year-Month-Hour'!AL276,$B$26*'LBMP_by_Year-Month-Hour'!AL$294*'LBMP_by_Year-Month-Hour'!AL308,$B$27*'LBMP_by_Year-Month-Hour'!AL$326*'LBMP_by_Year-Month-Hour'!AL340,$B$28*'LBMP_by_Year-Month-Hour'!AL$358*'LBMP_by_Year-Month-Hour'!AL372,$B$29*'LBMP_by_Year-Month-Hour'!AL$390*'LBMP_by_Year-Month-Hour'!AL404,$B$30*'LBMP_by_Year-Month-Hour'!AL$422*'LBMP_by_Year-Month-Hour'!AL436,$B$31*'LBMP_by_Year-Month-Hour'!AL$454*'LBMP_by_Year-Month-Hour'!AL468,$B$32*'LBMP_by_Year-Month-Hour'!AL$486*'LBMP_by_Year-Month-Hour'!AL500,$B$33*'LBMP_by_Year-Month-Hour'!AL$518*'LBMP_by_Year-Month-Hour'!AL532,$B$34*'LBMP_by_Year-Month-Hour'!AL$550*'LBMP_by_Year-Month-Hour'!AL564,$B$35*'LBMP_by_Year-Month-Hour'!AL$582*'LBMP_by_Year-Month-Hour'!AL596)*AL29/$C$6/24</f>
        <v>0</v>
      </c>
    </row>
    <row r="92" spans="1:38">
      <c r="A92">
        <v>11</v>
      </c>
      <c r="B92">
        <f t="shared" si="10"/>
        <v>0</v>
      </c>
      <c r="D92">
        <v>11</v>
      </c>
      <c r="E92">
        <f>NPV($C$7,$B$19*'LBMP_by_Year-Month-Hour'!E$70*'LBMP_by_Year-Month-Hour'!E85,$B$20*'LBMP_by_Year-Month-Hour'!E$102*'LBMP_by_Year-Month-Hour'!E117,$B$21*'LBMP_by_Year-Month-Hour'!E$134*'LBMP_by_Year-Month-Hour'!E149,$B$22*'LBMP_by_Year-Month-Hour'!E$166*'LBMP_by_Year-Month-Hour'!E181,$B$23*'LBMP_by_Year-Month-Hour'!E$198*'LBMP_by_Year-Month-Hour'!E213,$B$24*'LBMP_by_Year-Month-Hour'!E$230*'LBMP_by_Year-Month-Hour'!E245,$B$25*'LBMP_by_Year-Month-Hour'!E$262*'LBMP_by_Year-Month-Hour'!E277,$B$26*'LBMP_by_Year-Month-Hour'!E$294*'LBMP_by_Year-Month-Hour'!E309,$B$27*'LBMP_by_Year-Month-Hour'!E$326*'LBMP_by_Year-Month-Hour'!E341,$B$28*'LBMP_by_Year-Month-Hour'!E$358*'LBMP_by_Year-Month-Hour'!E373,$B$29*'LBMP_by_Year-Month-Hour'!E$390*'LBMP_by_Year-Month-Hour'!E405,$B$30*'LBMP_by_Year-Month-Hour'!E$422*'LBMP_by_Year-Month-Hour'!E437,$B$31*'LBMP_by_Year-Month-Hour'!E$454*'LBMP_by_Year-Month-Hour'!E469,$B$32*'LBMP_by_Year-Month-Hour'!E$486*'LBMP_by_Year-Month-Hour'!E501,$B$33*'LBMP_by_Year-Month-Hour'!E$518*'LBMP_by_Year-Month-Hour'!E533,$B$34*'LBMP_by_Year-Month-Hour'!E$550*'LBMP_by_Year-Month-Hour'!E565,$B$35*'LBMP_by_Year-Month-Hour'!E$582*'LBMP_by_Year-Month-Hour'!E597)*E30/$C$6/24</f>
        <v>0</v>
      </c>
      <c r="G92">
        <v>11</v>
      </c>
      <c r="H92">
        <f>NPV($C$7,$B$19*'LBMP_by_Year-Month-Hour'!H$70*'LBMP_by_Year-Month-Hour'!H85,$B$20*'LBMP_by_Year-Month-Hour'!H$102*'LBMP_by_Year-Month-Hour'!H117,$B$21*'LBMP_by_Year-Month-Hour'!H$134*'LBMP_by_Year-Month-Hour'!H149,$B$22*'LBMP_by_Year-Month-Hour'!H$166*'LBMP_by_Year-Month-Hour'!H181,$B$23*'LBMP_by_Year-Month-Hour'!H$198*'LBMP_by_Year-Month-Hour'!H213,$B$24*'LBMP_by_Year-Month-Hour'!H$230*'LBMP_by_Year-Month-Hour'!H245,$B$25*'LBMP_by_Year-Month-Hour'!H$262*'LBMP_by_Year-Month-Hour'!H277,$B$26*'LBMP_by_Year-Month-Hour'!H$294*'LBMP_by_Year-Month-Hour'!H309,$B$27*'LBMP_by_Year-Month-Hour'!H$326*'LBMP_by_Year-Month-Hour'!H341,$B$28*'LBMP_by_Year-Month-Hour'!H$358*'LBMP_by_Year-Month-Hour'!H373,$B$29*'LBMP_by_Year-Month-Hour'!H$390*'LBMP_by_Year-Month-Hour'!H405,$B$30*'LBMP_by_Year-Month-Hour'!H$422*'LBMP_by_Year-Month-Hour'!H437,$B$31*'LBMP_by_Year-Month-Hour'!H$454*'LBMP_by_Year-Month-Hour'!H469,$B$32*'LBMP_by_Year-Month-Hour'!H$486*'LBMP_by_Year-Month-Hour'!H501,$B$33*'LBMP_by_Year-Month-Hour'!H$518*'LBMP_by_Year-Month-Hour'!H533,$B$34*'LBMP_by_Year-Month-Hour'!H$550*'LBMP_by_Year-Month-Hour'!H565,$B$35*'LBMP_by_Year-Month-Hour'!H$582*'LBMP_by_Year-Month-Hour'!H597)*H30/$C$6/24</f>
        <v>0</v>
      </c>
      <c r="J92">
        <v>11</v>
      </c>
      <c r="K92">
        <f>NPV($C$7,$B$19*'LBMP_by_Year-Month-Hour'!K$70*'LBMP_by_Year-Month-Hour'!K85,$B$20*'LBMP_by_Year-Month-Hour'!K$102*'LBMP_by_Year-Month-Hour'!K117,$B$21*'LBMP_by_Year-Month-Hour'!K$134*'LBMP_by_Year-Month-Hour'!K149,$B$22*'LBMP_by_Year-Month-Hour'!K$166*'LBMP_by_Year-Month-Hour'!K181,$B$23*'LBMP_by_Year-Month-Hour'!K$198*'LBMP_by_Year-Month-Hour'!K213,$B$24*'LBMP_by_Year-Month-Hour'!K$230*'LBMP_by_Year-Month-Hour'!K245,$B$25*'LBMP_by_Year-Month-Hour'!K$262*'LBMP_by_Year-Month-Hour'!K277,$B$26*'LBMP_by_Year-Month-Hour'!K$294*'LBMP_by_Year-Month-Hour'!K309,$B$27*'LBMP_by_Year-Month-Hour'!K$326*'LBMP_by_Year-Month-Hour'!K341,$B$28*'LBMP_by_Year-Month-Hour'!K$358*'LBMP_by_Year-Month-Hour'!K373,$B$29*'LBMP_by_Year-Month-Hour'!K$390*'LBMP_by_Year-Month-Hour'!K405,$B$30*'LBMP_by_Year-Month-Hour'!K$422*'LBMP_by_Year-Month-Hour'!K437,$B$31*'LBMP_by_Year-Month-Hour'!K$454*'LBMP_by_Year-Month-Hour'!K469,$B$32*'LBMP_by_Year-Month-Hour'!K$486*'LBMP_by_Year-Month-Hour'!K501,$B$33*'LBMP_by_Year-Month-Hour'!K$518*'LBMP_by_Year-Month-Hour'!K533,$B$34*'LBMP_by_Year-Month-Hour'!K$550*'LBMP_by_Year-Month-Hour'!K565,$B$35*'LBMP_by_Year-Month-Hour'!K$582*'LBMP_by_Year-Month-Hour'!K597)*K30/$C$6/24</f>
        <v>0</v>
      </c>
      <c r="M92">
        <v>11</v>
      </c>
      <c r="N92">
        <f>NPV($C$7,$B$19*'LBMP_by_Year-Month-Hour'!N$70*'LBMP_by_Year-Month-Hour'!N85,$B$20*'LBMP_by_Year-Month-Hour'!N$102*'LBMP_by_Year-Month-Hour'!N117,$B$21*'LBMP_by_Year-Month-Hour'!N$134*'LBMP_by_Year-Month-Hour'!N149,$B$22*'LBMP_by_Year-Month-Hour'!N$166*'LBMP_by_Year-Month-Hour'!N181,$B$23*'LBMP_by_Year-Month-Hour'!N$198*'LBMP_by_Year-Month-Hour'!N213,$B$24*'LBMP_by_Year-Month-Hour'!N$230*'LBMP_by_Year-Month-Hour'!N245,$B$25*'LBMP_by_Year-Month-Hour'!N$262*'LBMP_by_Year-Month-Hour'!N277,$B$26*'LBMP_by_Year-Month-Hour'!N$294*'LBMP_by_Year-Month-Hour'!N309,$B$27*'LBMP_by_Year-Month-Hour'!N$326*'LBMP_by_Year-Month-Hour'!N341,$B$28*'LBMP_by_Year-Month-Hour'!N$358*'LBMP_by_Year-Month-Hour'!N373,$B$29*'LBMP_by_Year-Month-Hour'!N$390*'LBMP_by_Year-Month-Hour'!N405,$B$30*'LBMP_by_Year-Month-Hour'!N$422*'LBMP_by_Year-Month-Hour'!N437,$B$31*'LBMP_by_Year-Month-Hour'!N$454*'LBMP_by_Year-Month-Hour'!N469,$B$32*'LBMP_by_Year-Month-Hour'!N$486*'LBMP_by_Year-Month-Hour'!N501,$B$33*'LBMP_by_Year-Month-Hour'!N$518*'LBMP_by_Year-Month-Hour'!N533,$B$34*'LBMP_by_Year-Month-Hour'!N$550*'LBMP_by_Year-Month-Hour'!N565,$B$35*'LBMP_by_Year-Month-Hour'!N$582*'LBMP_by_Year-Month-Hour'!N597)*N30/$C$6/24</f>
        <v>0</v>
      </c>
      <c r="P92">
        <v>11</v>
      </c>
      <c r="Q92">
        <f>NPV($C$7,$B$19*'LBMP_by_Year-Month-Hour'!Q$70*'LBMP_by_Year-Month-Hour'!Q85,$B$20*'LBMP_by_Year-Month-Hour'!Q$102*'LBMP_by_Year-Month-Hour'!Q117,$B$21*'LBMP_by_Year-Month-Hour'!Q$134*'LBMP_by_Year-Month-Hour'!Q149,$B$22*'LBMP_by_Year-Month-Hour'!Q$166*'LBMP_by_Year-Month-Hour'!Q181,$B$23*'LBMP_by_Year-Month-Hour'!Q$198*'LBMP_by_Year-Month-Hour'!Q213,$B$24*'LBMP_by_Year-Month-Hour'!Q$230*'LBMP_by_Year-Month-Hour'!Q245,$B$25*'LBMP_by_Year-Month-Hour'!Q$262*'LBMP_by_Year-Month-Hour'!Q277,$B$26*'LBMP_by_Year-Month-Hour'!Q$294*'LBMP_by_Year-Month-Hour'!Q309,$B$27*'LBMP_by_Year-Month-Hour'!Q$326*'LBMP_by_Year-Month-Hour'!Q341,$B$28*'LBMP_by_Year-Month-Hour'!Q$358*'LBMP_by_Year-Month-Hour'!Q373,$B$29*'LBMP_by_Year-Month-Hour'!Q$390*'LBMP_by_Year-Month-Hour'!Q405,$B$30*'LBMP_by_Year-Month-Hour'!Q$422*'LBMP_by_Year-Month-Hour'!Q437,$B$31*'LBMP_by_Year-Month-Hour'!Q$454*'LBMP_by_Year-Month-Hour'!Q469,$B$32*'LBMP_by_Year-Month-Hour'!Q$486*'LBMP_by_Year-Month-Hour'!Q501,$B$33*'LBMP_by_Year-Month-Hour'!Q$518*'LBMP_by_Year-Month-Hour'!Q533,$B$34*'LBMP_by_Year-Month-Hour'!Q$550*'LBMP_by_Year-Month-Hour'!Q565,$B$35*'LBMP_by_Year-Month-Hour'!Q$582*'LBMP_by_Year-Month-Hour'!Q597)*Q30/$C$6/24</f>
        <v>0</v>
      </c>
      <c r="S92">
        <v>11</v>
      </c>
      <c r="T92">
        <f>NPV($C$7,$B$19*'LBMP_by_Year-Month-Hour'!T$70*'LBMP_by_Year-Month-Hour'!T85,$B$20*'LBMP_by_Year-Month-Hour'!T$102*'LBMP_by_Year-Month-Hour'!T117,$B$21*'LBMP_by_Year-Month-Hour'!T$134*'LBMP_by_Year-Month-Hour'!T149,$B$22*'LBMP_by_Year-Month-Hour'!T$166*'LBMP_by_Year-Month-Hour'!T181,$B$23*'LBMP_by_Year-Month-Hour'!T$198*'LBMP_by_Year-Month-Hour'!T213,$B$24*'LBMP_by_Year-Month-Hour'!T$230*'LBMP_by_Year-Month-Hour'!T245,$B$25*'LBMP_by_Year-Month-Hour'!T$262*'LBMP_by_Year-Month-Hour'!T277,$B$26*'LBMP_by_Year-Month-Hour'!T$294*'LBMP_by_Year-Month-Hour'!T309,$B$27*'LBMP_by_Year-Month-Hour'!T$326*'LBMP_by_Year-Month-Hour'!T341,$B$28*'LBMP_by_Year-Month-Hour'!T$358*'LBMP_by_Year-Month-Hour'!T373,$B$29*'LBMP_by_Year-Month-Hour'!T$390*'LBMP_by_Year-Month-Hour'!T405,$B$30*'LBMP_by_Year-Month-Hour'!T$422*'LBMP_by_Year-Month-Hour'!T437,$B$31*'LBMP_by_Year-Month-Hour'!T$454*'LBMP_by_Year-Month-Hour'!T469,$B$32*'LBMP_by_Year-Month-Hour'!T$486*'LBMP_by_Year-Month-Hour'!T501,$B$33*'LBMP_by_Year-Month-Hour'!T$518*'LBMP_by_Year-Month-Hour'!T533,$B$34*'LBMP_by_Year-Month-Hour'!T$550*'LBMP_by_Year-Month-Hour'!T565,$B$35*'LBMP_by_Year-Month-Hour'!T$582*'LBMP_by_Year-Month-Hour'!T597)*T30/$C$6/24</f>
        <v>0</v>
      </c>
      <c r="V92">
        <v>11</v>
      </c>
      <c r="W92">
        <f>NPV($C$7,$B$19*'LBMP_by_Year-Month-Hour'!W$70*'LBMP_by_Year-Month-Hour'!W85,$B$20*'LBMP_by_Year-Month-Hour'!W$102*'LBMP_by_Year-Month-Hour'!W117,$B$21*'LBMP_by_Year-Month-Hour'!W$134*'LBMP_by_Year-Month-Hour'!W149,$B$22*'LBMP_by_Year-Month-Hour'!W$166*'LBMP_by_Year-Month-Hour'!W181,$B$23*'LBMP_by_Year-Month-Hour'!W$198*'LBMP_by_Year-Month-Hour'!W213,$B$24*'LBMP_by_Year-Month-Hour'!W$230*'LBMP_by_Year-Month-Hour'!W245,$B$25*'LBMP_by_Year-Month-Hour'!W$262*'LBMP_by_Year-Month-Hour'!W277,$B$26*'LBMP_by_Year-Month-Hour'!W$294*'LBMP_by_Year-Month-Hour'!W309,$B$27*'LBMP_by_Year-Month-Hour'!W$326*'LBMP_by_Year-Month-Hour'!W341,$B$28*'LBMP_by_Year-Month-Hour'!W$358*'LBMP_by_Year-Month-Hour'!W373,$B$29*'LBMP_by_Year-Month-Hour'!W$390*'LBMP_by_Year-Month-Hour'!W405,$B$30*'LBMP_by_Year-Month-Hour'!W$422*'LBMP_by_Year-Month-Hour'!W437,$B$31*'LBMP_by_Year-Month-Hour'!W$454*'LBMP_by_Year-Month-Hour'!W469,$B$32*'LBMP_by_Year-Month-Hour'!W$486*'LBMP_by_Year-Month-Hour'!W501,$B$33*'LBMP_by_Year-Month-Hour'!W$518*'LBMP_by_Year-Month-Hour'!W533,$B$34*'LBMP_by_Year-Month-Hour'!W$550*'LBMP_by_Year-Month-Hour'!W565,$B$35*'LBMP_by_Year-Month-Hour'!W$582*'LBMP_by_Year-Month-Hour'!W597)*W30/$C$6/24</f>
        <v>0</v>
      </c>
      <c r="Y92">
        <v>11</v>
      </c>
      <c r="Z92">
        <f>NPV($C$7,$B$19*'LBMP_by_Year-Month-Hour'!Z$70*'LBMP_by_Year-Month-Hour'!Z85,$B$20*'LBMP_by_Year-Month-Hour'!Z$102*'LBMP_by_Year-Month-Hour'!Z117,$B$21*'LBMP_by_Year-Month-Hour'!Z$134*'LBMP_by_Year-Month-Hour'!Z149,$B$22*'LBMP_by_Year-Month-Hour'!Z$166*'LBMP_by_Year-Month-Hour'!Z181,$B$23*'LBMP_by_Year-Month-Hour'!Z$198*'LBMP_by_Year-Month-Hour'!Z213,$B$24*'LBMP_by_Year-Month-Hour'!Z$230*'LBMP_by_Year-Month-Hour'!Z245,$B$25*'LBMP_by_Year-Month-Hour'!Z$262*'LBMP_by_Year-Month-Hour'!Z277,$B$26*'LBMP_by_Year-Month-Hour'!Z$294*'LBMP_by_Year-Month-Hour'!Z309,$B$27*'LBMP_by_Year-Month-Hour'!Z$326*'LBMP_by_Year-Month-Hour'!Z341,$B$28*'LBMP_by_Year-Month-Hour'!Z$358*'LBMP_by_Year-Month-Hour'!Z373,$B$29*'LBMP_by_Year-Month-Hour'!Z$390*'LBMP_by_Year-Month-Hour'!Z405,$B$30*'LBMP_by_Year-Month-Hour'!Z$422*'LBMP_by_Year-Month-Hour'!Z437,$B$31*'LBMP_by_Year-Month-Hour'!Z$454*'LBMP_by_Year-Month-Hour'!Z469,$B$32*'LBMP_by_Year-Month-Hour'!Z$486*'LBMP_by_Year-Month-Hour'!Z501,$B$33*'LBMP_by_Year-Month-Hour'!Z$518*'LBMP_by_Year-Month-Hour'!Z533,$B$34*'LBMP_by_Year-Month-Hour'!Z$550*'LBMP_by_Year-Month-Hour'!Z565,$B$35*'LBMP_by_Year-Month-Hour'!Z$582*'LBMP_by_Year-Month-Hour'!Z597)*Z30/$C$6/24</f>
        <v>0</v>
      </c>
      <c r="AB92">
        <v>11</v>
      </c>
      <c r="AC92">
        <f>NPV($C$7,$B$19*'LBMP_by_Year-Month-Hour'!AC$70*'LBMP_by_Year-Month-Hour'!AC85,$B$20*'LBMP_by_Year-Month-Hour'!AC$102*'LBMP_by_Year-Month-Hour'!AC117,$B$21*'LBMP_by_Year-Month-Hour'!AC$134*'LBMP_by_Year-Month-Hour'!AC149,$B$22*'LBMP_by_Year-Month-Hour'!AC$166*'LBMP_by_Year-Month-Hour'!AC181,$B$23*'LBMP_by_Year-Month-Hour'!AC$198*'LBMP_by_Year-Month-Hour'!AC213,$B$24*'LBMP_by_Year-Month-Hour'!AC$230*'LBMP_by_Year-Month-Hour'!AC245,$B$25*'LBMP_by_Year-Month-Hour'!AC$262*'LBMP_by_Year-Month-Hour'!AC277,$B$26*'LBMP_by_Year-Month-Hour'!AC$294*'LBMP_by_Year-Month-Hour'!AC309,$B$27*'LBMP_by_Year-Month-Hour'!AC$326*'LBMP_by_Year-Month-Hour'!AC341,$B$28*'LBMP_by_Year-Month-Hour'!AC$358*'LBMP_by_Year-Month-Hour'!AC373,$B$29*'LBMP_by_Year-Month-Hour'!AC$390*'LBMP_by_Year-Month-Hour'!AC405,$B$30*'LBMP_by_Year-Month-Hour'!AC$422*'LBMP_by_Year-Month-Hour'!AC437,$B$31*'LBMP_by_Year-Month-Hour'!AC$454*'LBMP_by_Year-Month-Hour'!AC469,$B$32*'LBMP_by_Year-Month-Hour'!AC$486*'LBMP_by_Year-Month-Hour'!AC501,$B$33*'LBMP_by_Year-Month-Hour'!AC$518*'LBMP_by_Year-Month-Hour'!AC533,$B$34*'LBMP_by_Year-Month-Hour'!AC$550*'LBMP_by_Year-Month-Hour'!AC565,$B$35*'LBMP_by_Year-Month-Hour'!AC$582*'LBMP_by_Year-Month-Hour'!AC597)*AC30/$C$6/24</f>
        <v>0</v>
      </c>
      <c r="AE92">
        <v>11</v>
      </c>
      <c r="AF92">
        <f>NPV($C$7,$B$19*'LBMP_by_Year-Month-Hour'!AF$70*'LBMP_by_Year-Month-Hour'!AF85,$B$20*'LBMP_by_Year-Month-Hour'!AF$102*'LBMP_by_Year-Month-Hour'!AF117,$B$21*'LBMP_by_Year-Month-Hour'!AF$134*'LBMP_by_Year-Month-Hour'!AF149,$B$22*'LBMP_by_Year-Month-Hour'!AF$166*'LBMP_by_Year-Month-Hour'!AF181,$B$23*'LBMP_by_Year-Month-Hour'!AF$198*'LBMP_by_Year-Month-Hour'!AF213,$B$24*'LBMP_by_Year-Month-Hour'!AF$230*'LBMP_by_Year-Month-Hour'!AF245,$B$25*'LBMP_by_Year-Month-Hour'!AF$262*'LBMP_by_Year-Month-Hour'!AF277,$B$26*'LBMP_by_Year-Month-Hour'!AF$294*'LBMP_by_Year-Month-Hour'!AF309,$B$27*'LBMP_by_Year-Month-Hour'!AF$326*'LBMP_by_Year-Month-Hour'!AF341,$B$28*'LBMP_by_Year-Month-Hour'!AF$358*'LBMP_by_Year-Month-Hour'!AF373,$B$29*'LBMP_by_Year-Month-Hour'!AF$390*'LBMP_by_Year-Month-Hour'!AF405,$B$30*'LBMP_by_Year-Month-Hour'!AF$422*'LBMP_by_Year-Month-Hour'!AF437,$B$31*'LBMP_by_Year-Month-Hour'!AF$454*'LBMP_by_Year-Month-Hour'!AF469,$B$32*'LBMP_by_Year-Month-Hour'!AF$486*'LBMP_by_Year-Month-Hour'!AF501,$B$33*'LBMP_by_Year-Month-Hour'!AF$518*'LBMP_by_Year-Month-Hour'!AF533,$B$34*'LBMP_by_Year-Month-Hour'!AF$550*'LBMP_by_Year-Month-Hour'!AF565,$B$35*'LBMP_by_Year-Month-Hour'!AF$582*'LBMP_by_Year-Month-Hour'!AF597)*AF30/$C$6/24</f>
        <v>0</v>
      </c>
      <c r="AH92">
        <v>11</v>
      </c>
      <c r="AI92">
        <f>NPV($C$7,$B$19*'LBMP_by_Year-Month-Hour'!AI$70*'LBMP_by_Year-Month-Hour'!AI85,$B$20*'LBMP_by_Year-Month-Hour'!AI$102*'LBMP_by_Year-Month-Hour'!AI117,$B$21*'LBMP_by_Year-Month-Hour'!AI$134*'LBMP_by_Year-Month-Hour'!AI149,$B$22*'LBMP_by_Year-Month-Hour'!AI$166*'LBMP_by_Year-Month-Hour'!AI181,$B$23*'LBMP_by_Year-Month-Hour'!AI$198*'LBMP_by_Year-Month-Hour'!AI213,$B$24*'LBMP_by_Year-Month-Hour'!AI$230*'LBMP_by_Year-Month-Hour'!AI245,$B$25*'LBMP_by_Year-Month-Hour'!AI$262*'LBMP_by_Year-Month-Hour'!AI277,$B$26*'LBMP_by_Year-Month-Hour'!AI$294*'LBMP_by_Year-Month-Hour'!AI309,$B$27*'LBMP_by_Year-Month-Hour'!AI$326*'LBMP_by_Year-Month-Hour'!AI341,$B$28*'LBMP_by_Year-Month-Hour'!AI$358*'LBMP_by_Year-Month-Hour'!AI373,$B$29*'LBMP_by_Year-Month-Hour'!AI$390*'LBMP_by_Year-Month-Hour'!AI405,$B$30*'LBMP_by_Year-Month-Hour'!AI$422*'LBMP_by_Year-Month-Hour'!AI437,$B$31*'LBMP_by_Year-Month-Hour'!AI$454*'LBMP_by_Year-Month-Hour'!AI469,$B$32*'LBMP_by_Year-Month-Hour'!AI$486*'LBMP_by_Year-Month-Hour'!AI501,$B$33*'LBMP_by_Year-Month-Hour'!AI$518*'LBMP_by_Year-Month-Hour'!AI533,$B$34*'LBMP_by_Year-Month-Hour'!AI$550*'LBMP_by_Year-Month-Hour'!AI565,$B$35*'LBMP_by_Year-Month-Hour'!AI$582*'LBMP_by_Year-Month-Hour'!AI597)*AI30/$C$6/24</f>
        <v>0</v>
      </c>
      <c r="AK92">
        <v>11</v>
      </c>
      <c r="AL92">
        <f>NPV($C$7,$B$19*'LBMP_by_Year-Month-Hour'!AL$70*'LBMP_by_Year-Month-Hour'!AL85,$B$20*'LBMP_by_Year-Month-Hour'!AL$102*'LBMP_by_Year-Month-Hour'!AL117,$B$21*'LBMP_by_Year-Month-Hour'!AL$134*'LBMP_by_Year-Month-Hour'!AL149,$B$22*'LBMP_by_Year-Month-Hour'!AL$166*'LBMP_by_Year-Month-Hour'!AL181,$B$23*'LBMP_by_Year-Month-Hour'!AL$198*'LBMP_by_Year-Month-Hour'!AL213,$B$24*'LBMP_by_Year-Month-Hour'!AL$230*'LBMP_by_Year-Month-Hour'!AL245,$B$25*'LBMP_by_Year-Month-Hour'!AL$262*'LBMP_by_Year-Month-Hour'!AL277,$B$26*'LBMP_by_Year-Month-Hour'!AL$294*'LBMP_by_Year-Month-Hour'!AL309,$B$27*'LBMP_by_Year-Month-Hour'!AL$326*'LBMP_by_Year-Month-Hour'!AL341,$B$28*'LBMP_by_Year-Month-Hour'!AL$358*'LBMP_by_Year-Month-Hour'!AL373,$B$29*'LBMP_by_Year-Month-Hour'!AL$390*'LBMP_by_Year-Month-Hour'!AL405,$B$30*'LBMP_by_Year-Month-Hour'!AL$422*'LBMP_by_Year-Month-Hour'!AL437,$B$31*'LBMP_by_Year-Month-Hour'!AL$454*'LBMP_by_Year-Month-Hour'!AL469,$B$32*'LBMP_by_Year-Month-Hour'!AL$486*'LBMP_by_Year-Month-Hour'!AL501,$B$33*'LBMP_by_Year-Month-Hour'!AL$518*'LBMP_by_Year-Month-Hour'!AL533,$B$34*'LBMP_by_Year-Month-Hour'!AL$550*'LBMP_by_Year-Month-Hour'!AL565,$B$35*'LBMP_by_Year-Month-Hour'!AL$582*'LBMP_by_Year-Month-Hour'!AL597)*AL30/$C$6/24</f>
        <v>0</v>
      </c>
    </row>
    <row r="93" spans="1:38">
      <c r="A93">
        <v>12</v>
      </c>
      <c r="B93">
        <f t="shared" si="10"/>
        <v>23262.696677964701</v>
      </c>
      <c r="D93">
        <v>12</v>
      </c>
      <c r="E93">
        <f>NPV($C$7,$B$19*'LBMP_by_Year-Month-Hour'!E$70*'LBMP_by_Year-Month-Hour'!E86,$B$20*'LBMP_by_Year-Month-Hour'!E$102*'LBMP_by_Year-Month-Hour'!E118,$B$21*'LBMP_by_Year-Month-Hour'!E$134*'LBMP_by_Year-Month-Hour'!E150,$B$22*'LBMP_by_Year-Month-Hour'!E$166*'LBMP_by_Year-Month-Hour'!E182,$B$23*'LBMP_by_Year-Month-Hour'!E$198*'LBMP_by_Year-Month-Hour'!E214,$B$24*'LBMP_by_Year-Month-Hour'!E$230*'LBMP_by_Year-Month-Hour'!E246,$B$25*'LBMP_by_Year-Month-Hour'!E$262*'LBMP_by_Year-Month-Hour'!E278,$B$26*'LBMP_by_Year-Month-Hour'!E$294*'LBMP_by_Year-Month-Hour'!E310,$B$27*'LBMP_by_Year-Month-Hour'!E$326*'LBMP_by_Year-Month-Hour'!E342,$B$28*'LBMP_by_Year-Month-Hour'!E$358*'LBMP_by_Year-Month-Hour'!E374,$B$29*'LBMP_by_Year-Month-Hour'!E$390*'LBMP_by_Year-Month-Hour'!E406,$B$30*'LBMP_by_Year-Month-Hour'!E$422*'LBMP_by_Year-Month-Hour'!E438,$B$31*'LBMP_by_Year-Month-Hour'!E$454*'LBMP_by_Year-Month-Hour'!E470,$B$32*'LBMP_by_Year-Month-Hour'!E$486*'LBMP_by_Year-Month-Hour'!E502,$B$33*'LBMP_by_Year-Month-Hour'!E$518*'LBMP_by_Year-Month-Hour'!E534,$B$34*'LBMP_by_Year-Month-Hour'!E$550*'LBMP_by_Year-Month-Hour'!E566,$B$35*'LBMP_by_Year-Month-Hour'!E$582*'LBMP_by_Year-Month-Hour'!E598)*E31/$C$6/24</f>
        <v>0</v>
      </c>
      <c r="G93">
        <v>12</v>
      </c>
      <c r="H93">
        <f>NPV($C$7,$B$19*'LBMP_by_Year-Month-Hour'!H$70*'LBMP_by_Year-Month-Hour'!H86,$B$20*'LBMP_by_Year-Month-Hour'!H$102*'LBMP_by_Year-Month-Hour'!H118,$B$21*'LBMP_by_Year-Month-Hour'!H$134*'LBMP_by_Year-Month-Hour'!H150,$B$22*'LBMP_by_Year-Month-Hour'!H$166*'LBMP_by_Year-Month-Hour'!H182,$B$23*'LBMP_by_Year-Month-Hour'!H$198*'LBMP_by_Year-Month-Hour'!H214,$B$24*'LBMP_by_Year-Month-Hour'!H$230*'LBMP_by_Year-Month-Hour'!H246,$B$25*'LBMP_by_Year-Month-Hour'!H$262*'LBMP_by_Year-Month-Hour'!H278,$B$26*'LBMP_by_Year-Month-Hour'!H$294*'LBMP_by_Year-Month-Hour'!H310,$B$27*'LBMP_by_Year-Month-Hour'!H$326*'LBMP_by_Year-Month-Hour'!H342,$B$28*'LBMP_by_Year-Month-Hour'!H$358*'LBMP_by_Year-Month-Hour'!H374,$B$29*'LBMP_by_Year-Month-Hour'!H$390*'LBMP_by_Year-Month-Hour'!H406,$B$30*'LBMP_by_Year-Month-Hour'!H$422*'LBMP_by_Year-Month-Hour'!H438,$B$31*'LBMP_by_Year-Month-Hour'!H$454*'LBMP_by_Year-Month-Hour'!H470,$B$32*'LBMP_by_Year-Month-Hour'!H$486*'LBMP_by_Year-Month-Hour'!H502,$B$33*'LBMP_by_Year-Month-Hour'!H$518*'LBMP_by_Year-Month-Hour'!H534,$B$34*'LBMP_by_Year-Month-Hour'!H$550*'LBMP_by_Year-Month-Hour'!H566,$B$35*'LBMP_by_Year-Month-Hour'!H$582*'LBMP_by_Year-Month-Hour'!H598)*H31/$C$6/24</f>
        <v>0</v>
      </c>
      <c r="J93">
        <v>12</v>
      </c>
      <c r="K93">
        <f>NPV($C$7,$B$19*'LBMP_by_Year-Month-Hour'!K$70*'LBMP_by_Year-Month-Hour'!K86,$B$20*'LBMP_by_Year-Month-Hour'!K$102*'LBMP_by_Year-Month-Hour'!K118,$B$21*'LBMP_by_Year-Month-Hour'!K$134*'LBMP_by_Year-Month-Hour'!K150,$B$22*'LBMP_by_Year-Month-Hour'!K$166*'LBMP_by_Year-Month-Hour'!K182,$B$23*'LBMP_by_Year-Month-Hour'!K$198*'LBMP_by_Year-Month-Hour'!K214,$B$24*'LBMP_by_Year-Month-Hour'!K$230*'LBMP_by_Year-Month-Hour'!K246,$B$25*'LBMP_by_Year-Month-Hour'!K$262*'LBMP_by_Year-Month-Hour'!K278,$B$26*'LBMP_by_Year-Month-Hour'!K$294*'LBMP_by_Year-Month-Hour'!K310,$B$27*'LBMP_by_Year-Month-Hour'!K$326*'LBMP_by_Year-Month-Hour'!K342,$B$28*'LBMP_by_Year-Month-Hour'!K$358*'LBMP_by_Year-Month-Hour'!K374,$B$29*'LBMP_by_Year-Month-Hour'!K$390*'LBMP_by_Year-Month-Hour'!K406,$B$30*'LBMP_by_Year-Month-Hour'!K$422*'LBMP_by_Year-Month-Hour'!K438,$B$31*'LBMP_by_Year-Month-Hour'!K$454*'LBMP_by_Year-Month-Hour'!K470,$B$32*'LBMP_by_Year-Month-Hour'!K$486*'LBMP_by_Year-Month-Hour'!K502,$B$33*'LBMP_by_Year-Month-Hour'!K$518*'LBMP_by_Year-Month-Hour'!K534,$B$34*'LBMP_by_Year-Month-Hour'!K$550*'LBMP_by_Year-Month-Hour'!K566,$B$35*'LBMP_by_Year-Month-Hour'!K$582*'LBMP_by_Year-Month-Hour'!K598)*K31/$C$6/24</f>
        <v>0</v>
      </c>
      <c r="M93">
        <v>12</v>
      </c>
      <c r="N93">
        <f>NPV($C$7,$B$19*'LBMP_by_Year-Month-Hour'!N$70*'LBMP_by_Year-Month-Hour'!N86,$B$20*'LBMP_by_Year-Month-Hour'!N$102*'LBMP_by_Year-Month-Hour'!N118,$B$21*'LBMP_by_Year-Month-Hour'!N$134*'LBMP_by_Year-Month-Hour'!N150,$B$22*'LBMP_by_Year-Month-Hour'!N$166*'LBMP_by_Year-Month-Hour'!N182,$B$23*'LBMP_by_Year-Month-Hour'!N$198*'LBMP_by_Year-Month-Hour'!N214,$B$24*'LBMP_by_Year-Month-Hour'!N$230*'LBMP_by_Year-Month-Hour'!N246,$B$25*'LBMP_by_Year-Month-Hour'!N$262*'LBMP_by_Year-Month-Hour'!N278,$B$26*'LBMP_by_Year-Month-Hour'!N$294*'LBMP_by_Year-Month-Hour'!N310,$B$27*'LBMP_by_Year-Month-Hour'!N$326*'LBMP_by_Year-Month-Hour'!N342,$B$28*'LBMP_by_Year-Month-Hour'!N$358*'LBMP_by_Year-Month-Hour'!N374,$B$29*'LBMP_by_Year-Month-Hour'!N$390*'LBMP_by_Year-Month-Hour'!N406,$B$30*'LBMP_by_Year-Month-Hour'!N$422*'LBMP_by_Year-Month-Hour'!N438,$B$31*'LBMP_by_Year-Month-Hour'!N$454*'LBMP_by_Year-Month-Hour'!N470,$B$32*'LBMP_by_Year-Month-Hour'!N$486*'LBMP_by_Year-Month-Hour'!N502,$B$33*'LBMP_by_Year-Month-Hour'!N$518*'LBMP_by_Year-Month-Hour'!N534,$B$34*'LBMP_by_Year-Month-Hour'!N$550*'LBMP_by_Year-Month-Hour'!N566,$B$35*'LBMP_by_Year-Month-Hour'!N$582*'LBMP_by_Year-Month-Hour'!N598)*N31/$C$6/24</f>
        <v>0</v>
      </c>
      <c r="P93">
        <v>12</v>
      </c>
      <c r="Q93">
        <f>NPV($C$7,$B$19*'LBMP_by_Year-Month-Hour'!Q$70*'LBMP_by_Year-Month-Hour'!Q86,$B$20*'LBMP_by_Year-Month-Hour'!Q$102*'LBMP_by_Year-Month-Hour'!Q118,$B$21*'LBMP_by_Year-Month-Hour'!Q$134*'LBMP_by_Year-Month-Hour'!Q150,$B$22*'LBMP_by_Year-Month-Hour'!Q$166*'LBMP_by_Year-Month-Hour'!Q182,$B$23*'LBMP_by_Year-Month-Hour'!Q$198*'LBMP_by_Year-Month-Hour'!Q214,$B$24*'LBMP_by_Year-Month-Hour'!Q$230*'LBMP_by_Year-Month-Hour'!Q246,$B$25*'LBMP_by_Year-Month-Hour'!Q$262*'LBMP_by_Year-Month-Hour'!Q278,$B$26*'LBMP_by_Year-Month-Hour'!Q$294*'LBMP_by_Year-Month-Hour'!Q310,$B$27*'LBMP_by_Year-Month-Hour'!Q$326*'LBMP_by_Year-Month-Hour'!Q342,$B$28*'LBMP_by_Year-Month-Hour'!Q$358*'LBMP_by_Year-Month-Hour'!Q374,$B$29*'LBMP_by_Year-Month-Hour'!Q$390*'LBMP_by_Year-Month-Hour'!Q406,$B$30*'LBMP_by_Year-Month-Hour'!Q$422*'LBMP_by_Year-Month-Hour'!Q438,$B$31*'LBMP_by_Year-Month-Hour'!Q$454*'LBMP_by_Year-Month-Hour'!Q470,$B$32*'LBMP_by_Year-Month-Hour'!Q$486*'LBMP_by_Year-Month-Hour'!Q502,$B$33*'LBMP_by_Year-Month-Hour'!Q$518*'LBMP_by_Year-Month-Hour'!Q534,$B$34*'LBMP_by_Year-Month-Hour'!Q$550*'LBMP_by_Year-Month-Hour'!Q566,$B$35*'LBMP_by_Year-Month-Hour'!Q$582*'LBMP_by_Year-Month-Hour'!Q598)*Q31/$C$6/24</f>
        <v>0</v>
      </c>
      <c r="S93">
        <v>12</v>
      </c>
      <c r="T93">
        <f>NPV($C$7,$B$19*'LBMP_by_Year-Month-Hour'!T$70*'LBMP_by_Year-Month-Hour'!T86,$B$20*'LBMP_by_Year-Month-Hour'!T$102*'LBMP_by_Year-Month-Hour'!T118,$B$21*'LBMP_by_Year-Month-Hour'!T$134*'LBMP_by_Year-Month-Hour'!T150,$B$22*'LBMP_by_Year-Month-Hour'!T$166*'LBMP_by_Year-Month-Hour'!T182,$B$23*'LBMP_by_Year-Month-Hour'!T$198*'LBMP_by_Year-Month-Hour'!T214,$B$24*'LBMP_by_Year-Month-Hour'!T$230*'LBMP_by_Year-Month-Hour'!T246,$B$25*'LBMP_by_Year-Month-Hour'!T$262*'LBMP_by_Year-Month-Hour'!T278,$B$26*'LBMP_by_Year-Month-Hour'!T$294*'LBMP_by_Year-Month-Hour'!T310,$B$27*'LBMP_by_Year-Month-Hour'!T$326*'LBMP_by_Year-Month-Hour'!T342,$B$28*'LBMP_by_Year-Month-Hour'!T$358*'LBMP_by_Year-Month-Hour'!T374,$B$29*'LBMP_by_Year-Month-Hour'!T$390*'LBMP_by_Year-Month-Hour'!T406,$B$30*'LBMP_by_Year-Month-Hour'!T$422*'LBMP_by_Year-Month-Hour'!T438,$B$31*'LBMP_by_Year-Month-Hour'!T$454*'LBMP_by_Year-Month-Hour'!T470,$B$32*'LBMP_by_Year-Month-Hour'!T$486*'LBMP_by_Year-Month-Hour'!T502,$B$33*'LBMP_by_Year-Month-Hour'!T$518*'LBMP_by_Year-Month-Hour'!T534,$B$34*'LBMP_by_Year-Month-Hour'!T$550*'LBMP_by_Year-Month-Hour'!T566,$B$35*'LBMP_by_Year-Month-Hour'!T$582*'LBMP_by_Year-Month-Hour'!T598)*T31/$C$6/24</f>
        <v>5022.1345755812217</v>
      </c>
      <c r="V93">
        <v>12</v>
      </c>
      <c r="W93">
        <f>NPV($C$7,$B$19*'LBMP_by_Year-Month-Hour'!W$70*'LBMP_by_Year-Month-Hour'!W86,$B$20*'LBMP_by_Year-Month-Hour'!W$102*'LBMP_by_Year-Month-Hour'!W118,$B$21*'LBMP_by_Year-Month-Hour'!W$134*'LBMP_by_Year-Month-Hour'!W150,$B$22*'LBMP_by_Year-Month-Hour'!W$166*'LBMP_by_Year-Month-Hour'!W182,$B$23*'LBMP_by_Year-Month-Hour'!W$198*'LBMP_by_Year-Month-Hour'!W214,$B$24*'LBMP_by_Year-Month-Hour'!W$230*'LBMP_by_Year-Month-Hour'!W246,$B$25*'LBMP_by_Year-Month-Hour'!W$262*'LBMP_by_Year-Month-Hour'!W278,$B$26*'LBMP_by_Year-Month-Hour'!W$294*'LBMP_by_Year-Month-Hour'!W310,$B$27*'LBMP_by_Year-Month-Hour'!W$326*'LBMP_by_Year-Month-Hour'!W342,$B$28*'LBMP_by_Year-Month-Hour'!W$358*'LBMP_by_Year-Month-Hour'!W374,$B$29*'LBMP_by_Year-Month-Hour'!W$390*'LBMP_by_Year-Month-Hour'!W406,$B$30*'LBMP_by_Year-Month-Hour'!W$422*'LBMP_by_Year-Month-Hour'!W438,$B$31*'LBMP_by_Year-Month-Hour'!W$454*'LBMP_by_Year-Month-Hour'!W470,$B$32*'LBMP_by_Year-Month-Hour'!W$486*'LBMP_by_Year-Month-Hour'!W502,$B$33*'LBMP_by_Year-Month-Hour'!W$518*'LBMP_by_Year-Month-Hour'!W534,$B$34*'LBMP_by_Year-Month-Hour'!W$550*'LBMP_by_Year-Month-Hour'!W566,$B$35*'LBMP_by_Year-Month-Hour'!W$582*'LBMP_by_Year-Month-Hour'!W598)*W31/$C$6/24</f>
        <v>6404.887239915598</v>
      </c>
      <c r="Y93">
        <v>12</v>
      </c>
      <c r="Z93">
        <f>NPV($C$7,$B$19*'LBMP_by_Year-Month-Hour'!Z$70*'LBMP_by_Year-Month-Hour'!Z86,$B$20*'LBMP_by_Year-Month-Hour'!Z$102*'LBMP_by_Year-Month-Hour'!Z118,$B$21*'LBMP_by_Year-Month-Hour'!Z$134*'LBMP_by_Year-Month-Hour'!Z150,$B$22*'LBMP_by_Year-Month-Hour'!Z$166*'LBMP_by_Year-Month-Hour'!Z182,$B$23*'LBMP_by_Year-Month-Hour'!Z$198*'LBMP_by_Year-Month-Hour'!Z214,$B$24*'LBMP_by_Year-Month-Hour'!Z$230*'LBMP_by_Year-Month-Hour'!Z246,$B$25*'LBMP_by_Year-Month-Hour'!Z$262*'LBMP_by_Year-Month-Hour'!Z278,$B$26*'LBMP_by_Year-Month-Hour'!Z$294*'LBMP_by_Year-Month-Hour'!Z310,$B$27*'LBMP_by_Year-Month-Hour'!Z$326*'LBMP_by_Year-Month-Hour'!Z342,$B$28*'LBMP_by_Year-Month-Hour'!Z$358*'LBMP_by_Year-Month-Hour'!Z374,$B$29*'LBMP_by_Year-Month-Hour'!Z$390*'LBMP_by_Year-Month-Hour'!Z406,$B$30*'LBMP_by_Year-Month-Hour'!Z$422*'LBMP_by_Year-Month-Hour'!Z438,$B$31*'LBMP_by_Year-Month-Hour'!Z$454*'LBMP_by_Year-Month-Hour'!Z470,$B$32*'LBMP_by_Year-Month-Hour'!Z$486*'LBMP_by_Year-Month-Hour'!Z502,$B$33*'LBMP_by_Year-Month-Hour'!Z$518*'LBMP_by_Year-Month-Hour'!Z534,$B$34*'LBMP_by_Year-Month-Hour'!Z$550*'LBMP_by_Year-Month-Hour'!Z566,$B$35*'LBMP_by_Year-Month-Hour'!Z$582*'LBMP_by_Year-Month-Hour'!Z598)*Z31/$C$6/24</f>
        <v>6411.4088919285678</v>
      </c>
      <c r="AB93">
        <v>12</v>
      </c>
      <c r="AC93">
        <f>NPV($C$7,$B$19*'LBMP_by_Year-Month-Hour'!AC$70*'LBMP_by_Year-Month-Hour'!AC86,$B$20*'LBMP_by_Year-Month-Hour'!AC$102*'LBMP_by_Year-Month-Hour'!AC118,$B$21*'LBMP_by_Year-Month-Hour'!AC$134*'LBMP_by_Year-Month-Hour'!AC150,$B$22*'LBMP_by_Year-Month-Hour'!AC$166*'LBMP_by_Year-Month-Hour'!AC182,$B$23*'LBMP_by_Year-Month-Hour'!AC$198*'LBMP_by_Year-Month-Hour'!AC214,$B$24*'LBMP_by_Year-Month-Hour'!AC$230*'LBMP_by_Year-Month-Hour'!AC246,$B$25*'LBMP_by_Year-Month-Hour'!AC$262*'LBMP_by_Year-Month-Hour'!AC278,$B$26*'LBMP_by_Year-Month-Hour'!AC$294*'LBMP_by_Year-Month-Hour'!AC310,$B$27*'LBMP_by_Year-Month-Hour'!AC$326*'LBMP_by_Year-Month-Hour'!AC342,$B$28*'LBMP_by_Year-Month-Hour'!AC$358*'LBMP_by_Year-Month-Hour'!AC374,$B$29*'LBMP_by_Year-Month-Hour'!AC$390*'LBMP_by_Year-Month-Hour'!AC406,$B$30*'LBMP_by_Year-Month-Hour'!AC$422*'LBMP_by_Year-Month-Hour'!AC438,$B$31*'LBMP_by_Year-Month-Hour'!AC$454*'LBMP_by_Year-Month-Hour'!AC470,$B$32*'LBMP_by_Year-Month-Hour'!AC$486*'LBMP_by_Year-Month-Hour'!AC502,$B$33*'LBMP_by_Year-Month-Hour'!AC$518*'LBMP_by_Year-Month-Hour'!AC534,$B$34*'LBMP_by_Year-Month-Hour'!AC$550*'LBMP_by_Year-Month-Hour'!AC566,$B$35*'LBMP_by_Year-Month-Hour'!AC$582*'LBMP_by_Year-Month-Hour'!AC598)*AC31/$C$6/24</f>
        <v>5424.2659705393116</v>
      </c>
      <c r="AE93">
        <v>12</v>
      </c>
      <c r="AF93">
        <f>NPV($C$7,$B$19*'LBMP_by_Year-Month-Hour'!AF$70*'LBMP_by_Year-Month-Hour'!AF86,$B$20*'LBMP_by_Year-Month-Hour'!AF$102*'LBMP_by_Year-Month-Hour'!AF118,$B$21*'LBMP_by_Year-Month-Hour'!AF$134*'LBMP_by_Year-Month-Hour'!AF150,$B$22*'LBMP_by_Year-Month-Hour'!AF$166*'LBMP_by_Year-Month-Hour'!AF182,$B$23*'LBMP_by_Year-Month-Hour'!AF$198*'LBMP_by_Year-Month-Hour'!AF214,$B$24*'LBMP_by_Year-Month-Hour'!AF$230*'LBMP_by_Year-Month-Hour'!AF246,$B$25*'LBMP_by_Year-Month-Hour'!AF$262*'LBMP_by_Year-Month-Hour'!AF278,$B$26*'LBMP_by_Year-Month-Hour'!AF$294*'LBMP_by_Year-Month-Hour'!AF310,$B$27*'LBMP_by_Year-Month-Hour'!AF$326*'LBMP_by_Year-Month-Hour'!AF342,$B$28*'LBMP_by_Year-Month-Hour'!AF$358*'LBMP_by_Year-Month-Hour'!AF374,$B$29*'LBMP_by_Year-Month-Hour'!AF$390*'LBMP_by_Year-Month-Hour'!AF406,$B$30*'LBMP_by_Year-Month-Hour'!AF$422*'LBMP_by_Year-Month-Hour'!AF438,$B$31*'LBMP_by_Year-Month-Hour'!AF$454*'LBMP_by_Year-Month-Hour'!AF470,$B$32*'LBMP_by_Year-Month-Hour'!AF$486*'LBMP_by_Year-Month-Hour'!AF502,$B$33*'LBMP_by_Year-Month-Hour'!AF$518*'LBMP_by_Year-Month-Hour'!AF534,$B$34*'LBMP_by_Year-Month-Hour'!AF$550*'LBMP_by_Year-Month-Hour'!AF566,$B$35*'LBMP_by_Year-Month-Hour'!AF$582*'LBMP_by_Year-Month-Hour'!AF598)*AF31/$C$6/24</f>
        <v>0</v>
      </c>
      <c r="AH93">
        <v>12</v>
      </c>
      <c r="AI93">
        <f>NPV($C$7,$B$19*'LBMP_by_Year-Month-Hour'!AI$70*'LBMP_by_Year-Month-Hour'!AI86,$B$20*'LBMP_by_Year-Month-Hour'!AI$102*'LBMP_by_Year-Month-Hour'!AI118,$B$21*'LBMP_by_Year-Month-Hour'!AI$134*'LBMP_by_Year-Month-Hour'!AI150,$B$22*'LBMP_by_Year-Month-Hour'!AI$166*'LBMP_by_Year-Month-Hour'!AI182,$B$23*'LBMP_by_Year-Month-Hour'!AI$198*'LBMP_by_Year-Month-Hour'!AI214,$B$24*'LBMP_by_Year-Month-Hour'!AI$230*'LBMP_by_Year-Month-Hour'!AI246,$B$25*'LBMP_by_Year-Month-Hour'!AI$262*'LBMP_by_Year-Month-Hour'!AI278,$B$26*'LBMP_by_Year-Month-Hour'!AI$294*'LBMP_by_Year-Month-Hour'!AI310,$B$27*'LBMP_by_Year-Month-Hour'!AI$326*'LBMP_by_Year-Month-Hour'!AI342,$B$28*'LBMP_by_Year-Month-Hour'!AI$358*'LBMP_by_Year-Month-Hour'!AI374,$B$29*'LBMP_by_Year-Month-Hour'!AI$390*'LBMP_by_Year-Month-Hour'!AI406,$B$30*'LBMP_by_Year-Month-Hour'!AI$422*'LBMP_by_Year-Month-Hour'!AI438,$B$31*'LBMP_by_Year-Month-Hour'!AI$454*'LBMP_by_Year-Month-Hour'!AI470,$B$32*'LBMP_by_Year-Month-Hour'!AI$486*'LBMP_by_Year-Month-Hour'!AI502,$B$33*'LBMP_by_Year-Month-Hour'!AI$518*'LBMP_by_Year-Month-Hour'!AI534,$B$34*'LBMP_by_Year-Month-Hour'!AI$550*'LBMP_by_Year-Month-Hour'!AI566,$B$35*'LBMP_by_Year-Month-Hour'!AI$582*'LBMP_by_Year-Month-Hour'!AI598)*AI31/$C$6/24</f>
        <v>0</v>
      </c>
      <c r="AK93">
        <v>12</v>
      </c>
      <c r="AL93">
        <f>NPV($C$7,$B$19*'LBMP_by_Year-Month-Hour'!AL$70*'LBMP_by_Year-Month-Hour'!AL86,$B$20*'LBMP_by_Year-Month-Hour'!AL$102*'LBMP_by_Year-Month-Hour'!AL118,$B$21*'LBMP_by_Year-Month-Hour'!AL$134*'LBMP_by_Year-Month-Hour'!AL150,$B$22*'LBMP_by_Year-Month-Hour'!AL$166*'LBMP_by_Year-Month-Hour'!AL182,$B$23*'LBMP_by_Year-Month-Hour'!AL$198*'LBMP_by_Year-Month-Hour'!AL214,$B$24*'LBMP_by_Year-Month-Hour'!AL$230*'LBMP_by_Year-Month-Hour'!AL246,$B$25*'LBMP_by_Year-Month-Hour'!AL$262*'LBMP_by_Year-Month-Hour'!AL278,$B$26*'LBMP_by_Year-Month-Hour'!AL$294*'LBMP_by_Year-Month-Hour'!AL310,$B$27*'LBMP_by_Year-Month-Hour'!AL$326*'LBMP_by_Year-Month-Hour'!AL342,$B$28*'LBMP_by_Year-Month-Hour'!AL$358*'LBMP_by_Year-Month-Hour'!AL374,$B$29*'LBMP_by_Year-Month-Hour'!AL$390*'LBMP_by_Year-Month-Hour'!AL406,$B$30*'LBMP_by_Year-Month-Hour'!AL$422*'LBMP_by_Year-Month-Hour'!AL438,$B$31*'LBMP_by_Year-Month-Hour'!AL$454*'LBMP_by_Year-Month-Hour'!AL470,$B$32*'LBMP_by_Year-Month-Hour'!AL$486*'LBMP_by_Year-Month-Hour'!AL502,$B$33*'LBMP_by_Year-Month-Hour'!AL$518*'LBMP_by_Year-Month-Hour'!AL534,$B$34*'LBMP_by_Year-Month-Hour'!AL$550*'LBMP_by_Year-Month-Hour'!AL566,$B$35*'LBMP_by_Year-Month-Hour'!AL$582*'LBMP_by_Year-Month-Hour'!AL598)*AL31/$C$6/24</f>
        <v>0</v>
      </c>
    </row>
    <row r="94" spans="1:38">
      <c r="A94">
        <v>13</v>
      </c>
      <c r="B94">
        <f t="shared" si="10"/>
        <v>65822.395523482061</v>
      </c>
      <c r="D94">
        <v>13</v>
      </c>
      <c r="E94">
        <f>NPV($C$7,$B$19*'LBMP_by_Year-Month-Hour'!E$70*'LBMP_by_Year-Month-Hour'!E87,$B$20*'LBMP_by_Year-Month-Hour'!E$102*'LBMP_by_Year-Month-Hour'!E119,$B$21*'LBMP_by_Year-Month-Hour'!E$134*'LBMP_by_Year-Month-Hour'!E151,$B$22*'LBMP_by_Year-Month-Hour'!E$166*'LBMP_by_Year-Month-Hour'!E183,$B$23*'LBMP_by_Year-Month-Hour'!E$198*'LBMP_by_Year-Month-Hour'!E215,$B$24*'LBMP_by_Year-Month-Hour'!E$230*'LBMP_by_Year-Month-Hour'!E247,$B$25*'LBMP_by_Year-Month-Hour'!E$262*'LBMP_by_Year-Month-Hour'!E279,$B$26*'LBMP_by_Year-Month-Hour'!E$294*'LBMP_by_Year-Month-Hour'!E311,$B$27*'LBMP_by_Year-Month-Hour'!E$326*'LBMP_by_Year-Month-Hour'!E343,$B$28*'LBMP_by_Year-Month-Hour'!E$358*'LBMP_by_Year-Month-Hour'!E375,$B$29*'LBMP_by_Year-Month-Hour'!E$390*'LBMP_by_Year-Month-Hour'!E407,$B$30*'LBMP_by_Year-Month-Hour'!E$422*'LBMP_by_Year-Month-Hour'!E439,$B$31*'LBMP_by_Year-Month-Hour'!E$454*'LBMP_by_Year-Month-Hour'!E471,$B$32*'LBMP_by_Year-Month-Hour'!E$486*'LBMP_by_Year-Month-Hour'!E503,$B$33*'LBMP_by_Year-Month-Hour'!E$518*'LBMP_by_Year-Month-Hour'!E535,$B$34*'LBMP_by_Year-Month-Hour'!E$550*'LBMP_by_Year-Month-Hour'!E567,$B$35*'LBMP_by_Year-Month-Hour'!E$582*'LBMP_by_Year-Month-Hour'!E599)*E32/$C$6/24</f>
        <v>0</v>
      </c>
      <c r="G94">
        <v>13</v>
      </c>
      <c r="H94">
        <f>NPV($C$7,$B$19*'LBMP_by_Year-Month-Hour'!H$70*'LBMP_by_Year-Month-Hour'!H87,$B$20*'LBMP_by_Year-Month-Hour'!H$102*'LBMP_by_Year-Month-Hour'!H119,$B$21*'LBMP_by_Year-Month-Hour'!H$134*'LBMP_by_Year-Month-Hour'!H151,$B$22*'LBMP_by_Year-Month-Hour'!H$166*'LBMP_by_Year-Month-Hour'!H183,$B$23*'LBMP_by_Year-Month-Hour'!H$198*'LBMP_by_Year-Month-Hour'!H215,$B$24*'LBMP_by_Year-Month-Hour'!H$230*'LBMP_by_Year-Month-Hour'!H247,$B$25*'LBMP_by_Year-Month-Hour'!H$262*'LBMP_by_Year-Month-Hour'!H279,$B$26*'LBMP_by_Year-Month-Hour'!H$294*'LBMP_by_Year-Month-Hour'!H311,$B$27*'LBMP_by_Year-Month-Hour'!H$326*'LBMP_by_Year-Month-Hour'!H343,$B$28*'LBMP_by_Year-Month-Hour'!H$358*'LBMP_by_Year-Month-Hour'!H375,$B$29*'LBMP_by_Year-Month-Hour'!H$390*'LBMP_by_Year-Month-Hour'!H407,$B$30*'LBMP_by_Year-Month-Hour'!H$422*'LBMP_by_Year-Month-Hour'!H439,$B$31*'LBMP_by_Year-Month-Hour'!H$454*'LBMP_by_Year-Month-Hour'!H471,$B$32*'LBMP_by_Year-Month-Hour'!H$486*'LBMP_by_Year-Month-Hour'!H503,$B$33*'LBMP_by_Year-Month-Hour'!H$518*'LBMP_by_Year-Month-Hour'!H535,$B$34*'LBMP_by_Year-Month-Hour'!H$550*'LBMP_by_Year-Month-Hour'!H567,$B$35*'LBMP_by_Year-Month-Hour'!H$582*'LBMP_by_Year-Month-Hour'!H599)*H32/$C$6/24</f>
        <v>0</v>
      </c>
      <c r="J94">
        <v>13</v>
      </c>
      <c r="K94">
        <f>NPV($C$7,$B$19*'LBMP_by_Year-Month-Hour'!K$70*'LBMP_by_Year-Month-Hour'!K87,$B$20*'LBMP_by_Year-Month-Hour'!K$102*'LBMP_by_Year-Month-Hour'!K119,$B$21*'LBMP_by_Year-Month-Hour'!K$134*'LBMP_by_Year-Month-Hour'!K151,$B$22*'LBMP_by_Year-Month-Hour'!K$166*'LBMP_by_Year-Month-Hour'!K183,$B$23*'LBMP_by_Year-Month-Hour'!K$198*'LBMP_by_Year-Month-Hour'!K215,$B$24*'LBMP_by_Year-Month-Hour'!K$230*'LBMP_by_Year-Month-Hour'!K247,$B$25*'LBMP_by_Year-Month-Hour'!K$262*'LBMP_by_Year-Month-Hour'!K279,$B$26*'LBMP_by_Year-Month-Hour'!K$294*'LBMP_by_Year-Month-Hour'!K311,$B$27*'LBMP_by_Year-Month-Hour'!K$326*'LBMP_by_Year-Month-Hour'!K343,$B$28*'LBMP_by_Year-Month-Hour'!K$358*'LBMP_by_Year-Month-Hour'!K375,$B$29*'LBMP_by_Year-Month-Hour'!K$390*'LBMP_by_Year-Month-Hour'!K407,$B$30*'LBMP_by_Year-Month-Hour'!K$422*'LBMP_by_Year-Month-Hour'!K439,$B$31*'LBMP_by_Year-Month-Hour'!K$454*'LBMP_by_Year-Month-Hour'!K471,$B$32*'LBMP_by_Year-Month-Hour'!K$486*'LBMP_by_Year-Month-Hour'!K503,$B$33*'LBMP_by_Year-Month-Hour'!K$518*'LBMP_by_Year-Month-Hour'!K535,$B$34*'LBMP_by_Year-Month-Hour'!K$550*'LBMP_by_Year-Month-Hour'!K567,$B$35*'LBMP_by_Year-Month-Hour'!K$582*'LBMP_by_Year-Month-Hour'!K599)*K32/$C$6/24</f>
        <v>0</v>
      </c>
      <c r="M94">
        <v>13</v>
      </c>
      <c r="N94">
        <f>NPV($C$7,$B$19*'LBMP_by_Year-Month-Hour'!N$70*'LBMP_by_Year-Month-Hour'!N87,$B$20*'LBMP_by_Year-Month-Hour'!N$102*'LBMP_by_Year-Month-Hour'!N119,$B$21*'LBMP_by_Year-Month-Hour'!N$134*'LBMP_by_Year-Month-Hour'!N151,$B$22*'LBMP_by_Year-Month-Hour'!N$166*'LBMP_by_Year-Month-Hour'!N183,$B$23*'LBMP_by_Year-Month-Hour'!N$198*'LBMP_by_Year-Month-Hour'!N215,$B$24*'LBMP_by_Year-Month-Hour'!N$230*'LBMP_by_Year-Month-Hour'!N247,$B$25*'LBMP_by_Year-Month-Hour'!N$262*'LBMP_by_Year-Month-Hour'!N279,$B$26*'LBMP_by_Year-Month-Hour'!N$294*'LBMP_by_Year-Month-Hour'!N311,$B$27*'LBMP_by_Year-Month-Hour'!N$326*'LBMP_by_Year-Month-Hour'!N343,$B$28*'LBMP_by_Year-Month-Hour'!N$358*'LBMP_by_Year-Month-Hour'!N375,$B$29*'LBMP_by_Year-Month-Hour'!N$390*'LBMP_by_Year-Month-Hour'!N407,$B$30*'LBMP_by_Year-Month-Hour'!N$422*'LBMP_by_Year-Month-Hour'!N439,$B$31*'LBMP_by_Year-Month-Hour'!N$454*'LBMP_by_Year-Month-Hour'!N471,$B$32*'LBMP_by_Year-Month-Hour'!N$486*'LBMP_by_Year-Month-Hour'!N503,$B$33*'LBMP_by_Year-Month-Hour'!N$518*'LBMP_by_Year-Month-Hour'!N535,$B$34*'LBMP_by_Year-Month-Hour'!N$550*'LBMP_by_Year-Month-Hour'!N567,$B$35*'LBMP_by_Year-Month-Hour'!N$582*'LBMP_by_Year-Month-Hour'!N599)*N32/$C$6/24</f>
        <v>0</v>
      </c>
      <c r="P94">
        <v>13</v>
      </c>
      <c r="Q94">
        <f>NPV($C$7,$B$19*'LBMP_by_Year-Month-Hour'!Q$70*'LBMP_by_Year-Month-Hour'!Q87,$B$20*'LBMP_by_Year-Month-Hour'!Q$102*'LBMP_by_Year-Month-Hour'!Q119,$B$21*'LBMP_by_Year-Month-Hour'!Q$134*'LBMP_by_Year-Month-Hour'!Q151,$B$22*'LBMP_by_Year-Month-Hour'!Q$166*'LBMP_by_Year-Month-Hour'!Q183,$B$23*'LBMP_by_Year-Month-Hour'!Q$198*'LBMP_by_Year-Month-Hour'!Q215,$B$24*'LBMP_by_Year-Month-Hour'!Q$230*'LBMP_by_Year-Month-Hour'!Q247,$B$25*'LBMP_by_Year-Month-Hour'!Q$262*'LBMP_by_Year-Month-Hour'!Q279,$B$26*'LBMP_by_Year-Month-Hour'!Q$294*'LBMP_by_Year-Month-Hour'!Q311,$B$27*'LBMP_by_Year-Month-Hour'!Q$326*'LBMP_by_Year-Month-Hour'!Q343,$B$28*'LBMP_by_Year-Month-Hour'!Q$358*'LBMP_by_Year-Month-Hour'!Q375,$B$29*'LBMP_by_Year-Month-Hour'!Q$390*'LBMP_by_Year-Month-Hour'!Q407,$B$30*'LBMP_by_Year-Month-Hour'!Q$422*'LBMP_by_Year-Month-Hour'!Q439,$B$31*'LBMP_by_Year-Month-Hour'!Q$454*'LBMP_by_Year-Month-Hour'!Q471,$B$32*'LBMP_by_Year-Month-Hour'!Q$486*'LBMP_by_Year-Month-Hour'!Q503,$B$33*'LBMP_by_Year-Month-Hour'!Q$518*'LBMP_by_Year-Month-Hour'!Q535,$B$34*'LBMP_by_Year-Month-Hour'!Q$550*'LBMP_by_Year-Month-Hour'!Q567,$B$35*'LBMP_by_Year-Month-Hour'!Q$582*'LBMP_by_Year-Month-Hour'!Q599)*Q32/$C$6/24</f>
        <v>0</v>
      </c>
      <c r="S94">
        <v>13</v>
      </c>
      <c r="T94">
        <f>NPV($C$7,$B$19*'LBMP_by_Year-Month-Hour'!T$70*'LBMP_by_Year-Month-Hour'!T87,$B$20*'LBMP_by_Year-Month-Hour'!T$102*'LBMP_by_Year-Month-Hour'!T119,$B$21*'LBMP_by_Year-Month-Hour'!T$134*'LBMP_by_Year-Month-Hour'!T151,$B$22*'LBMP_by_Year-Month-Hour'!T$166*'LBMP_by_Year-Month-Hour'!T183,$B$23*'LBMP_by_Year-Month-Hour'!T$198*'LBMP_by_Year-Month-Hour'!T215,$B$24*'LBMP_by_Year-Month-Hour'!T$230*'LBMP_by_Year-Month-Hour'!T247,$B$25*'LBMP_by_Year-Month-Hour'!T$262*'LBMP_by_Year-Month-Hour'!T279,$B$26*'LBMP_by_Year-Month-Hour'!T$294*'LBMP_by_Year-Month-Hour'!T311,$B$27*'LBMP_by_Year-Month-Hour'!T$326*'LBMP_by_Year-Month-Hour'!T343,$B$28*'LBMP_by_Year-Month-Hour'!T$358*'LBMP_by_Year-Month-Hour'!T375,$B$29*'LBMP_by_Year-Month-Hour'!T$390*'LBMP_by_Year-Month-Hour'!T407,$B$30*'LBMP_by_Year-Month-Hour'!T$422*'LBMP_by_Year-Month-Hour'!T439,$B$31*'LBMP_by_Year-Month-Hour'!T$454*'LBMP_by_Year-Month-Hour'!T471,$B$32*'LBMP_by_Year-Month-Hour'!T$486*'LBMP_by_Year-Month-Hour'!T503,$B$33*'LBMP_by_Year-Month-Hour'!T$518*'LBMP_by_Year-Month-Hour'!T535,$B$34*'LBMP_by_Year-Month-Hour'!T$550*'LBMP_by_Year-Month-Hour'!T567,$B$35*'LBMP_by_Year-Month-Hour'!T$582*'LBMP_by_Year-Month-Hour'!T599)*T32/$C$6/24</f>
        <v>14076.881228199751</v>
      </c>
      <c r="V94">
        <v>13</v>
      </c>
      <c r="W94">
        <f>NPV($C$7,$B$19*'LBMP_by_Year-Month-Hour'!W$70*'LBMP_by_Year-Month-Hour'!W87,$B$20*'LBMP_by_Year-Month-Hour'!W$102*'LBMP_by_Year-Month-Hour'!W119,$B$21*'LBMP_by_Year-Month-Hour'!W$134*'LBMP_by_Year-Month-Hour'!W151,$B$22*'LBMP_by_Year-Month-Hour'!W$166*'LBMP_by_Year-Month-Hour'!W183,$B$23*'LBMP_by_Year-Month-Hour'!W$198*'LBMP_by_Year-Month-Hour'!W215,$B$24*'LBMP_by_Year-Month-Hour'!W$230*'LBMP_by_Year-Month-Hour'!W247,$B$25*'LBMP_by_Year-Month-Hour'!W$262*'LBMP_by_Year-Month-Hour'!W279,$B$26*'LBMP_by_Year-Month-Hour'!W$294*'LBMP_by_Year-Month-Hour'!W311,$B$27*'LBMP_by_Year-Month-Hour'!W$326*'LBMP_by_Year-Month-Hour'!W343,$B$28*'LBMP_by_Year-Month-Hour'!W$358*'LBMP_by_Year-Month-Hour'!W375,$B$29*'LBMP_by_Year-Month-Hour'!W$390*'LBMP_by_Year-Month-Hour'!W407,$B$30*'LBMP_by_Year-Month-Hour'!W$422*'LBMP_by_Year-Month-Hour'!W439,$B$31*'LBMP_by_Year-Month-Hour'!W$454*'LBMP_by_Year-Month-Hour'!W471,$B$32*'LBMP_by_Year-Month-Hour'!W$486*'LBMP_by_Year-Month-Hour'!W503,$B$33*'LBMP_by_Year-Month-Hour'!W$518*'LBMP_by_Year-Month-Hour'!W535,$B$34*'LBMP_by_Year-Month-Hour'!W$550*'LBMP_by_Year-Month-Hour'!W567,$B$35*'LBMP_by_Year-Month-Hour'!W$582*'LBMP_by_Year-Month-Hour'!W599)*W32/$C$6/24</f>
        <v>18168.228399000709</v>
      </c>
      <c r="Y94">
        <v>13</v>
      </c>
      <c r="Z94">
        <f>NPV($C$7,$B$19*'LBMP_by_Year-Month-Hour'!Z$70*'LBMP_by_Year-Month-Hour'!Z87,$B$20*'LBMP_by_Year-Month-Hour'!Z$102*'LBMP_by_Year-Month-Hour'!Z119,$B$21*'LBMP_by_Year-Month-Hour'!Z$134*'LBMP_by_Year-Month-Hour'!Z151,$B$22*'LBMP_by_Year-Month-Hour'!Z$166*'LBMP_by_Year-Month-Hour'!Z183,$B$23*'LBMP_by_Year-Month-Hour'!Z$198*'LBMP_by_Year-Month-Hour'!Z215,$B$24*'LBMP_by_Year-Month-Hour'!Z$230*'LBMP_by_Year-Month-Hour'!Z247,$B$25*'LBMP_by_Year-Month-Hour'!Z$262*'LBMP_by_Year-Month-Hour'!Z279,$B$26*'LBMP_by_Year-Month-Hour'!Z$294*'LBMP_by_Year-Month-Hour'!Z311,$B$27*'LBMP_by_Year-Month-Hour'!Z$326*'LBMP_by_Year-Month-Hour'!Z343,$B$28*'LBMP_by_Year-Month-Hour'!Z$358*'LBMP_by_Year-Month-Hour'!Z375,$B$29*'LBMP_by_Year-Month-Hour'!Z$390*'LBMP_by_Year-Month-Hour'!Z407,$B$30*'LBMP_by_Year-Month-Hour'!Z$422*'LBMP_by_Year-Month-Hour'!Z439,$B$31*'LBMP_by_Year-Month-Hour'!Z$454*'LBMP_by_Year-Month-Hour'!Z471,$B$32*'LBMP_by_Year-Month-Hour'!Z$486*'LBMP_by_Year-Month-Hour'!Z503,$B$33*'LBMP_by_Year-Month-Hour'!Z$518*'LBMP_by_Year-Month-Hour'!Z535,$B$34*'LBMP_by_Year-Month-Hour'!Z$550*'LBMP_by_Year-Month-Hour'!Z567,$B$35*'LBMP_by_Year-Month-Hour'!Z$582*'LBMP_by_Year-Month-Hour'!Z599)*Z32/$C$6/24</f>
        <v>18375.462279885778</v>
      </c>
      <c r="AB94">
        <v>13</v>
      </c>
      <c r="AC94">
        <f>NPV($C$7,$B$19*'LBMP_by_Year-Month-Hour'!AC$70*'LBMP_by_Year-Month-Hour'!AC87,$B$20*'LBMP_by_Year-Month-Hour'!AC$102*'LBMP_by_Year-Month-Hour'!AC119,$B$21*'LBMP_by_Year-Month-Hour'!AC$134*'LBMP_by_Year-Month-Hour'!AC151,$B$22*'LBMP_by_Year-Month-Hour'!AC$166*'LBMP_by_Year-Month-Hour'!AC183,$B$23*'LBMP_by_Year-Month-Hour'!AC$198*'LBMP_by_Year-Month-Hour'!AC215,$B$24*'LBMP_by_Year-Month-Hour'!AC$230*'LBMP_by_Year-Month-Hour'!AC247,$B$25*'LBMP_by_Year-Month-Hour'!AC$262*'LBMP_by_Year-Month-Hour'!AC279,$B$26*'LBMP_by_Year-Month-Hour'!AC$294*'LBMP_by_Year-Month-Hour'!AC311,$B$27*'LBMP_by_Year-Month-Hour'!AC$326*'LBMP_by_Year-Month-Hour'!AC343,$B$28*'LBMP_by_Year-Month-Hour'!AC$358*'LBMP_by_Year-Month-Hour'!AC375,$B$29*'LBMP_by_Year-Month-Hour'!AC$390*'LBMP_by_Year-Month-Hour'!AC407,$B$30*'LBMP_by_Year-Month-Hour'!AC$422*'LBMP_by_Year-Month-Hour'!AC439,$B$31*'LBMP_by_Year-Month-Hour'!AC$454*'LBMP_by_Year-Month-Hour'!AC471,$B$32*'LBMP_by_Year-Month-Hour'!AC$486*'LBMP_by_Year-Month-Hour'!AC503,$B$33*'LBMP_by_Year-Month-Hour'!AC$518*'LBMP_by_Year-Month-Hour'!AC535,$B$34*'LBMP_by_Year-Month-Hour'!AC$550*'LBMP_by_Year-Month-Hour'!AC567,$B$35*'LBMP_by_Year-Month-Hour'!AC$582*'LBMP_by_Year-Month-Hour'!AC599)*AC32/$C$6/24</f>
        <v>15201.823616395823</v>
      </c>
      <c r="AE94">
        <v>13</v>
      </c>
      <c r="AF94">
        <f>NPV($C$7,$B$19*'LBMP_by_Year-Month-Hour'!AF$70*'LBMP_by_Year-Month-Hour'!AF87,$B$20*'LBMP_by_Year-Month-Hour'!AF$102*'LBMP_by_Year-Month-Hour'!AF119,$B$21*'LBMP_by_Year-Month-Hour'!AF$134*'LBMP_by_Year-Month-Hour'!AF151,$B$22*'LBMP_by_Year-Month-Hour'!AF$166*'LBMP_by_Year-Month-Hour'!AF183,$B$23*'LBMP_by_Year-Month-Hour'!AF$198*'LBMP_by_Year-Month-Hour'!AF215,$B$24*'LBMP_by_Year-Month-Hour'!AF$230*'LBMP_by_Year-Month-Hour'!AF247,$B$25*'LBMP_by_Year-Month-Hour'!AF$262*'LBMP_by_Year-Month-Hour'!AF279,$B$26*'LBMP_by_Year-Month-Hour'!AF$294*'LBMP_by_Year-Month-Hour'!AF311,$B$27*'LBMP_by_Year-Month-Hour'!AF$326*'LBMP_by_Year-Month-Hour'!AF343,$B$28*'LBMP_by_Year-Month-Hour'!AF$358*'LBMP_by_Year-Month-Hour'!AF375,$B$29*'LBMP_by_Year-Month-Hour'!AF$390*'LBMP_by_Year-Month-Hour'!AF407,$B$30*'LBMP_by_Year-Month-Hour'!AF$422*'LBMP_by_Year-Month-Hour'!AF439,$B$31*'LBMP_by_Year-Month-Hour'!AF$454*'LBMP_by_Year-Month-Hour'!AF471,$B$32*'LBMP_by_Year-Month-Hour'!AF$486*'LBMP_by_Year-Month-Hour'!AF503,$B$33*'LBMP_by_Year-Month-Hour'!AF$518*'LBMP_by_Year-Month-Hour'!AF535,$B$34*'LBMP_by_Year-Month-Hour'!AF$550*'LBMP_by_Year-Month-Hour'!AF567,$B$35*'LBMP_by_Year-Month-Hour'!AF$582*'LBMP_by_Year-Month-Hour'!AF599)*AF32/$C$6/24</f>
        <v>0</v>
      </c>
      <c r="AH94">
        <v>13</v>
      </c>
      <c r="AI94">
        <f>NPV($C$7,$B$19*'LBMP_by_Year-Month-Hour'!AI$70*'LBMP_by_Year-Month-Hour'!AI87,$B$20*'LBMP_by_Year-Month-Hour'!AI$102*'LBMP_by_Year-Month-Hour'!AI119,$B$21*'LBMP_by_Year-Month-Hour'!AI$134*'LBMP_by_Year-Month-Hour'!AI151,$B$22*'LBMP_by_Year-Month-Hour'!AI$166*'LBMP_by_Year-Month-Hour'!AI183,$B$23*'LBMP_by_Year-Month-Hour'!AI$198*'LBMP_by_Year-Month-Hour'!AI215,$B$24*'LBMP_by_Year-Month-Hour'!AI$230*'LBMP_by_Year-Month-Hour'!AI247,$B$25*'LBMP_by_Year-Month-Hour'!AI$262*'LBMP_by_Year-Month-Hour'!AI279,$B$26*'LBMP_by_Year-Month-Hour'!AI$294*'LBMP_by_Year-Month-Hour'!AI311,$B$27*'LBMP_by_Year-Month-Hour'!AI$326*'LBMP_by_Year-Month-Hour'!AI343,$B$28*'LBMP_by_Year-Month-Hour'!AI$358*'LBMP_by_Year-Month-Hour'!AI375,$B$29*'LBMP_by_Year-Month-Hour'!AI$390*'LBMP_by_Year-Month-Hour'!AI407,$B$30*'LBMP_by_Year-Month-Hour'!AI$422*'LBMP_by_Year-Month-Hour'!AI439,$B$31*'LBMP_by_Year-Month-Hour'!AI$454*'LBMP_by_Year-Month-Hour'!AI471,$B$32*'LBMP_by_Year-Month-Hour'!AI$486*'LBMP_by_Year-Month-Hour'!AI503,$B$33*'LBMP_by_Year-Month-Hour'!AI$518*'LBMP_by_Year-Month-Hour'!AI535,$B$34*'LBMP_by_Year-Month-Hour'!AI$550*'LBMP_by_Year-Month-Hour'!AI567,$B$35*'LBMP_by_Year-Month-Hour'!AI$582*'LBMP_by_Year-Month-Hour'!AI599)*AI32/$C$6/24</f>
        <v>0</v>
      </c>
      <c r="AK94">
        <v>13</v>
      </c>
      <c r="AL94">
        <f>NPV($C$7,$B$19*'LBMP_by_Year-Month-Hour'!AL$70*'LBMP_by_Year-Month-Hour'!AL87,$B$20*'LBMP_by_Year-Month-Hour'!AL$102*'LBMP_by_Year-Month-Hour'!AL119,$B$21*'LBMP_by_Year-Month-Hour'!AL$134*'LBMP_by_Year-Month-Hour'!AL151,$B$22*'LBMP_by_Year-Month-Hour'!AL$166*'LBMP_by_Year-Month-Hour'!AL183,$B$23*'LBMP_by_Year-Month-Hour'!AL$198*'LBMP_by_Year-Month-Hour'!AL215,$B$24*'LBMP_by_Year-Month-Hour'!AL$230*'LBMP_by_Year-Month-Hour'!AL247,$B$25*'LBMP_by_Year-Month-Hour'!AL$262*'LBMP_by_Year-Month-Hour'!AL279,$B$26*'LBMP_by_Year-Month-Hour'!AL$294*'LBMP_by_Year-Month-Hour'!AL311,$B$27*'LBMP_by_Year-Month-Hour'!AL$326*'LBMP_by_Year-Month-Hour'!AL343,$B$28*'LBMP_by_Year-Month-Hour'!AL$358*'LBMP_by_Year-Month-Hour'!AL375,$B$29*'LBMP_by_Year-Month-Hour'!AL$390*'LBMP_by_Year-Month-Hour'!AL407,$B$30*'LBMP_by_Year-Month-Hour'!AL$422*'LBMP_by_Year-Month-Hour'!AL439,$B$31*'LBMP_by_Year-Month-Hour'!AL$454*'LBMP_by_Year-Month-Hour'!AL471,$B$32*'LBMP_by_Year-Month-Hour'!AL$486*'LBMP_by_Year-Month-Hour'!AL503,$B$33*'LBMP_by_Year-Month-Hour'!AL$518*'LBMP_by_Year-Month-Hour'!AL535,$B$34*'LBMP_by_Year-Month-Hour'!AL$550*'LBMP_by_Year-Month-Hour'!AL567,$B$35*'LBMP_by_Year-Month-Hour'!AL$582*'LBMP_by_Year-Month-Hour'!AL599)*AL32/$C$6/24</f>
        <v>0</v>
      </c>
    </row>
    <row r="95" spans="1:38">
      <c r="A95">
        <v>14</v>
      </c>
      <c r="B95">
        <f t="shared" si="10"/>
        <v>98209.253532463568</v>
      </c>
      <c r="D95">
        <v>14</v>
      </c>
      <c r="E95">
        <f>NPV($C$7,$B$19*'LBMP_by_Year-Month-Hour'!E$70*'LBMP_by_Year-Month-Hour'!E88,$B$20*'LBMP_by_Year-Month-Hour'!E$102*'LBMP_by_Year-Month-Hour'!E120,$B$21*'LBMP_by_Year-Month-Hour'!E$134*'LBMP_by_Year-Month-Hour'!E152,$B$22*'LBMP_by_Year-Month-Hour'!E$166*'LBMP_by_Year-Month-Hour'!E184,$B$23*'LBMP_by_Year-Month-Hour'!E$198*'LBMP_by_Year-Month-Hour'!E216,$B$24*'LBMP_by_Year-Month-Hour'!E$230*'LBMP_by_Year-Month-Hour'!E248,$B$25*'LBMP_by_Year-Month-Hour'!E$262*'LBMP_by_Year-Month-Hour'!E280,$B$26*'LBMP_by_Year-Month-Hour'!E$294*'LBMP_by_Year-Month-Hour'!E312,$B$27*'LBMP_by_Year-Month-Hour'!E$326*'LBMP_by_Year-Month-Hour'!E344,$B$28*'LBMP_by_Year-Month-Hour'!E$358*'LBMP_by_Year-Month-Hour'!E376,$B$29*'LBMP_by_Year-Month-Hour'!E$390*'LBMP_by_Year-Month-Hour'!E408,$B$30*'LBMP_by_Year-Month-Hour'!E$422*'LBMP_by_Year-Month-Hour'!E440,$B$31*'LBMP_by_Year-Month-Hour'!E$454*'LBMP_by_Year-Month-Hour'!E472,$B$32*'LBMP_by_Year-Month-Hour'!E$486*'LBMP_by_Year-Month-Hour'!E504,$B$33*'LBMP_by_Year-Month-Hour'!E$518*'LBMP_by_Year-Month-Hour'!E536,$B$34*'LBMP_by_Year-Month-Hour'!E$550*'LBMP_by_Year-Month-Hour'!E568,$B$35*'LBMP_by_Year-Month-Hour'!E$582*'LBMP_by_Year-Month-Hour'!E600)*E33/$C$6/24</f>
        <v>0</v>
      </c>
      <c r="G95">
        <v>14</v>
      </c>
      <c r="H95">
        <f>NPV($C$7,$B$19*'LBMP_by_Year-Month-Hour'!H$70*'LBMP_by_Year-Month-Hour'!H88,$B$20*'LBMP_by_Year-Month-Hour'!H$102*'LBMP_by_Year-Month-Hour'!H120,$B$21*'LBMP_by_Year-Month-Hour'!H$134*'LBMP_by_Year-Month-Hour'!H152,$B$22*'LBMP_by_Year-Month-Hour'!H$166*'LBMP_by_Year-Month-Hour'!H184,$B$23*'LBMP_by_Year-Month-Hour'!H$198*'LBMP_by_Year-Month-Hour'!H216,$B$24*'LBMP_by_Year-Month-Hour'!H$230*'LBMP_by_Year-Month-Hour'!H248,$B$25*'LBMP_by_Year-Month-Hour'!H$262*'LBMP_by_Year-Month-Hour'!H280,$B$26*'LBMP_by_Year-Month-Hour'!H$294*'LBMP_by_Year-Month-Hour'!H312,$B$27*'LBMP_by_Year-Month-Hour'!H$326*'LBMP_by_Year-Month-Hour'!H344,$B$28*'LBMP_by_Year-Month-Hour'!H$358*'LBMP_by_Year-Month-Hour'!H376,$B$29*'LBMP_by_Year-Month-Hour'!H$390*'LBMP_by_Year-Month-Hour'!H408,$B$30*'LBMP_by_Year-Month-Hour'!H$422*'LBMP_by_Year-Month-Hour'!H440,$B$31*'LBMP_by_Year-Month-Hour'!H$454*'LBMP_by_Year-Month-Hour'!H472,$B$32*'LBMP_by_Year-Month-Hour'!H$486*'LBMP_by_Year-Month-Hour'!H504,$B$33*'LBMP_by_Year-Month-Hour'!H$518*'LBMP_by_Year-Month-Hour'!H536,$B$34*'LBMP_by_Year-Month-Hour'!H$550*'LBMP_by_Year-Month-Hour'!H568,$B$35*'LBMP_by_Year-Month-Hour'!H$582*'LBMP_by_Year-Month-Hour'!H600)*H33/$C$6/24</f>
        <v>0</v>
      </c>
      <c r="J95">
        <v>14</v>
      </c>
      <c r="K95">
        <f>NPV($C$7,$B$19*'LBMP_by_Year-Month-Hour'!K$70*'LBMP_by_Year-Month-Hour'!K88,$B$20*'LBMP_by_Year-Month-Hour'!K$102*'LBMP_by_Year-Month-Hour'!K120,$B$21*'LBMP_by_Year-Month-Hour'!K$134*'LBMP_by_Year-Month-Hour'!K152,$B$22*'LBMP_by_Year-Month-Hour'!K$166*'LBMP_by_Year-Month-Hour'!K184,$B$23*'LBMP_by_Year-Month-Hour'!K$198*'LBMP_by_Year-Month-Hour'!K216,$B$24*'LBMP_by_Year-Month-Hour'!K$230*'LBMP_by_Year-Month-Hour'!K248,$B$25*'LBMP_by_Year-Month-Hour'!K$262*'LBMP_by_Year-Month-Hour'!K280,$B$26*'LBMP_by_Year-Month-Hour'!K$294*'LBMP_by_Year-Month-Hour'!K312,$B$27*'LBMP_by_Year-Month-Hour'!K$326*'LBMP_by_Year-Month-Hour'!K344,$B$28*'LBMP_by_Year-Month-Hour'!K$358*'LBMP_by_Year-Month-Hour'!K376,$B$29*'LBMP_by_Year-Month-Hour'!K$390*'LBMP_by_Year-Month-Hour'!K408,$B$30*'LBMP_by_Year-Month-Hour'!K$422*'LBMP_by_Year-Month-Hour'!K440,$B$31*'LBMP_by_Year-Month-Hour'!K$454*'LBMP_by_Year-Month-Hour'!K472,$B$32*'LBMP_by_Year-Month-Hour'!K$486*'LBMP_by_Year-Month-Hour'!K504,$B$33*'LBMP_by_Year-Month-Hour'!K$518*'LBMP_by_Year-Month-Hour'!K536,$B$34*'LBMP_by_Year-Month-Hour'!K$550*'LBMP_by_Year-Month-Hour'!K568,$B$35*'LBMP_by_Year-Month-Hour'!K$582*'LBMP_by_Year-Month-Hour'!K600)*K33/$C$6/24</f>
        <v>0</v>
      </c>
      <c r="M95">
        <v>14</v>
      </c>
      <c r="N95">
        <f>NPV($C$7,$B$19*'LBMP_by_Year-Month-Hour'!N$70*'LBMP_by_Year-Month-Hour'!N88,$B$20*'LBMP_by_Year-Month-Hour'!N$102*'LBMP_by_Year-Month-Hour'!N120,$B$21*'LBMP_by_Year-Month-Hour'!N$134*'LBMP_by_Year-Month-Hour'!N152,$B$22*'LBMP_by_Year-Month-Hour'!N$166*'LBMP_by_Year-Month-Hour'!N184,$B$23*'LBMP_by_Year-Month-Hour'!N$198*'LBMP_by_Year-Month-Hour'!N216,$B$24*'LBMP_by_Year-Month-Hour'!N$230*'LBMP_by_Year-Month-Hour'!N248,$B$25*'LBMP_by_Year-Month-Hour'!N$262*'LBMP_by_Year-Month-Hour'!N280,$B$26*'LBMP_by_Year-Month-Hour'!N$294*'LBMP_by_Year-Month-Hour'!N312,$B$27*'LBMP_by_Year-Month-Hour'!N$326*'LBMP_by_Year-Month-Hour'!N344,$B$28*'LBMP_by_Year-Month-Hour'!N$358*'LBMP_by_Year-Month-Hour'!N376,$B$29*'LBMP_by_Year-Month-Hour'!N$390*'LBMP_by_Year-Month-Hour'!N408,$B$30*'LBMP_by_Year-Month-Hour'!N$422*'LBMP_by_Year-Month-Hour'!N440,$B$31*'LBMP_by_Year-Month-Hour'!N$454*'LBMP_by_Year-Month-Hour'!N472,$B$32*'LBMP_by_Year-Month-Hour'!N$486*'LBMP_by_Year-Month-Hour'!N504,$B$33*'LBMP_by_Year-Month-Hour'!N$518*'LBMP_by_Year-Month-Hour'!N536,$B$34*'LBMP_by_Year-Month-Hour'!N$550*'LBMP_by_Year-Month-Hour'!N568,$B$35*'LBMP_by_Year-Month-Hour'!N$582*'LBMP_by_Year-Month-Hour'!N600)*N33/$C$6/24</f>
        <v>0</v>
      </c>
      <c r="P95">
        <v>14</v>
      </c>
      <c r="Q95">
        <f>NPV($C$7,$B$19*'LBMP_by_Year-Month-Hour'!Q$70*'LBMP_by_Year-Month-Hour'!Q88,$B$20*'LBMP_by_Year-Month-Hour'!Q$102*'LBMP_by_Year-Month-Hour'!Q120,$B$21*'LBMP_by_Year-Month-Hour'!Q$134*'LBMP_by_Year-Month-Hour'!Q152,$B$22*'LBMP_by_Year-Month-Hour'!Q$166*'LBMP_by_Year-Month-Hour'!Q184,$B$23*'LBMP_by_Year-Month-Hour'!Q$198*'LBMP_by_Year-Month-Hour'!Q216,$B$24*'LBMP_by_Year-Month-Hour'!Q$230*'LBMP_by_Year-Month-Hour'!Q248,$B$25*'LBMP_by_Year-Month-Hour'!Q$262*'LBMP_by_Year-Month-Hour'!Q280,$B$26*'LBMP_by_Year-Month-Hour'!Q$294*'LBMP_by_Year-Month-Hour'!Q312,$B$27*'LBMP_by_Year-Month-Hour'!Q$326*'LBMP_by_Year-Month-Hour'!Q344,$B$28*'LBMP_by_Year-Month-Hour'!Q$358*'LBMP_by_Year-Month-Hour'!Q376,$B$29*'LBMP_by_Year-Month-Hour'!Q$390*'LBMP_by_Year-Month-Hour'!Q408,$B$30*'LBMP_by_Year-Month-Hour'!Q$422*'LBMP_by_Year-Month-Hour'!Q440,$B$31*'LBMP_by_Year-Month-Hour'!Q$454*'LBMP_by_Year-Month-Hour'!Q472,$B$32*'LBMP_by_Year-Month-Hour'!Q$486*'LBMP_by_Year-Month-Hour'!Q504,$B$33*'LBMP_by_Year-Month-Hour'!Q$518*'LBMP_by_Year-Month-Hour'!Q536,$B$34*'LBMP_by_Year-Month-Hour'!Q$550*'LBMP_by_Year-Month-Hour'!Q568,$B$35*'LBMP_by_Year-Month-Hour'!Q$582*'LBMP_by_Year-Month-Hour'!Q600)*Q33/$C$6/24</f>
        <v>0</v>
      </c>
      <c r="S95">
        <v>14</v>
      </c>
      <c r="T95">
        <f>NPV($C$7,$B$19*'LBMP_by_Year-Month-Hour'!T$70*'LBMP_by_Year-Month-Hour'!T88,$B$20*'LBMP_by_Year-Month-Hour'!T$102*'LBMP_by_Year-Month-Hour'!T120,$B$21*'LBMP_by_Year-Month-Hour'!T$134*'LBMP_by_Year-Month-Hour'!T152,$B$22*'LBMP_by_Year-Month-Hour'!T$166*'LBMP_by_Year-Month-Hour'!T184,$B$23*'LBMP_by_Year-Month-Hour'!T$198*'LBMP_by_Year-Month-Hour'!T216,$B$24*'LBMP_by_Year-Month-Hour'!T$230*'LBMP_by_Year-Month-Hour'!T248,$B$25*'LBMP_by_Year-Month-Hour'!T$262*'LBMP_by_Year-Month-Hour'!T280,$B$26*'LBMP_by_Year-Month-Hour'!T$294*'LBMP_by_Year-Month-Hour'!T312,$B$27*'LBMP_by_Year-Month-Hour'!T$326*'LBMP_by_Year-Month-Hour'!T344,$B$28*'LBMP_by_Year-Month-Hour'!T$358*'LBMP_by_Year-Month-Hour'!T376,$B$29*'LBMP_by_Year-Month-Hour'!T$390*'LBMP_by_Year-Month-Hour'!T408,$B$30*'LBMP_by_Year-Month-Hour'!T$422*'LBMP_by_Year-Month-Hour'!T440,$B$31*'LBMP_by_Year-Month-Hour'!T$454*'LBMP_by_Year-Month-Hour'!T472,$B$32*'LBMP_by_Year-Month-Hour'!T$486*'LBMP_by_Year-Month-Hour'!T504,$B$33*'LBMP_by_Year-Month-Hour'!T$518*'LBMP_by_Year-Month-Hour'!T536,$B$34*'LBMP_by_Year-Month-Hour'!T$550*'LBMP_by_Year-Month-Hour'!T568,$B$35*'LBMP_by_Year-Month-Hour'!T$582*'LBMP_by_Year-Month-Hour'!T600)*T33/$C$6/24</f>
        <v>20920.477569098432</v>
      </c>
      <c r="V95">
        <v>14</v>
      </c>
      <c r="W95">
        <f>NPV($C$7,$B$19*'LBMP_by_Year-Month-Hour'!W$70*'LBMP_by_Year-Month-Hour'!W88,$B$20*'LBMP_by_Year-Month-Hour'!W$102*'LBMP_by_Year-Month-Hour'!W120,$B$21*'LBMP_by_Year-Month-Hour'!W$134*'LBMP_by_Year-Month-Hour'!W152,$B$22*'LBMP_by_Year-Month-Hour'!W$166*'LBMP_by_Year-Month-Hour'!W184,$B$23*'LBMP_by_Year-Month-Hour'!W$198*'LBMP_by_Year-Month-Hour'!W216,$B$24*'LBMP_by_Year-Month-Hour'!W$230*'LBMP_by_Year-Month-Hour'!W248,$B$25*'LBMP_by_Year-Month-Hour'!W$262*'LBMP_by_Year-Month-Hour'!W280,$B$26*'LBMP_by_Year-Month-Hour'!W$294*'LBMP_by_Year-Month-Hour'!W312,$B$27*'LBMP_by_Year-Month-Hour'!W$326*'LBMP_by_Year-Month-Hour'!W344,$B$28*'LBMP_by_Year-Month-Hour'!W$358*'LBMP_by_Year-Month-Hour'!W376,$B$29*'LBMP_by_Year-Month-Hour'!W$390*'LBMP_by_Year-Month-Hour'!W408,$B$30*'LBMP_by_Year-Month-Hour'!W$422*'LBMP_by_Year-Month-Hour'!W440,$B$31*'LBMP_by_Year-Month-Hour'!W$454*'LBMP_by_Year-Month-Hour'!W472,$B$32*'LBMP_by_Year-Month-Hour'!W$486*'LBMP_by_Year-Month-Hour'!W504,$B$33*'LBMP_by_Year-Month-Hour'!W$518*'LBMP_by_Year-Month-Hour'!W536,$B$34*'LBMP_by_Year-Month-Hour'!W$550*'LBMP_by_Year-Month-Hour'!W568,$B$35*'LBMP_by_Year-Month-Hour'!W$582*'LBMP_by_Year-Month-Hour'!W600)*W33/$C$6/24</f>
        <v>27208.99857955068</v>
      </c>
      <c r="Y95">
        <v>14</v>
      </c>
      <c r="Z95">
        <f>NPV($C$7,$B$19*'LBMP_by_Year-Month-Hour'!Z$70*'LBMP_by_Year-Month-Hour'!Z88,$B$20*'LBMP_by_Year-Month-Hour'!Z$102*'LBMP_by_Year-Month-Hour'!Z120,$B$21*'LBMP_by_Year-Month-Hour'!Z$134*'LBMP_by_Year-Month-Hour'!Z152,$B$22*'LBMP_by_Year-Month-Hour'!Z$166*'LBMP_by_Year-Month-Hour'!Z184,$B$23*'LBMP_by_Year-Month-Hour'!Z$198*'LBMP_by_Year-Month-Hour'!Z216,$B$24*'LBMP_by_Year-Month-Hour'!Z$230*'LBMP_by_Year-Month-Hour'!Z248,$B$25*'LBMP_by_Year-Month-Hour'!Z$262*'LBMP_by_Year-Month-Hour'!Z280,$B$26*'LBMP_by_Year-Month-Hour'!Z$294*'LBMP_by_Year-Month-Hour'!Z312,$B$27*'LBMP_by_Year-Month-Hour'!Z$326*'LBMP_by_Year-Month-Hour'!Z344,$B$28*'LBMP_by_Year-Month-Hour'!Z$358*'LBMP_by_Year-Month-Hour'!Z376,$B$29*'LBMP_by_Year-Month-Hour'!Z$390*'LBMP_by_Year-Month-Hour'!Z408,$B$30*'LBMP_by_Year-Month-Hour'!Z$422*'LBMP_by_Year-Month-Hour'!Z440,$B$31*'LBMP_by_Year-Month-Hour'!Z$454*'LBMP_by_Year-Month-Hour'!Z472,$B$32*'LBMP_by_Year-Month-Hour'!Z$486*'LBMP_by_Year-Month-Hour'!Z504,$B$33*'LBMP_by_Year-Month-Hour'!Z$518*'LBMP_by_Year-Month-Hour'!Z536,$B$34*'LBMP_by_Year-Month-Hour'!Z$550*'LBMP_by_Year-Month-Hour'!Z568,$B$35*'LBMP_by_Year-Month-Hour'!Z$582*'LBMP_by_Year-Month-Hour'!Z600)*Z33/$C$6/24</f>
        <v>27671.313645311573</v>
      </c>
      <c r="AB95">
        <v>14</v>
      </c>
      <c r="AC95">
        <f>NPV($C$7,$B$19*'LBMP_by_Year-Month-Hour'!AC$70*'LBMP_by_Year-Month-Hour'!AC88,$B$20*'LBMP_by_Year-Month-Hour'!AC$102*'LBMP_by_Year-Month-Hour'!AC120,$B$21*'LBMP_by_Year-Month-Hour'!AC$134*'LBMP_by_Year-Month-Hour'!AC152,$B$22*'LBMP_by_Year-Month-Hour'!AC$166*'LBMP_by_Year-Month-Hour'!AC184,$B$23*'LBMP_by_Year-Month-Hour'!AC$198*'LBMP_by_Year-Month-Hour'!AC216,$B$24*'LBMP_by_Year-Month-Hour'!AC$230*'LBMP_by_Year-Month-Hour'!AC248,$B$25*'LBMP_by_Year-Month-Hour'!AC$262*'LBMP_by_Year-Month-Hour'!AC280,$B$26*'LBMP_by_Year-Month-Hour'!AC$294*'LBMP_by_Year-Month-Hour'!AC312,$B$27*'LBMP_by_Year-Month-Hour'!AC$326*'LBMP_by_Year-Month-Hour'!AC344,$B$28*'LBMP_by_Year-Month-Hour'!AC$358*'LBMP_by_Year-Month-Hour'!AC376,$B$29*'LBMP_by_Year-Month-Hour'!AC$390*'LBMP_by_Year-Month-Hour'!AC408,$B$30*'LBMP_by_Year-Month-Hour'!AC$422*'LBMP_by_Year-Month-Hour'!AC440,$B$31*'LBMP_by_Year-Month-Hour'!AC$454*'LBMP_by_Year-Month-Hour'!AC472,$B$32*'LBMP_by_Year-Month-Hour'!AC$486*'LBMP_by_Year-Month-Hour'!AC504,$B$33*'LBMP_by_Year-Month-Hour'!AC$518*'LBMP_by_Year-Month-Hour'!AC536,$B$34*'LBMP_by_Year-Month-Hour'!AC$550*'LBMP_by_Year-Month-Hour'!AC568,$B$35*'LBMP_by_Year-Month-Hour'!AC$582*'LBMP_by_Year-Month-Hour'!AC600)*AC33/$C$6/24</f>
        <v>22408.46373850288</v>
      </c>
      <c r="AE95">
        <v>14</v>
      </c>
      <c r="AF95">
        <f>NPV($C$7,$B$19*'LBMP_by_Year-Month-Hour'!AF$70*'LBMP_by_Year-Month-Hour'!AF88,$B$20*'LBMP_by_Year-Month-Hour'!AF$102*'LBMP_by_Year-Month-Hour'!AF120,$B$21*'LBMP_by_Year-Month-Hour'!AF$134*'LBMP_by_Year-Month-Hour'!AF152,$B$22*'LBMP_by_Year-Month-Hour'!AF$166*'LBMP_by_Year-Month-Hour'!AF184,$B$23*'LBMP_by_Year-Month-Hour'!AF$198*'LBMP_by_Year-Month-Hour'!AF216,$B$24*'LBMP_by_Year-Month-Hour'!AF$230*'LBMP_by_Year-Month-Hour'!AF248,$B$25*'LBMP_by_Year-Month-Hour'!AF$262*'LBMP_by_Year-Month-Hour'!AF280,$B$26*'LBMP_by_Year-Month-Hour'!AF$294*'LBMP_by_Year-Month-Hour'!AF312,$B$27*'LBMP_by_Year-Month-Hour'!AF$326*'LBMP_by_Year-Month-Hour'!AF344,$B$28*'LBMP_by_Year-Month-Hour'!AF$358*'LBMP_by_Year-Month-Hour'!AF376,$B$29*'LBMP_by_Year-Month-Hour'!AF$390*'LBMP_by_Year-Month-Hour'!AF408,$B$30*'LBMP_by_Year-Month-Hour'!AF$422*'LBMP_by_Year-Month-Hour'!AF440,$B$31*'LBMP_by_Year-Month-Hour'!AF$454*'LBMP_by_Year-Month-Hour'!AF472,$B$32*'LBMP_by_Year-Month-Hour'!AF$486*'LBMP_by_Year-Month-Hour'!AF504,$B$33*'LBMP_by_Year-Month-Hour'!AF$518*'LBMP_by_Year-Month-Hour'!AF536,$B$34*'LBMP_by_Year-Month-Hour'!AF$550*'LBMP_by_Year-Month-Hour'!AF568,$B$35*'LBMP_by_Year-Month-Hour'!AF$582*'LBMP_by_Year-Month-Hour'!AF600)*AF33/$C$6/24</f>
        <v>0</v>
      </c>
      <c r="AH95">
        <v>14</v>
      </c>
      <c r="AI95">
        <f>NPV($C$7,$B$19*'LBMP_by_Year-Month-Hour'!AI$70*'LBMP_by_Year-Month-Hour'!AI88,$B$20*'LBMP_by_Year-Month-Hour'!AI$102*'LBMP_by_Year-Month-Hour'!AI120,$B$21*'LBMP_by_Year-Month-Hour'!AI$134*'LBMP_by_Year-Month-Hour'!AI152,$B$22*'LBMP_by_Year-Month-Hour'!AI$166*'LBMP_by_Year-Month-Hour'!AI184,$B$23*'LBMP_by_Year-Month-Hour'!AI$198*'LBMP_by_Year-Month-Hour'!AI216,$B$24*'LBMP_by_Year-Month-Hour'!AI$230*'LBMP_by_Year-Month-Hour'!AI248,$B$25*'LBMP_by_Year-Month-Hour'!AI$262*'LBMP_by_Year-Month-Hour'!AI280,$B$26*'LBMP_by_Year-Month-Hour'!AI$294*'LBMP_by_Year-Month-Hour'!AI312,$B$27*'LBMP_by_Year-Month-Hour'!AI$326*'LBMP_by_Year-Month-Hour'!AI344,$B$28*'LBMP_by_Year-Month-Hour'!AI$358*'LBMP_by_Year-Month-Hour'!AI376,$B$29*'LBMP_by_Year-Month-Hour'!AI$390*'LBMP_by_Year-Month-Hour'!AI408,$B$30*'LBMP_by_Year-Month-Hour'!AI$422*'LBMP_by_Year-Month-Hour'!AI440,$B$31*'LBMP_by_Year-Month-Hour'!AI$454*'LBMP_by_Year-Month-Hour'!AI472,$B$32*'LBMP_by_Year-Month-Hour'!AI$486*'LBMP_by_Year-Month-Hour'!AI504,$B$33*'LBMP_by_Year-Month-Hour'!AI$518*'LBMP_by_Year-Month-Hour'!AI536,$B$34*'LBMP_by_Year-Month-Hour'!AI$550*'LBMP_by_Year-Month-Hour'!AI568,$B$35*'LBMP_by_Year-Month-Hour'!AI$582*'LBMP_by_Year-Month-Hour'!AI600)*AI33/$C$6/24</f>
        <v>0</v>
      </c>
      <c r="AK95">
        <v>14</v>
      </c>
      <c r="AL95">
        <f>NPV($C$7,$B$19*'LBMP_by_Year-Month-Hour'!AL$70*'LBMP_by_Year-Month-Hour'!AL88,$B$20*'LBMP_by_Year-Month-Hour'!AL$102*'LBMP_by_Year-Month-Hour'!AL120,$B$21*'LBMP_by_Year-Month-Hour'!AL$134*'LBMP_by_Year-Month-Hour'!AL152,$B$22*'LBMP_by_Year-Month-Hour'!AL$166*'LBMP_by_Year-Month-Hour'!AL184,$B$23*'LBMP_by_Year-Month-Hour'!AL$198*'LBMP_by_Year-Month-Hour'!AL216,$B$24*'LBMP_by_Year-Month-Hour'!AL$230*'LBMP_by_Year-Month-Hour'!AL248,$B$25*'LBMP_by_Year-Month-Hour'!AL$262*'LBMP_by_Year-Month-Hour'!AL280,$B$26*'LBMP_by_Year-Month-Hour'!AL$294*'LBMP_by_Year-Month-Hour'!AL312,$B$27*'LBMP_by_Year-Month-Hour'!AL$326*'LBMP_by_Year-Month-Hour'!AL344,$B$28*'LBMP_by_Year-Month-Hour'!AL$358*'LBMP_by_Year-Month-Hour'!AL376,$B$29*'LBMP_by_Year-Month-Hour'!AL$390*'LBMP_by_Year-Month-Hour'!AL408,$B$30*'LBMP_by_Year-Month-Hour'!AL$422*'LBMP_by_Year-Month-Hour'!AL440,$B$31*'LBMP_by_Year-Month-Hour'!AL$454*'LBMP_by_Year-Month-Hour'!AL472,$B$32*'LBMP_by_Year-Month-Hour'!AL$486*'LBMP_by_Year-Month-Hour'!AL504,$B$33*'LBMP_by_Year-Month-Hour'!AL$518*'LBMP_by_Year-Month-Hour'!AL536,$B$34*'LBMP_by_Year-Month-Hour'!AL$550*'LBMP_by_Year-Month-Hour'!AL568,$B$35*'LBMP_by_Year-Month-Hour'!AL$582*'LBMP_by_Year-Month-Hour'!AL600)*AL33/$C$6/24</f>
        <v>0</v>
      </c>
    </row>
    <row r="96" spans="1:38">
      <c r="A96">
        <v>15</v>
      </c>
      <c r="B96">
        <f t="shared" si="10"/>
        <v>119786.47498041151</v>
      </c>
      <c r="D96">
        <v>15</v>
      </c>
      <c r="E96">
        <f>NPV($C$7,$B$19*'LBMP_by_Year-Month-Hour'!E$70*'LBMP_by_Year-Month-Hour'!E89,$B$20*'LBMP_by_Year-Month-Hour'!E$102*'LBMP_by_Year-Month-Hour'!E121,$B$21*'LBMP_by_Year-Month-Hour'!E$134*'LBMP_by_Year-Month-Hour'!E153,$B$22*'LBMP_by_Year-Month-Hour'!E$166*'LBMP_by_Year-Month-Hour'!E185,$B$23*'LBMP_by_Year-Month-Hour'!E$198*'LBMP_by_Year-Month-Hour'!E217,$B$24*'LBMP_by_Year-Month-Hour'!E$230*'LBMP_by_Year-Month-Hour'!E249,$B$25*'LBMP_by_Year-Month-Hour'!E$262*'LBMP_by_Year-Month-Hour'!E281,$B$26*'LBMP_by_Year-Month-Hour'!E$294*'LBMP_by_Year-Month-Hour'!E313,$B$27*'LBMP_by_Year-Month-Hour'!E$326*'LBMP_by_Year-Month-Hour'!E345,$B$28*'LBMP_by_Year-Month-Hour'!E$358*'LBMP_by_Year-Month-Hour'!E377,$B$29*'LBMP_by_Year-Month-Hour'!E$390*'LBMP_by_Year-Month-Hour'!E409,$B$30*'LBMP_by_Year-Month-Hour'!E$422*'LBMP_by_Year-Month-Hour'!E441,$B$31*'LBMP_by_Year-Month-Hour'!E$454*'LBMP_by_Year-Month-Hour'!E473,$B$32*'LBMP_by_Year-Month-Hour'!E$486*'LBMP_by_Year-Month-Hour'!E505,$B$33*'LBMP_by_Year-Month-Hour'!E$518*'LBMP_by_Year-Month-Hour'!E537,$B$34*'LBMP_by_Year-Month-Hour'!E$550*'LBMP_by_Year-Month-Hour'!E569,$B$35*'LBMP_by_Year-Month-Hour'!E$582*'LBMP_by_Year-Month-Hour'!E601)*E34/$C$6/24</f>
        <v>0</v>
      </c>
      <c r="G96">
        <v>15</v>
      </c>
      <c r="H96">
        <f>NPV($C$7,$B$19*'LBMP_by_Year-Month-Hour'!H$70*'LBMP_by_Year-Month-Hour'!H89,$B$20*'LBMP_by_Year-Month-Hour'!H$102*'LBMP_by_Year-Month-Hour'!H121,$B$21*'LBMP_by_Year-Month-Hour'!H$134*'LBMP_by_Year-Month-Hour'!H153,$B$22*'LBMP_by_Year-Month-Hour'!H$166*'LBMP_by_Year-Month-Hour'!H185,$B$23*'LBMP_by_Year-Month-Hour'!H$198*'LBMP_by_Year-Month-Hour'!H217,$B$24*'LBMP_by_Year-Month-Hour'!H$230*'LBMP_by_Year-Month-Hour'!H249,$B$25*'LBMP_by_Year-Month-Hour'!H$262*'LBMP_by_Year-Month-Hour'!H281,$B$26*'LBMP_by_Year-Month-Hour'!H$294*'LBMP_by_Year-Month-Hour'!H313,$B$27*'LBMP_by_Year-Month-Hour'!H$326*'LBMP_by_Year-Month-Hour'!H345,$B$28*'LBMP_by_Year-Month-Hour'!H$358*'LBMP_by_Year-Month-Hour'!H377,$B$29*'LBMP_by_Year-Month-Hour'!H$390*'LBMP_by_Year-Month-Hour'!H409,$B$30*'LBMP_by_Year-Month-Hour'!H$422*'LBMP_by_Year-Month-Hour'!H441,$B$31*'LBMP_by_Year-Month-Hour'!H$454*'LBMP_by_Year-Month-Hour'!H473,$B$32*'LBMP_by_Year-Month-Hour'!H$486*'LBMP_by_Year-Month-Hour'!H505,$B$33*'LBMP_by_Year-Month-Hour'!H$518*'LBMP_by_Year-Month-Hour'!H537,$B$34*'LBMP_by_Year-Month-Hour'!H$550*'LBMP_by_Year-Month-Hour'!H569,$B$35*'LBMP_by_Year-Month-Hour'!H$582*'LBMP_by_Year-Month-Hour'!H601)*H34/$C$6/24</f>
        <v>0</v>
      </c>
      <c r="J96">
        <v>15</v>
      </c>
      <c r="K96">
        <f>NPV($C$7,$B$19*'LBMP_by_Year-Month-Hour'!K$70*'LBMP_by_Year-Month-Hour'!K89,$B$20*'LBMP_by_Year-Month-Hour'!K$102*'LBMP_by_Year-Month-Hour'!K121,$B$21*'LBMP_by_Year-Month-Hour'!K$134*'LBMP_by_Year-Month-Hour'!K153,$B$22*'LBMP_by_Year-Month-Hour'!K$166*'LBMP_by_Year-Month-Hour'!K185,$B$23*'LBMP_by_Year-Month-Hour'!K$198*'LBMP_by_Year-Month-Hour'!K217,$B$24*'LBMP_by_Year-Month-Hour'!K$230*'LBMP_by_Year-Month-Hour'!K249,$B$25*'LBMP_by_Year-Month-Hour'!K$262*'LBMP_by_Year-Month-Hour'!K281,$B$26*'LBMP_by_Year-Month-Hour'!K$294*'LBMP_by_Year-Month-Hour'!K313,$B$27*'LBMP_by_Year-Month-Hour'!K$326*'LBMP_by_Year-Month-Hour'!K345,$B$28*'LBMP_by_Year-Month-Hour'!K$358*'LBMP_by_Year-Month-Hour'!K377,$B$29*'LBMP_by_Year-Month-Hour'!K$390*'LBMP_by_Year-Month-Hour'!K409,$B$30*'LBMP_by_Year-Month-Hour'!K$422*'LBMP_by_Year-Month-Hour'!K441,$B$31*'LBMP_by_Year-Month-Hour'!K$454*'LBMP_by_Year-Month-Hour'!K473,$B$32*'LBMP_by_Year-Month-Hour'!K$486*'LBMP_by_Year-Month-Hour'!K505,$B$33*'LBMP_by_Year-Month-Hour'!K$518*'LBMP_by_Year-Month-Hour'!K537,$B$34*'LBMP_by_Year-Month-Hour'!K$550*'LBMP_by_Year-Month-Hour'!K569,$B$35*'LBMP_by_Year-Month-Hour'!K$582*'LBMP_by_Year-Month-Hour'!K601)*K34/$C$6/24</f>
        <v>0</v>
      </c>
      <c r="M96">
        <v>15</v>
      </c>
      <c r="N96">
        <f>NPV($C$7,$B$19*'LBMP_by_Year-Month-Hour'!N$70*'LBMP_by_Year-Month-Hour'!N89,$B$20*'LBMP_by_Year-Month-Hour'!N$102*'LBMP_by_Year-Month-Hour'!N121,$B$21*'LBMP_by_Year-Month-Hour'!N$134*'LBMP_by_Year-Month-Hour'!N153,$B$22*'LBMP_by_Year-Month-Hour'!N$166*'LBMP_by_Year-Month-Hour'!N185,$B$23*'LBMP_by_Year-Month-Hour'!N$198*'LBMP_by_Year-Month-Hour'!N217,$B$24*'LBMP_by_Year-Month-Hour'!N$230*'LBMP_by_Year-Month-Hour'!N249,$B$25*'LBMP_by_Year-Month-Hour'!N$262*'LBMP_by_Year-Month-Hour'!N281,$B$26*'LBMP_by_Year-Month-Hour'!N$294*'LBMP_by_Year-Month-Hour'!N313,$B$27*'LBMP_by_Year-Month-Hour'!N$326*'LBMP_by_Year-Month-Hour'!N345,$B$28*'LBMP_by_Year-Month-Hour'!N$358*'LBMP_by_Year-Month-Hour'!N377,$B$29*'LBMP_by_Year-Month-Hour'!N$390*'LBMP_by_Year-Month-Hour'!N409,$B$30*'LBMP_by_Year-Month-Hour'!N$422*'LBMP_by_Year-Month-Hour'!N441,$B$31*'LBMP_by_Year-Month-Hour'!N$454*'LBMP_by_Year-Month-Hour'!N473,$B$32*'LBMP_by_Year-Month-Hour'!N$486*'LBMP_by_Year-Month-Hour'!N505,$B$33*'LBMP_by_Year-Month-Hour'!N$518*'LBMP_by_Year-Month-Hour'!N537,$B$34*'LBMP_by_Year-Month-Hour'!N$550*'LBMP_by_Year-Month-Hour'!N569,$B$35*'LBMP_by_Year-Month-Hour'!N$582*'LBMP_by_Year-Month-Hour'!N601)*N34/$C$6/24</f>
        <v>0</v>
      </c>
      <c r="P96">
        <v>15</v>
      </c>
      <c r="Q96">
        <f>NPV($C$7,$B$19*'LBMP_by_Year-Month-Hour'!Q$70*'LBMP_by_Year-Month-Hour'!Q89,$B$20*'LBMP_by_Year-Month-Hour'!Q$102*'LBMP_by_Year-Month-Hour'!Q121,$B$21*'LBMP_by_Year-Month-Hour'!Q$134*'LBMP_by_Year-Month-Hour'!Q153,$B$22*'LBMP_by_Year-Month-Hour'!Q$166*'LBMP_by_Year-Month-Hour'!Q185,$B$23*'LBMP_by_Year-Month-Hour'!Q$198*'LBMP_by_Year-Month-Hour'!Q217,$B$24*'LBMP_by_Year-Month-Hour'!Q$230*'LBMP_by_Year-Month-Hour'!Q249,$B$25*'LBMP_by_Year-Month-Hour'!Q$262*'LBMP_by_Year-Month-Hour'!Q281,$B$26*'LBMP_by_Year-Month-Hour'!Q$294*'LBMP_by_Year-Month-Hour'!Q313,$B$27*'LBMP_by_Year-Month-Hour'!Q$326*'LBMP_by_Year-Month-Hour'!Q345,$B$28*'LBMP_by_Year-Month-Hour'!Q$358*'LBMP_by_Year-Month-Hour'!Q377,$B$29*'LBMP_by_Year-Month-Hour'!Q$390*'LBMP_by_Year-Month-Hour'!Q409,$B$30*'LBMP_by_Year-Month-Hour'!Q$422*'LBMP_by_Year-Month-Hour'!Q441,$B$31*'LBMP_by_Year-Month-Hour'!Q$454*'LBMP_by_Year-Month-Hour'!Q473,$B$32*'LBMP_by_Year-Month-Hour'!Q$486*'LBMP_by_Year-Month-Hour'!Q505,$B$33*'LBMP_by_Year-Month-Hour'!Q$518*'LBMP_by_Year-Month-Hour'!Q537,$B$34*'LBMP_by_Year-Month-Hour'!Q$550*'LBMP_by_Year-Month-Hour'!Q569,$B$35*'LBMP_by_Year-Month-Hour'!Q$582*'LBMP_by_Year-Month-Hour'!Q601)*Q34/$C$6/24</f>
        <v>0</v>
      </c>
      <c r="S96">
        <v>15</v>
      </c>
      <c r="T96">
        <f>NPV($C$7,$B$19*'LBMP_by_Year-Month-Hour'!T$70*'LBMP_by_Year-Month-Hour'!T89,$B$20*'LBMP_by_Year-Month-Hour'!T$102*'LBMP_by_Year-Month-Hour'!T121,$B$21*'LBMP_by_Year-Month-Hour'!T$134*'LBMP_by_Year-Month-Hour'!T153,$B$22*'LBMP_by_Year-Month-Hour'!T$166*'LBMP_by_Year-Month-Hour'!T185,$B$23*'LBMP_by_Year-Month-Hour'!T$198*'LBMP_by_Year-Month-Hour'!T217,$B$24*'LBMP_by_Year-Month-Hour'!T$230*'LBMP_by_Year-Month-Hour'!T249,$B$25*'LBMP_by_Year-Month-Hour'!T$262*'LBMP_by_Year-Month-Hour'!T281,$B$26*'LBMP_by_Year-Month-Hour'!T$294*'LBMP_by_Year-Month-Hour'!T313,$B$27*'LBMP_by_Year-Month-Hour'!T$326*'LBMP_by_Year-Month-Hour'!T345,$B$28*'LBMP_by_Year-Month-Hour'!T$358*'LBMP_by_Year-Month-Hour'!T377,$B$29*'LBMP_by_Year-Month-Hour'!T$390*'LBMP_by_Year-Month-Hour'!T409,$B$30*'LBMP_by_Year-Month-Hour'!T$422*'LBMP_by_Year-Month-Hour'!T441,$B$31*'LBMP_by_Year-Month-Hour'!T$454*'LBMP_by_Year-Month-Hour'!T473,$B$32*'LBMP_by_Year-Month-Hour'!T$486*'LBMP_by_Year-Month-Hour'!T505,$B$33*'LBMP_by_Year-Month-Hour'!T$518*'LBMP_by_Year-Month-Hour'!T537,$B$34*'LBMP_by_Year-Month-Hour'!T$550*'LBMP_by_Year-Month-Hour'!T569,$B$35*'LBMP_by_Year-Month-Hour'!T$582*'LBMP_by_Year-Month-Hour'!T601)*T34/$C$6/24</f>
        <v>25372.490535013596</v>
      </c>
      <c r="V96">
        <v>15</v>
      </c>
      <c r="W96">
        <f>NPV($C$7,$B$19*'LBMP_by_Year-Month-Hour'!W$70*'LBMP_by_Year-Month-Hour'!W89,$B$20*'LBMP_by_Year-Month-Hour'!W$102*'LBMP_by_Year-Month-Hour'!W121,$B$21*'LBMP_by_Year-Month-Hour'!W$134*'LBMP_by_Year-Month-Hour'!W153,$B$22*'LBMP_by_Year-Month-Hour'!W$166*'LBMP_by_Year-Month-Hour'!W185,$B$23*'LBMP_by_Year-Month-Hour'!W$198*'LBMP_by_Year-Month-Hour'!W217,$B$24*'LBMP_by_Year-Month-Hour'!W$230*'LBMP_by_Year-Month-Hour'!W249,$B$25*'LBMP_by_Year-Month-Hour'!W$262*'LBMP_by_Year-Month-Hour'!W281,$B$26*'LBMP_by_Year-Month-Hour'!W$294*'LBMP_by_Year-Month-Hour'!W313,$B$27*'LBMP_by_Year-Month-Hour'!W$326*'LBMP_by_Year-Month-Hour'!W345,$B$28*'LBMP_by_Year-Month-Hour'!W$358*'LBMP_by_Year-Month-Hour'!W377,$B$29*'LBMP_by_Year-Month-Hour'!W$390*'LBMP_by_Year-Month-Hour'!W409,$B$30*'LBMP_by_Year-Month-Hour'!W$422*'LBMP_by_Year-Month-Hour'!W441,$B$31*'LBMP_by_Year-Month-Hour'!W$454*'LBMP_by_Year-Month-Hour'!W473,$B$32*'LBMP_by_Year-Month-Hour'!W$486*'LBMP_by_Year-Month-Hour'!W505,$B$33*'LBMP_by_Year-Month-Hour'!W$518*'LBMP_by_Year-Month-Hour'!W537,$B$34*'LBMP_by_Year-Month-Hour'!W$550*'LBMP_by_Year-Month-Hour'!W569,$B$35*'LBMP_by_Year-Month-Hour'!W$582*'LBMP_by_Year-Month-Hour'!W601)*W34/$C$6/24</f>
        <v>33372.761501285226</v>
      </c>
      <c r="Y96">
        <v>15</v>
      </c>
      <c r="Z96">
        <f>NPV($C$7,$B$19*'LBMP_by_Year-Month-Hour'!Z$70*'LBMP_by_Year-Month-Hour'!Z89,$B$20*'LBMP_by_Year-Month-Hour'!Z$102*'LBMP_by_Year-Month-Hour'!Z121,$B$21*'LBMP_by_Year-Month-Hour'!Z$134*'LBMP_by_Year-Month-Hour'!Z153,$B$22*'LBMP_by_Year-Month-Hour'!Z$166*'LBMP_by_Year-Month-Hour'!Z185,$B$23*'LBMP_by_Year-Month-Hour'!Z$198*'LBMP_by_Year-Month-Hour'!Z217,$B$24*'LBMP_by_Year-Month-Hour'!Z$230*'LBMP_by_Year-Month-Hour'!Z249,$B$25*'LBMP_by_Year-Month-Hour'!Z$262*'LBMP_by_Year-Month-Hour'!Z281,$B$26*'LBMP_by_Year-Month-Hour'!Z$294*'LBMP_by_Year-Month-Hour'!Z313,$B$27*'LBMP_by_Year-Month-Hour'!Z$326*'LBMP_by_Year-Month-Hour'!Z345,$B$28*'LBMP_by_Year-Month-Hour'!Z$358*'LBMP_by_Year-Month-Hour'!Z377,$B$29*'LBMP_by_Year-Month-Hour'!Z$390*'LBMP_by_Year-Month-Hour'!Z409,$B$30*'LBMP_by_Year-Month-Hour'!Z$422*'LBMP_by_Year-Month-Hour'!Z441,$B$31*'LBMP_by_Year-Month-Hour'!Z$454*'LBMP_by_Year-Month-Hour'!Z473,$B$32*'LBMP_by_Year-Month-Hour'!Z$486*'LBMP_by_Year-Month-Hour'!Z505,$B$33*'LBMP_by_Year-Month-Hour'!Z$518*'LBMP_by_Year-Month-Hour'!Z537,$B$34*'LBMP_by_Year-Month-Hour'!Z$550*'LBMP_by_Year-Month-Hour'!Z569,$B$35*'LBMP_by_Year-Month-Hour'!Z$582*'LBMP_by_Year-Month-Hour'!Z601)*Z34/$C$6/24</f>
        <v>33917.000369897651</v>
      </c>
      <c r="AB96">
        <v>15</v>
      </c>
      <c r="AC96">
        <f>NPV($C$7,$B$19*'LBMP_by_Year-Month-Hour'!AC$70*'LBMP_by_Year-Month-Hour'!AC89,$B$20*'LBMP_by_Year-Month-Hour'!AC$102*'LBMP_by_Year-Month-Hour'!AC121,$B$21*'LBMP_by_Year-Month-Hour'!AC$134*'LBMP_by_Year-Month-Hour'!AC153,$B$22*'LBMP_by_Year-Month-Hour'!AC$166*'LBMP_by_Year-Month-Hour'!AC185,$B$23*'LBMP_by_Year-Month-Hour'!AC$198*'LBMP_by_Year-Month-Hour'!AC217,$B$24*'LBMP_by_Year-Month-Hour'!AC$230*'LBMP_by_Year-Month-Hour'!AC249,$B$25*'LBMP_by_Year-Month-Hour'!AC$262*'LBMP_by_Year-Month-Hour'!AC281,$B$26*'LBMP_by_Year-Month-Hour'!AC$294*'LBMP_by_Year-Month-Hour'!AC313,$B$27*'LBMP_by_Year-Month-Hour'!AC$326*'LBMP_by_Year-Month-Hour'!AC345,$B$28*'LBMP_by_Year-Month-Hour'!AC$358*'LBMP_by_Year-Month-Hour'!AC377,$B$29*'LBMP_by_Year-Month-Hour'!AC$390*'LBMP_by_Year-Month-Hour'!AC409,$B$30*'LBMP_by_Year-Month-Hour'!AC$422*'LBMP_by_Year-Month-Hour'!AC441,$B$31*'LBMP_by_Year-Month-Hour'!AC$454*'LBMP_by_Year-Month-Hour'!AC473,$B$32*'LBMP_by_Year-Month-Hour'!AC$486*'LBMP_by_Year-Month-Hour'!AC505,$B$33*'LBMP_by_Year-Month-Hour'!AC$518*'LBMP_by_Year-Month-Hour'!AC537,$B$34*'LBMP_by_Year-Month-Hour'!AC$550*'LBMP_by_Year-Month-Hour'!AC569,$B$35*'LBMP_by_Year-Month-Hour'!AC$582*'LBMP_by_Year-Month-Hour'!AC601)*AC34/$C$6/24</f>
        <v>27124.222574215051</v>
      </c>
      <c r="AE96">
        <v>15</v>
      </c>
      <c r="AF96">
        <f>NPV($C$7,$B$19*'LBMP_by_Year-Month-Hour'!AF$70*'LBMP_by_Year-Month-Hour'!AF89,$B$20*'LBMP_by_Year-Month-Hour'!AF$102*'LBMP_by_Year-Month-Hour'!AF121,$B$21*'LBMP_by_Year-Month-Hour'!AF$134*'LBMP_by_Year-Month-Hour'!AF153,$B$22*'LBMP_by_Year-Month-Hour'!AF$166*'LBMP_by_Year-Month-Hour'!AF185,$B$23*'LBMP_by_Year-Month-Hour'!AF$198*'LBMP_by_Year-Month-Hour'!AF217,$B$24*'LBMP_by_Year-Month-Hour'!AF$230*'LBMP_by_Year-Month-Hour'!AF249,$B$25*'LBMP_by_Year-Month-Hour'!AF$262*'LBMP_by_Year-Month-Hour'!AF281,$B$26*'LBMP_by_Year-Month-Hour'!AF$294*'LBMP_by_Year-Month-Hour'!AF313,$B$27*'LBMP_by_Year-Month-Hour'!AF$326*'LBMP_by_Year-Month-Hour'!AF345,$B$28*'LBMP_by_Year-Month-Hour'!AF$358*'LBMP_by_Year-Month-Hour'!AF377,$B$29*'LBMP_by_Year-Month-Hour'!AF$390*'LBMP_by_Year-Month-Hour'!AF409,$B$30*'LBMP_by_Year-Month-Hour'!AF$422*'LBMP_by_Year-Month-Hour'!AF441,$B$31*'LBMP_by_Year-Month-Hour'!AF$454*'LBMP_by_Year-Month-Hour'!AF473,$B$32*'LBMP_by_Year-Month-Hour'!AF$486*'LBMP_by_Year-Month-Hour'!AF505,$B$33*'LBMP_by_Year-Month-Hour'!AF$518*'LBMP_by_Year-Month-Hour'!AF537,$B$34*'LBMP_by_Year-Month-Hour'!AF$550*'LBMP_by_Year-Month-Hour'!AF569,$B$35*'LBMP_by_Year-Month-Hour'!AF$582*'LBMP_by_Year-Month-Hour'!AF601)*AF34/$C$6/24</f>
        <v>0</v>
      </c>
      <c r="AH96">
        <v>15</v>
      </c>
      <c r="AI96">
        <f>NPV($C$7,$B$19*'LBMP_by_Year-Month-Hour'!AI$70*'LBMP_by_Year-Month-Hour'!AI89,$B$20*'LBMP_by_Year-Month-Hour'!AI$102*'LBMP_by_Year-Month-Hour'!AI121,$B$21*'LBMP_by_Year-Month-Hour'!AI$134*'LBMP_by_Year-Month-Hour'!AI153,$B$22*'LBMP_by_Year-Month-Hour'!AI$166*'LBMP_by_Year-Month-Hour'!AI185,$B$23*'LBMP_by_Year-Month-Hour'!AI$198*'LBMP_by_Year-Month-Hour'!AI217,$B$24*'LBMP_by_Year-Month-Hour'!AI$230*'LBMP_by_Year-Month-Hour'!AI249,$B$25*'LBMP_by_Year-Month-Hour'!AI$262*'LBMP_by_Year-Month-Hour'!AI281,$B$26*'LBMP_by_Year-Month-Hour'!AI$294*'LBMP_by_Year-Month-Hour'!AI313,$B$27*'LBMP_by_Year-Month-Hour'!AI$326*'LBMP_by_Year-Month-Hour'!AI345,$B$28*'LBMP_by_Year-Month-Hour'!AI$358*'LBMP_by_Year-Month-Hour'!AI377,$B$29*'LBMP_by_Year-Month-Hour'!AI$390*'LBMP_by_Year-Month-Hour'!AI409,$B$30*'LBMP_by_Year-Month-Hour'!AI$422*'LBMP_by_Year-Month-Hour'!AI441,$B$31*'LBMP_by_Year-Month-Hour'!AI$454*'LBMP_by_Year-Month-Hour'!AI473,$B$32*'LBMP_by_Year-Month-Hour'!AI$486*'LBMP_by_Year-Month-Hour'!AI505,$B$33*'LBMP_by_Year-Month-Hour'!AI$518*'LBMP_by_Year-Month-Hour'!AI537,$B$34*'LBMP_by_Year-Month-Hour'!AI$550*'LBMP_by_Year-Month-Hour'!AI569,$B$35*'LBMP_by_Year-Month-Hour'!AI$582*'LBMP_by_Year-Month-Hour'!AI601)*AI34/$C$6/24</f>
        <v>0</v>
      </c>
      <c r="AK96">
        <v>15</v>
      </c>
      <c r="AL96">
        <f>NPV($C$7,$B$19*'LBMP_by_Year-Month-Hour'!AL$70*'LBMP_by_Year-Month-Hour'!AL89,$B$20*'LBMP_by_Year-Month-Hour'!AL$102*'LBMP_by_Year-Month-Hour'!AL121,$B$21*'LBMP_by_Year-Month-Hour'!AL$134*'LBMP_by_Year-Month-Hour'!AL153,$B$22*'LBMP_by_Year-Month-Hour'!AL$166*'LBMP_by_Year-Month-Hour'!AL185,$B$23*'LBMP_by_Year-Month-Hour'!AL$198*'LBMP_by_Year-Month-Hour'!AL217,$B$24*'LBMP_by_Year-Month-Hour'!AL$230*'LBMP_by_Year-Month-Hour'!AL249,$B$25*'LBMP_by_Year-Month-Hour'!AL$262*'LBMP_by_Year-Month-Hour'!AL281,$B$26*'LBMP_by_Year-Month-Hour'!AL$294*'LBMP_by_Year-Month-Hour'!AL313,$B$27*'LBMP_by_Year-Month-Hour'!AL$326*'LBMP_by_Year-Month-Hour'!AL345,$B$28*'LBMP_by_Year-Month-Hour'!AL$358*'LBMP_by_Year-Month-Hour'!AL377,$B$29*'LBMP_by_Year-Month-Hour'!AL$390*'LBMP_by_Year-Month-Hour'!AL409,$B$30*'LBMP_by_Year-Month-Hour'!AL$422*'LBMP_by_Year-Month-Hour'!AL441,$B$31*'LBMP_by_Year-Month-Hour'!AL$454*'LBMP_by_Year-Month-Hour'!AL473,$B$32*'LBMP_by_Year-Month-Hour'!AL$486*'LBMP_by_Year-Month-Hour'!AL505,$B$33*'LBMP_by_Year-Month-Hour'!AL$518*'LBMP_by_Year-Month-Hour'!AL537,$B$34*'LBMP_by_Year-Month-Hour'!AL$550*'LBMP_by_Year-Month-Hour'!AL569,$B$35*'LBMP_by_Year-Month-Hour'!AL$582*'LBMP_by_Year-Month-Hour'!AL601)*AL34/$C$6/24</f>
        <v>0</v>
      </c>
    </row>
    <row r="97" spans="1:38">
      <c r="A97">
        <v>16</v>
      </c>
      <c r="B97">
        <f t="shared" si="10"/>
        <v>132405.93958864594</v>
      </c>
      <c r="D97">
        <v>16</v>
      </c>
      <c r="E97">
        <f>NPV($C$7,$B$19*'LBMP_by_Year-Month-Hour'!E$70*'LBMP_by_Year-Month-Hour'!E90,$B$20*'LBMP_by_Year-Month-Hour'!E$102*'LBMP_by_Year-Month-Hour'!E122,$B$21*'LBMP_by_Year-Month-Hour'!E$134*'LBMP_by_Year-Month-Hour'!E154,$B$22*'LBMP_by_Year-Month-Hour'!E$166*'LBMP_by_Year-Month-Hour'!E186,$B$23*'LBMP_by_Year-Month-Hour'!E$198*'LBMP_by_Year-Month-Hour'!E218,$B$24*'LBMP_by_Year-Month-Hour'!E$230*'LBMP_by_Year-Month-Hour'!E250,$B$25*'LBMP_by_Year-Month-Hour'!E$262*'LBMP_by_Year-Month-Hour'!E282,$B$26*'LBMP_by_Year-Month-Hour'!E$294*'LBMP_by_Year-Month-Hour'!E314,$B$27*'LBMP_by_Year-Month-Hour'!E$326*'LBMP_by_Year-Month-Hour'!E346,$B$28*'LBMP_by_Year-Month-Hour'!E$358*'LBMP_by_Year-Month-Hour'!E378,$B$29*'LBMP_by_Year-Month-Hour'!E$390*'LBMP_by_Year-Month-Hour'!E410,$B$30*'LBMP_by_Year-Month-Hour'!E$422*'LBMP_by_Year-Month-Hour'!E442,$B$31*'LBMP_by_Year-Month-Hour'!E$454*'LBMP_by_Year-Month-Hour'!E474,$B$32*'LBMP_by_Year-Month-Hour'!E$486*'LBMP_by_Year-Month-Hour'!E506,$B$33*'LBMP_by_Year-Month-Hour'!E$518*'LBMP_by_Year-Month-Hour'!E538,$B$34*'LBMP_by_Year-Month-Hour'!E$550*'LBMP_by_Year-Month-Hour'!E570,$B$35*'LBMP_by_Year-Month-Hour'!E$582*'LBMP_by_Year-Month-Hour'!E602)*E35/$C$6/24</f>
        <v>0</v>
      </c>
      <c r="G97">
        <v>16</v>
      </c>
      <c r="H97">
        <f>NPV($C$7,$B$19*'LBMP_by_Year-Month-Hour'!H$70*'LBMP_by_Year-Month-Hour'!H90,$B$20*'LBMP_by_Year-Month-Hour'!H$102*'LBMP_by_Year-Month-Hour'!H122,$B$21*'LBMP_by_Year-Month-Hour'!H$134*'LBMP_by_Year-Month-Hour'!H154,$B$22*'LBMP_by_Year-Month-Hour'!H$166*'LBMP_by_Year-Month-Hour'!H186,$B$23*'LBMP_by_Year-Month-Hour'!H$198*'LBMP_by_Year-Month-Hour'!H218,$B$24*'LBMP_by_Year-Month-Hour'!H$230*'LBMP_by_Year-Month-Hour'!H250,$B$25*'LBMP_by_Year-Month-Hour'!H$262*'LBMP_by_Year-Month-Hour'!H282,$B$26*'LBMP_by_Year-Month-Hour'!H$294*'LBMP_by_Year-Month-Hour'!H314,$B$27*'LBMP_by_Year-Month-Hour'!H$326*'LBMP_by_Year-Month-Hour'!H346,$B$28*'LBMP_by_Year-Month-Hour'!H$358*'LBMP_by_Year-Month-Hour'!H378,$B$29*'LBMP_by_Year-Month-Hour'!H$390*'LBMP_by_Year-Month-Hour'!H410,$B$30*'LBMP_by_Year-Month-Hour'!H$422*'LBMP_by_Year-Month-Hour'!H442,$B$31*'LBMP_by_Year-Month-Hour'!H$454*'LBMP_by_Year-Month-Hour'!H474,$B$32*'LBMP_by_Year-Month-Hour'!H$486*'LBMP_by_Year-Month-Hour'!H506,$B$33*'LBMP_by_Year-Month-Hour'!H$518*'LBMP_by_Year-Month-Hour'!H538,$B$34*'LBMP_by_Year-Month-Hour'!H$550*'LBMP_by_Year-Month-Hour'!H570,$B$35*'LBMP_by_Year-Month-Hour'!H$582*'LBMP_by_Year-Month-Hour'!H602)*H35/$C$6/24</f>
        <v>0</v>
      </c>
      <c r="J97">
        <v>16</v>
      </c>
      <c r="K97">
        <f>NPV($C$7,$B$19*'LBMP_by_Year-Month-Hour'!K$70*'LBMP_by_Year-Month-Hour'!K90,$B$20*'LBMP_by_Year-Month-Hour'!K$102*'LBMP_by_Year-Month-Hour'!K122,$B$21*'LBMP_by_Year-Month-Hour'!K$134*'LBMP_by_Year-Month-Hour'!K154,$B$22*'LBMP_by_Year-Month-Hour'!K$166*'LBMP_by_Year-Month-Hour'!K186,$B$23*'LBMP_by_Year-Month-Hour'!K$198*'LBMP_by_Year-Month-Hour'!K218,$B$24*'LBMP_by_Year-Month-Hour'!K$230*'LBMP_by_Year-Month-Hour'!K250,$B$25*'LBMP_by_Year-Month-Hour'!K$262*'LBMP_by_Year-Month-Hour'!K282,$B$26*'LBMP_by_Year-Month-Hour'!K$294*'LBMP_by_Year-Month-Hour'!K314,$B$27*'LBMP_by_Year-Month-Hour'!K$326*'LBMP_by_Year-Month-Hour'!K346,$B$28*'LBMP_by_Year-Month-Hour'!K$358*'LBMP_by_Year-Month-Hour'!K378,$B$29*'LBMP_by_Year-Month-Hour'!K$390*'LBMP_by_Year-Month-Hour'!K410,$B$30*'LBMP_by_Year-Month-Hour'!K$422*'LBMP_by_Year-Month-Hour'!K442,$B$31*'LBMP_by_Year-Month-Hour'!K$454*'LBMP_by_Year-Month-Hour'!K474,$B$32*'LBMP_by_Year-Month-Hour'!K$486*'LBMP_by_Year-Month-Hour'!K506,$B$33*'LBMP_by_Year-Month-Hour'!K$518*'LBMP_by_Year-Month-Hour'!K538,$B$34*'LBMP_by_Year-Month-Hour'!K$550*'LBMP_by_Year-Month-Hour'!K570,$B$35*'LBMP_by_Year-Month-Hour'!K$582*'LBMP_by_Year-Month-Hour'!K602)*K35/$C$6/24</f>
        <v>0</v>
      </c>
      <c r="M97">
        <v>16</v>
      </c>
      <c r="N97">
        <f>NPV($C$7,$B$19*'LBMP_by_Year-Month-Hour'!N$70*'LBMP_by_Year-Month-Hour'!N90,$B$20*'LBMP_by_Year-Month-Hour'!N$102*'LBMP_by_Year-Month-Hour'!N122,$B$21*'LBMP_by_Year-Month-Hour'!N$134*'LBMP_by_Year-Month-Hour'!N154,$B$22*'LBMP_by_Year-Month-Hour'!N$166*'LBMP_by_Year-Month-Hour'!N186,$B$23*'LBMP_by_Year-Month-Hour'!N$198*'LBMP_by_Year-Month-Hour'!N218,$B$24*'LBMP_by_Year-Month-Hour'!N$230*'LBMP_by_Year-Month-Hour'!N250,$B$25*'LBMP_by_Year-Month-Hour'!N$262*'LBMP_by_Year-Month-Hour'!N282,$B$26*'LBMP_by_Year-Month-Hour'!N$294*'LBMP_by_Year-Month-Hour'!N314,$B$27*'LBMP_by_Year-Month-Hour'!N$326*'LBMP_by_Year-Month-Hour'!N346,$B$28*'LBMP_by_Year-Month-Hour'!N$358*'LBMP_by_Year-Month-Hour'!N378,$B$29*'LBMP_by_Year-Month-Hour'!N$390*'LBMP_by_Year-Month-Hour'!N410,$B$30*'LBMP_by_Year-Month-Hour'!N$422*'LBMP_by_Year-Month-Hour'!N442,$B$31*'LBMP_by_Year-Month-Hour'!N$454*'LBMP_by_Year-Month-Hour'!N474,$B$32*'LBMP_by_Year-Month-Hour'!N$486*'LBMP_by_Year-Month-Hour'!N506,$B$33*'LBMP_by_Year-Month-Hour'!N$518*'LBMP_by_Year-Month-Hour'!N538,$B$34*'LBMP_by_Year-Month-Hour'!N$550*'LBMP_by_Year-Month-Hour'!N570,$B$35*'LBMP_by_Year-Month-Hour'!N$582*'LBMP_by_Year-Month-Hour'!N602)*N35/$C$6/24</f>
        <v>0</v>
      </c>
      <c r="P97">
        <v>16</v>
      </c>
      <c r="Q97">
        <f>NPV($C$7,$B$19*'LBMP_by_Year-Month-Hour'!Q$70*'LBMP_by_Year-Month-Hour'!Q90,$B$20*'LBMP_by_Year-Month-Hour'!Q$102*'LBMP_by_Year-Month-Hour'!Q122,$B$21*'LBMP_by_Year-Month-Hour'!Q$134*'LBMP_by_Year-Month-Hour'!Q154,$B$22*'LBMP_by_Year-Month-Hour'!Q$166*'LBMP_by_Year-Month-Hour'!Q186,$B$23*'LBMP_by_Year-Month-Hour'!Q$198*'LBMP_by_Year-Month-Hour'!Q218,$B$24*'LBMP_by_Year-Month-Hour'!Q$230*'LBMP_by_Year-Month-Hour'!Q250,$B$25*'LBMP_by_Year-Month-Hour'!Q$262*'LBMP_by_Year-Month-Hour'!Q282,$B$26*'LBMP_by_Year-Month-Hour'!Q$294*'LBMP_by_Year-Month-Hour'!Q314,$B$27*'LBMP_by_Year-Month-Hour'!Q$326*'LBMP_by_Year-Month-Hour'!Q346,$B$28*'LBMP_by_Year-Month-Hour'!Q$358*'LBMP_by_Year-Month-Hour'!Q378,$B$29*'LBMP_by_Year-Month-Hour'!Q$390*'LBMP_by_Year-Month-Hour'!Q410,$B$30*'LBMP_by_Year-Month-Hour'!Q$422*'LBMP_by_Year-Month-Hour'!Q442,$B$31*'LBMP_by_Year-Month-Hour'!Q$454*'LBMP_by_Year-Month-Hour'!Q474,$B$32*'LBMP_by_Year-Month-Hour'!Q$486*'LBMP_by_Year-Month-Hour'!Q506,$B$33*'LBMP_by_Year-Month-Hour'!Q$518*'LBMP_by_Year-Month-Hour'!Q538,$B$34*'LBMP_by_Year-Month-Hour'!Q$550*'LBMP_by_Year-Month-Hour'!Q570,$B$35*'LBMP_by_Year-Month-Hour'!Q$582*'LBMP_by_Year-Month-Hour'!Q602)*Q35/$C$6/24</f>
        <v>0</v>
      </c>
      <c r="S97">
        <v>16</v>
      </c>
      <c r="T97">
        <f>NPV($C$7,$B$19*'LBMP_by_Year-Month-Hour'!T$70*'LBMP_by_Year-Month-Hour'!T90,$B$20*'LBMP_by_Year-Month-Hour'!T$102*'LBMP_by_Year-Month-Hour'!T122,$B$21*'LBMP_by_Year-Month-Hour'!T$134*'LBMP_by_Year-Month-Hour'!T154,$B$22*'LBMP_by_Year-Month-Hour'!T$166*'LBMP_by_Year-Month-Hour'!T186,$B$23*'LBMP_by_Year-Month-Hour'!T$198*'LBMP_by_Year-Month-Hour'!T218,$B$24*'LBMP_by_Year-Month-Hour'!T$230*'LBMP_by_Year-Month-Hour'!T250,$B$25*'LBMP_by_Year-Month-Hour'!T$262*'LBMP_by_Year-Month-Hour'!T282,$B$26*'LBMP_by_Year-Month-Hour'!T$294*'LBMP_by_Year-Month-Hour'!T314,$B$27*'LBMP_by_Year-Month-Hour'!T$326*'LBMP_by_Year-Month-Hour'!T346,$B$28*'LBMP_by_Year-Month-Hour'!T$358*'LBMP_by_Year-Month-Hour'!T378,$B$29*'LBMP_by_Year-Month-Hour'!T$390*'LBMP_by_Year-Month-Hour'!T410,$B$30*'LBMP_by_Year-Month-Hour'!T$422*'LBMP_by_Year-Month-Hour'!T442,$B$31*'LBMP_by_Year-Month-Hour'!T$454*'LBMP_by_Year-Month-Hour'!T474,$B$32*'LBMP_by_Year-Month-Hour'!T$486*'LBMP_by_Year-Month-Hour'!T506,$B$33*'LBMP_by_Year-Month-Hour'!T$518*'LBMP_by_Year-Month-Hour'!T538,$B$34*'LBMP_by_Year-Month-Hour'!T$550*'LBMP_by_Year-Month-Hour'!T570,$B$35*'LBMP_by_Year-Month-Hour'!T$582*'LBMP_by_Year-Month-Hour'!T602)*T35/$C$6/24</f>
        <v>27667.797566598267</v>
      </c>
      <c r="V97">
        <v>16</v>
      </c>
      <c r="W97">
        <f>NPV($C$7,$B$19*'LBMP_by_Year-Month-Hour'!W$70*'LBMP_by_Year-Month-Hour'!W90,$B$20*'LBMP_by_Year-Month-Hour'!W$102*'LBMP_by_Year-Month-Hour'!W122,$B$21*'LBMP_by_Year-Month-Hour'!W$134*'LBMP_by_Year-Month-Hour'!W154,$B$22*'LBMP_by_Year-Month-Hour'!W$166*'LBMP_by_Year-Month-Hour'!W186,$B$23*'LBMP_by_Year-Month-Hour'!W$198*'LBMP_by_Year-Month-Hour'!W218,$B$24*'LBMP_by_Year-Month-Hour'!W$230*'LBMP_by_Year-Month-Hour'!W250,$B$25*'LBMP_by_Year-Month-Hour'!W$262*'LBMP_by_Year-Month-Hour'!W282,$B$26*'LBMP_by_Year-Month-Hour'!W$294*'LBMP_by_Year-Month-Hour'!W314,$B$27*'LBMP_by_Year-Month-Hour'!W$326*'LBMP_by_Year-Month-Hour'!W346,$B$28*'LBMP_by_Year-Month-Hour'!W$358*'LBMP_by_Year-Month-Hour'!W378,$B$29*'LBMP_by_Year-Month-Hour'!W$390*'LBMP_by_Year-Month-Hour'!W410,$B$30*'LBMP_by_Year-Month-Hour'!W$422*'LBMP_by_Year-Month-Hour'!W442,$B$31*'LBMP_by_Year-Month-Hour'!W$454*'LBMP_by_Year-Month-Hour'!W474,$B$32*'LBMP_by_Year-Month-Hour'!W$486*'LBMP_by_Year-Month-Hour'!W506,$B$33*'LBMP_by_Year-Month-Hour'!W$518*'LBMP_by_Year-Month-Hour'!W538,$B$34*'LBMP_by_Year-Month-Hour'!W$550*'LBMP_by_Year-Month-Hour'!W570,$B$35*'LBMP_by_Year-Month-Hour'!W$582*'LBMP_by_Year-Month-Hour'!W602)*W35/$C$6/24</f>
        <v>37038.722263157957</v>
      </c>
      <c r="Y97">
        <v>16</v>
      </c>
      <c r="Z97">
        <f>NPV($C$7,$B$19*'LBMP_by_Year-Month-Hour'!Z$70*'LBMP_by_Year-Month-Hour'!Z90,$B$20*'LBMP_by_Year-Month-Hour'!Z$102*'LBMP_by_Year-Month-Hour'!Z122,$B$21*'LBMP_by_Year-Month-Hour'!Z$134*'LBMP_by_Year-Month-Hour'!Z154,$B$22*'LBMP_by_Year-Month-Hour'!Z$166*'LBMP_by_Year-Month-Hour'!Z186,$B$23*'LBMP_by_Year-Month-Hour'!Z$198*'LBMP_by_Year-Month-Hour'!Z218,$B$24*'LBMP_by_Year-Month-Hour'!Z$230*'LBMP_by_Year-Month-Hour'!Z250,$B$25*'LBMP_by_Year-Month-Hour'!Z$262*'LBMP_by_Year-Month-Hour'!Z282,$B$26*'LBMP_by_Year-Month-Hour'!Z$294*'LBMP_by_Year-Month-Hour'!Z314,$B$27*'LBMP_by_Year-Month-Hour'!Z$326*'LBMP_by_Year-Month-Hour'!Z346,$B$28*'LBMP_by_Year-Month-Hour'!Z$358*'LBMP_by_Year-Month-Hour'!Z378,$B$29*'LBMP_by_Year-Month-Hour'!Z$390*'LBMP_by_Year-Month-Hour'!Z410,$B$30*'LBMP_by_Year-Month-Hour'!Z$422*'LBMP_by_Year-Month-Hour'!Z442,$B$31*'LBMP_by_Year-Month-Hour'!Z$454*'LBMP_by_Year-Month-Hour'!Z474,$B$32*'LBMP_by_Year-Month-Hour'!Z$486*'LBMP_by_Year-Month-Hour'!Z506,$B$33*'LBMP_by_Year-Month-Hour'!Z$518*'LBMP_by_Year-Month-Hour'!Z538,$B$34*'LBMP_by_Year-Month-Hour'!Z$550*'LBMP_by_Year-Month-Hour'!Z570,$B$35*'LBMP_by_Year-Month-Hour'!Z$582*'LBMP_by_Year-Month-Hour'!Z602)*Z35/$C$6/24</f>
        <v>37520.578180423639</v>
      </c>
      <c r="AB97">
        <v>16</v>
      </c>
      <c r="AC97">
        <f>NPV($C$7,$B$19*'LBMP_by_Year-Month-Hour'!AC$70*'LBMP_by_Year-Month-Hour'!AC90,$B$20*'LBMP_by_Year-Month-Hour'!AC$102*'LBMP_by_Year-Month-Hour'!AC122,$B$21*'LBMP_by_Year-Month-Hour'!AC$134*'LBMP_by_Year-Month-Hour'!AC154,$B$22*'LBMP_by_Year-Month-Hour'!AC$166*'LBMP_by_Year-Month-Hour'!AC186,$B$23*'LBMP_by_Year-Month-Hour'!AC$198*'LBMP_by_Year-Month-Hour'!AC218,$B$24*'LBMP_by_Year-Month-Hour'!AC$230*'LBMP_by_Year-Month-Hour'!AC250,$B$25*'LBMP_by_Year-Month-Hour'!AC$262*'LBMP_by_Year-Month-Hour'!AC282,$B$26*'LBMP_by_Year-Month-Hour'!AC$294*'LBMP_by_Year-Month-Hour'!AC314,$B$27*'LBMP_by_Year-Month-Hour'!AC$326*'LBMP_by_Year-Month-Hour'!AC346,$B$28*'LBMP_by_Year-Month-Hour'!AC$358*'LBMP_by_Year-Month-Hour'!AC378,$B$29*'LBMP_by_Year-Month-Hour'!AC$390*'LBMP_by_Year-Month-Hour'!AC410,$B$30*'LBMP_by_Year-Month-Hour'!AC$422*'LBMP_by_Year-Month-Hour'!AC442,$B$31*'LBMP_by_Year-Month-Hour'!AC$454*'LBMP_by_Year-Month-Hour'!AC474,$B$32*'LBMP_by_Year-Month-Hour'!AC$486*'LBMP_by_Year-Month-Hour'!AC506,$B$33*'LBMP_by_Year-Month-Hour'!AC$518*'LBMP_by_Year-Month-Hour'!AC538,$B$34*'LBMP_by_Year-Month-Hour'!AC$550*'LBMP_by_Year-Month-Hour'!AC570,$B$35*'LBMP_by_Year-Month-Hour'!AC$582*'LBMP_by_Year-Month-Hour'!AC602)*AC35/$C$6/24</f>
        <v>30178.84157846609</v>
      </c>
      <c r="AE97">
        <v>16</v>
      </c>
      <c r="AF97">
        <f>NPV($C$7,$B$19*'LBMP_by_Year-Month-Hour'!AF$70*'LBMP_by_Year-Month-Hour'!AF90,$B$20*'LBMP_by_Year-Month-Hour'!AF$102*'LBMP_by_Year-Month-Hour'!AF122,$B$21*'LBMP_by_Year-Month-Hour'!AF$134*'LBMP_by_Year-Month-Hour'!AF154,$B$22*'LBMP_by_Year-Month-Hour'!AF$166*'LBMP_by_Year-Month-Hour'!AF186,$B$23*'LBMP_by_Year-Month-Hour'!AF$198*'LBMP_by_Year-Month-Hour'!AF218,$B$24*'LBMP_by_Year-Month-Hour'!AF$230*'LBMP_by_Year-Month-Hour'!AF250,$B$25*'LBMP_by_Year-Month-Hour'!AF$262*'LBMP_by_Year-Month-Hour'!AF282,$B$26*'LBMP_by_Year-Month-Hour'!AF$294*'LBMP_by_Year-Month-Hour'!AF314,$B$27*'LBMP_by_Year-Month-Hour'!AF$326*'LBMP_by_Year-Month-Hour'!AF346,$B$28*'LBMP_by_Year-Month-Hour'!AF$358*'LBMP_by_Year-Month-Hour'!AF378,$B$29*'LBMP_by_Year-Month-Hour'!AF$390*'LBMP_by_Year-Month-Hour'!AF410,$B$30*'LBMP_by_Year-Month-Hour'!AF$422*'LBMP_by_Year-Month-Hour'!AF442,$B$31*'LBMP_by_Year-Month-Hour'!AF$454*'LBMP_by_Year-Month-Hour'!AF474,$B$32*'LBMP_by_Year-Month-Hour'!AF$486*'LBMP_by_Year-Month-Hour'!AF506,$B$33*'LBMP_by_Year-Month-Hour'!AF$518*'LBMP_by_Year-Month-Hour'!AF538,$B$34*'LBMP_by_Year-Month-Hour'!AF$550*'LBMP_by_Year-Month-Hour'!AF570,$B$35*'LBMP_by_Year-Month-Hour'!AF$582*'LBMP_by_Year-Month-Hour'!AF602)*AF35/$C$6/24</f>
        <v>0</v>
      </c>
      <c r="AH97">
        <v>16</v>
      </c>
      <c r="AI97">
        <f>NPV($C$7,$B$19*'LBMP_by_Year-Month-Hour'!AI$70*'LBMP_by_Year-Month-Hour'!AI90,$B$20*'LBMP_by_Year-Month-Hour'!AI$102*'LBMP_by_Year-Month-Hour'!AI122,$B$21*'LBMP_by_Year-Month-Hour'!AI$134*'LBMP_by_Year-Month-Hour'!AI154,$B$22*'LBMP_by_Year-Month-Hour'!AI$166*'LBMP_by_Year-Month-Hour'!AI186,$B$23*'LBMP_by_Year-Month-Hour'!AI$198*'LBMP_by_Year-Month-Hour'!AI218,$B$24*'LBMP_by_Year-Month-Hour'!AI$230*'LBMP_by_Year-Month-Hour'!AI250,$B$25*'LBMP_by_Year-Month-Hour'!AI$262*'LBMP_by_Year-Month-Hour'!AI282,$B$26*'LBMP_by_Year-Month-Hour'!AI$294*'LBMP_by_Year-Month-Hour'!AI314,$B$27*'LBMP_by_Year-Month-Hour'!AI$326*'LBMP_by_Year-Month-Hour'!AI346,$B$28*'LBMP_by_Year-Month-Hour'!AI$358*'LBMP_by_Year-Month-Hour'!AI378,$B$29*'LBMP_by_Year-Month-Hour'!AI$390*'LBMP_by_Year-Month-Hour'!AI410,$B$30*'LBMP_by_Year-Month-Hour'!AI$422*'LBMP_by_Year-Month-Hour'!AI442,$B$31*'LBMP_by_Year-Month-Hour'!AI$454*'LBMP_by_Year-Month-Hour'!AI474,$B$32*'LBMP_by_Year-Month-Hour'!AI$486*'LBMP_by_Year-Month-Hour'!AI506,$B$33*'LBMP_by_Year-Month-Hour'!AI$518*'LBMP_by_Year-Month-Hour'!AI538,$B$34*'LBMP_by_Year-Month-Hour'!AI$550*'LBMP_by_Year-Month-Hour'!AI570,$B$35*'LBMP_by_Year-Month-Hour'!AI$582*'LBMP_by_Year-Month-Hour'!AI602)*AI35/$C$6/24</f>
        <v>0</v>
      </c>
      <c r="AK97">
        <v>16</v>
      </c>
      <c r="AL97">
        <f>NPV($C$7,$B$19*'LBMP_by_Year-Month-Hour'!AL$70*'LBMP_by_Year-Month-Hour'!AL90,$B$20*'LBMP_by_Year-Month-Hour'!AL$102*'LBMP_by_Year-Month-Hour'!AL122,$B$21*'LBMP_by_Year-Month-Hour'!AL$134*'LBMP_by_Year-Month-Hour'!AL154,$B$22*'LBMP_by_Year-Month-Hour'!AL$166*'LBMP_by_Year-Month-Hour'!AL186,$B$23*'LBMP_by_Year-Month-Hour'!AL$198*'LBMP_by_Year-Month-Hour'!AL218,$B$24*'LBMP_by_Year-Month-Hour'!AL$230*'LBMP_by_Year-Month-Hour'!AL250,$B$25*'LBMP_by_Year-Month-Hour'!AL$262*'LBMP_by_Year-Month-Hour'!AL282,$B$26*'LBMP_by_Year-Month-Hour'!AL$294*'LBMP_by_Year-Month-Hour'!AL314,$B$27*'LBMP_by_Year-Month-Hour'!AL$326*'LBMP_by_Year-Month-Hour'!AL346,$B$28*'LBMP_by_Year-Month-Hour'!AL$358*'LBMP_by_Year-Month-Hour'!AL378,$B$29*'LBMP_by_Year-Month-Hour'!AL$390*'LBMP_by_Year-Month-Hour'!AL410,$B$30*'LBMP_by_Year-Month-Hour'!AL$422*'LBMP_by_Year-Month-Hour'!AL442,$B$31*'LBMP_by_Year-Month-Hour'!AL$454*'LBMP_by_Year-Month-Hour'!AL474,$B$32*'LBMP_by_Year-Month-Hour'!AL$486*'LBMP_by_Year-Month-Hour'!AL506,$B$33*'LBMP_by_Year-Month-Hour'!AL$518*'LBMP_by_Year-Month-Hour'!AL538,$B$34*'LBMP_by_Year-Month-Hour'!AL$550*'LBMP_by_Year-Month-Hour'!AL570,$B$35*'LBMP_by_Year-Month-Hour'!AL$582*'LBMP_by_Year-Month-Hour'!AL602)*AL35/$C$6/24</f>
        <v>0</v>
      </c>
    </row>
    <row r="98" spans="1:38">
      <c r="A98">
        <v>17</v>
      </c>
      <c r="B98">
        <f t="shared" si="10"/>
        <v>132046.51956712769</v>
      </c>
      <c r="D98">
        <v>17</v>
      </c>
      <c r="E98">
        <f>NPV($C$7,$B$19*'LBMP_by_Year-Month-Hour'!E$70*'LBMP_by_Year-Month-Hour'!E91,$B$20*'LBMP_by_Year-Month-Hour'!E$102*'LBMP_by_Year-Month-Hour'!E123,$B$21*'LBMP_by_Year-Month-Hour'!E$134*'LBMP_by_Year-Month-Hour'!E155,$B$22*'LBMP_by_Year-Month-Hour'!E$166*'LBMP_by_Year-Month-Hour'!E187,$B$23*'LBMP_by_Year-Month-Hour'!E$198*'LBMP_by_Year-Month-Hour'!E219,$B$24*'LBMP_by_Year-Month-Hour'!E$230*'LBMP_by_Year-Month-Hour'!E251,$B$25*'LBMP_by_Year-Month-Hour'!E$262*'LBMP_by_Year-Month-Hour'!E283,$B$26*'LBMP_by_Year-Month-Hour'!E$294*'LBMP_by_Year-Month-Hour'!E315,$B$27*'LBMP_by_Year-Month-Hour'!E$326*'LBMP_by_Year-Month-Hour'!E347,$B$28*'LBMP_by_Year-Month-Hour'!E$358*'LBMP_by_Year-Month-Hour'!E379,$B$29*'LBMP_by_Year-Month-Hour'!E$390*'LBMP_by_Year-Month-Hour'!E411,$B$30*'LBMP_by_Year-Month-Hour'!E$422*'LBMP_by_Year-Month-Hour'!E443,$B$31*'LBMP_by_Year-Month-Hour'!E$454*'LBMP_by_Year-Month-Hour'!E475,$B$32*'LBMP_by_Year-Month-Hour'!E$486*'LBMP_by_Year-Month-Hour'!E507,$B$33*'LBMP_by_Year-Month-Hour'!E$518*'LBMP_by_Year-Month-Hour'!E539,$B$34*'LBMP_by_Year-Month-Hour'!E$550*'LBMP_by_Year-Month-Hour'!E571,$B$35*'LBMP_by_Year-Month-Hour'!E$582*'LBMP_by_Year-Month-Hour'!E603)*E36/$C$6/24</f>
        <v>0</v>
      </c>
      <c r="G98">
        <v>17</v>
      </c>
      <c r="H98">
        <f>NPV($C$7,$B$19*'LBMP_by_Year-Month-Hour'!H$70*'LBMP_by_Year-Month-Hour'!H91,$B$20*'LBMP_by_Year-Month-Hour'!H$102*'LBMP_by_Year-Month-Hour'!H123,$B$21*'LBMP_by_Year-Month-Hour'!H$134*'LBMP_by_Year-Month-Hour'!H155,$B$22*'LBMP_by_Year-Month-Hour'!H$166*'LBMP_by_Year-Month-Hour'!H187,$B$23*'LBMP_by_Year-Month-Hour'!H$198*'LBMP_by_Year-Month-Hour'!H219,$B$24*'LBMP_by_Year-Month-Hour'!H$230*'LBMP_by_Year-Month-Hour'!H251,$B$25*'LBMP_by_Year-Month-Hour'!H$262*'LBMP_by_Year-Month-Hour'!H283,$B$26*'LBMP_by_Year-Month-Hour'!H$294*'LBMP_by_Year-Month-Hour'!H315,$B$27*'LBMP_by_Year-Month-Hour'!H$326*'LBMP_by_Year-Month-Hour'!H347,$B$28*'LBMP_by_Year-Month-Hour'!H$358*'LBMP_by_Year-Month-Hour'!H379,$B$29*'LBMP_by_Year-Month-Hour'!H$390*'LBMP_by_Year-Month-Hour'!H411,$B$30*'LBMP_by_Year-Month-Hour'!H$422*'LBMP_by_Year-Month-Hour'!H443,$B$31*'LBMP_by_Year-Month-Hour'!H$454*'LBMP_by_Year-Month-Hour'!H475,$B$32*'LBMP_by_Year-Month-Hour'!H$486*'LBMP_by_Year-Month-Hour'!H507,$B$33*'LBMP_by_Year-Month-Hour'!H$518*'LBMP_by_Year-Month-Hour'!H539,$B$34*'LBMP_by_Year-Month-Hour'!H$550*'LBMP_by_Year-Month-Hour'!H571,$B$35*'LBMP_by_Year-Month-Hour'!H$582*'LBMP_by_Year-Month-Hour'!H603)*H36/$C$6/24</f>
        <v>0</v>
      </c>
      <c r="J98">
        <v>17</v>
      </c>
      <c r="K98">
        <f>NPV($C$7,$B$19*'LBMP_by_Year-Month-Hour'!K$70*'LBMP_by_Year-Month-Hour'!K91,$B$20*'LBMP_by_Year-Month-Hour'!K$102*'LBMP_by_Year-Month-Hour'!K123,$B$21*'LBMP_by_Year-Month-Hour'!K$134*'LBMP_by_Year-Month-Hour'!K155,$B$22*'LBMP_by_Year-Month-Hour'!K$166*'LBMP_by_Year-Month-Hour'!K187,$B$23*'LBMP_by_Year-Month-Hour'!K$198*'LBMP_by_Year-Month-Hour'!K219,$B$24*'LBMP_by_Year-Month-Hour'!K$230*'LBMP_by_Year-Month-Hour'!K251,$B$25*'LBMP_by_Year-Month-Hour'!K$262*'LBMP_by_Year-Month-Hour'!K283,$B$26*'LBMP_by_Year-Month-Hour'!K$294*'LBMP_by_Year-Month-Hour'!K315,$B$27*'LBMP_by_Year-Month-Hour'!K$326*'LBMP_by_Year-Month-Hour'!K347,$B$28*'LBMP_by_Year-Month-Hour'!K$358*'LBMP_by_Year-Month-Hour'!K379,$B$29*'LBMP_by_Year-Month-Hour'!K$390*'LBMP_by_Year-Month-Hour'!K411,$B$30*'LBMP_by_Year-Month-Hour'!K$422*'LBMP_by_Year-Month-Hour'!K443,$B$31*'LBMP_by_Year-Month-Hour'!K$454*'LBMP_by_Year-Month-Hour'!K475,$B$32*'LBMP_by_Year-Month-Hour'!K$486*'LBMP_by_Year-Month-Hour'!K507,$B$33*'LBMP_by_Year-Month-Hour'!K$518*'LBMP_by_Year-Month-Hour'!K539,$B$34*'LBMP_by_Year-Month-Hour'!K$550*'LBMP_by_Year-Month-Hour'!K571,$B$35*'LBMP_by_Year-Month-Hour'!K$582*'LBMP_by_Year-Month-Hour'!K603)*K36/$C$6/24</f>
        <v>0</v>
      </c>
      <c r="M98">
        <v>17</v>
      </c>
      <c r="N98">
        <f>NPV($C$7,$B$19*'LBMP_by_Year-Month-Hour'!N$70*'LBMP_by_Year-Month-Hour'!N91,$B$20*'LBMP_by_Year-Month-Hour'!N$102*'LBMP_by_Year-Month-Hour'!N123,$B$21*'LBMP_by_Year-Month-Hour'!N$134*'LBMP_by_Year-Month-Hour'!N155,$B$22*'LBMP_by_Year-Month-Hour'!N$166*'LBMP_by_Year-Month-Hour'!N187,$B$23*'LBMP_by_Year-Month-Hour'!N$198*'LBMP_by_Year-Month-Hour'!N219,$B$24*'LBMP_by_Year-Month-Hour'!N$230*'LBMP_by_Year-Month-Hour'!N251,$B$25*'LBMP_by_Year-Month-Hour'!N$262*'LBMP_by_Year-Month-Hour'!N283,$B$26*'LBMP_by_Year-Month-Hour'!N$294*'LBMP_by_Year-Month-Hour'!N315,$B$27*'LBMP_by_Year-Month-Hour'!N$326*'LBMP_by_Year-Month-Hour'!N347,$B$28*'LBMP_by_Year-Month-Hour'!N$358*'LBMP_by_Year-Month-Hour'!N379,$B$29*'LBMP_by_Year-Month-Hour'!N$390*'LBMP_by_Year-Month-Hour'!N411,$B$30*'LBMP_by_Year-Month-Hour'!N$422*'LBMP_by_Year-Month-Hour'!N443,$B$31*'LBMP_by_Year-Month-Hour'!N$454*'LBMP_by_Year-Month-Hour'!N475,$B$32*'LBMP_by_Year-Month-Hour'!N$486*'LBMP_by_Year-Month-Hour'!N507,$B$33*'LBMP_by_Year-Month-Hour'!N$518*'LBMP_by_Year-Month-Hour'!N539,$B$34*'LBMP_by_Year-Month-Hour'!N$550*'LBMP_by_Year-Month-Hour'!N571,$B$35*'LBMP_by_Year-Month-Hour'!N$582*'LBMP_by_Year-Month-Hour'!N603)*N36/$C$6/24</f>
        <v>0</v>
      </c>
      <c r="P98">
        <v>17</v>
      </c>
      <c r="Q98">
        <f>NPV($C$7,$B$19*'LBMP_by_Year-Month-Hour'!Q$70*'LBMP_by_Year-Month-Hour'!Q91,$B$20*'LBMP_by_Year-Month-Hour'!Q$102*'LBMP_by_Year-Month-Hour'!Q123,$B$21*'LBMP_by_Year-Month-Hour'!Q$134*'LBMP_by_Year-Month-Hour'!Q155,$B$22*'LBMP_by_Year-Month-Hour'!Q$166*'LBMP_by_Year-Month-Hour'!Q187,$B$23*'LBMP_by_Year-Month-Hour'!Q$198*'LBMP_by_Year-Month-Hour'!Q219,$B$24*'LBMP_by_Year-Month-Hour'!Q$230*'LBMP_by_Year-Month-Hour'!Q251,$B$25*'LBMP_by_Year-Month-Hour'!Q$262*'LBMP_by_Year-Month-Hour'!Q283,$B$26*'LBMP_by_Year-Month-Hour'!Q$294*'LBMP_by_Year-Month-Hour'!Q315,$B$27*'LBMP_by_Year-Month-Hour'!Q$326*'LBMP_by_Year-Month-Hour'!Q347,$B$28*'LBMP_by_Year-Month-Hour'!Q$358*'LBMP_by_Year-Month-Hour'!Q379,$B$29*'LBMP_by_Year-Month-Hour'!Q$390*'LBMP_by_Year-Month-Hour'!Q411,$B$30*'LBMP_by_Year-Month-Hour'!Q$422*'LBMP_by_Year-Month-Hour'!Q443,$B$31*'LBMP_by_Year-Month-Hour'!Q$454*'LBMP_by_Year-Month-Hour'!Q475,$B$32*'LBMP_by_Year-Month-Hour'!Q$486*'LBMP_by_Year-Month-Hour'!Q507,$B$33*'LBMP_by_Year-Month-Hour'!Q$518*'LBMP_by_Year-Month-Hour'!Q539,$B$34*'LBMP_by_Year-Month-Hour'!Q$550*'LBMP_by_Year-Month-Hour'!Q571,$B$35*'LBMP_by_Year-Month-Hour'!Q$582*'LBMP_by_Year-Month-Hour'!Q603)*Q36/$C$6/24</f>
        <v>0</v>
      </c>
      <c r="S98">
        <v>17</v>
      </c>
      <c r="T98">
        <f>NPV($C$7,$B$19*'LBMP_by_Year-Month-Hour'!T$70*'LBMP_by_Year-Month-Hour'!T91,$B$20*'LBMP_by_Year-Month-Hour'!T$102*'LBMP_by_Year-Month-Hour'!T123,$B$21*'LBMP_by_Year-Month-Hour'!T$134*'LBMP_by_Year-Month-Hour'!T155,$B$22*'LBMP_by_Year-Month-Hour'!T$166*'LBMP_by_Year-Month-Hour'!T187,$B$23*'LBMP_by_Year-Month-Hour'!T$198*'LBMP_by_Year-Month-Hour'!T219,$B$24*'LBMP_by_Year-Month-Hour'!T$230*'LBMP_by_Year-Month-Hour'!T251,$B$25*'LBMP_by_Year-Month-Hour'!T$262*'LBMP_by_Year-Month-Hour'!T283,$B$26*'LBMP_by_Year-Month-Hour'!T$294*'LBMP_by_Year-Month-Hour'!T315,$B$27*'LBMP_by_Year-Month-Hour'!T$326*'LBMP_by_Year-Month-Hour'!T347,$B$28*'LBMP_by_Year-Month-Hour'!T$358*'LBMP_by_Year-Month-Hour'!T379,$B$29*'LBMP_by_Year-Month-Hour'!T$390*'LBMP_by_Year-Month-Hour'!T411,$B$30*'LBMP_by_Year-Month-Hour'!T$422*'LBMP_by_Year-Month-Hour'!T443,$B$31*'LBMP_by_Year-Month-Hour'!T$454*'LBMP_by_Year-Month-Hour'!T475,$B$32*'LBMP_by_Year-Month-Hour'!T$486*'LBMP_by_Year-Month-Hour'!T507,$B$33*'LBMP_by_Year-Month-Hour'!T$518*'LBMP_by_Year-Month-Hour'!T539,$B$34*'LBMP_by_Year-Month-Hour'!T$550*'LBMP_by_Year-Month-Hour'!T571,$B$35*'LBMP_by_Year-Month-Hour'!T$582*'LBMP_by_Year-Month-Hour'!T603)*T36/$C$6/24</f>
        <v>27849.480183027714</v>
      </c>
      <c r="V98">
        <v>17</v>
      </c>
      <c r="W98">
        <f>NPV($C$7,$B$19*'LBMP_by_Year-Month-Hour'!W$70*'LBMP_by_Year-Month-Hour'!W91,$B$20*'LBMP_by_Year-Month-Hour'!W$102*'LBMP_by_Year-Month-Hour'!W123,$B$21*'LBMP_by_Year-Month-Hour'!W$134*'LBMP_by_Year-Month-Hour'!W155,$B$22*'LBMP_by_Year-Month-Hour'!W$166*'LBMP_by_Year-Month-Hour'!W187,$B$23*'LBMP_by_Year-Month-Hour'!W$198*'LBMP_by_Year-Month-Hour'!W219,$B$24*'LBMP_by_Year-Month-Hour'!W$230*'LBMP_by_Year-Month-Hour'!W251,$B$25*'LBMP_by_Year-Month-Hour'!W$262*'LBMP_by_Year-Month-Hour'!W283,$B$26*'LBMP_by_Year-Month-Hour'!W$294*'LBMP_by_Year-Month-Hour'!W315,$B$27*'LBMP_by_Year-Month-Hour'!W$326*'LBMP_by_Year-Month-Hour'!W347,$B$28*'LBMP_by_Year-Month-Hour'!W$358*'LBMP_by_Year-Month-Hour'!W379,$B$29*'LBMP_by_Year-Month-Hour'!W$390*'LBMP_by_Year-Month-Hour'!W411,$B$30*'LBMP_by_Year-Month-Hour'!W$422*'LBMP_by_Year-Month-Hour'!W443,$B$31*'LBMP_by_Year-Month-Hour'!W$454*'LBMP_by_Year-Month-Hour'!W475,$B$32*'LBMP_by_Year-Month-Hour'!W$486*'LBMP_by_Year-Month-Hour'!W507,$B$33*'LBMP_by_Year-Month-Hour'!W$518*'LBMP_by_Year-Month-Hour'!W539,$B$34*'LBMP_by_Year-Month-Hour'!W$550*'LBMP_by_Year-Month-Hour'!W571,$B$35*'LBMP_by_Year-Month-Hour'!W$582*'LBMP_by_Year-Month-Hour'!W603)*W36/$C$6/24</f>
        <v>37049.202780174448</v>
      </c>
      <c r="Y98">
        <v>17</v>
      </c>
      <c r="Z98">
        <f>NPV($C$7,$B$19*'LBMP_by_Year-Month-Hour'!Z$70*'LBMP_by_Year-Month-Hour'!Z91,$B$20*'LBMP_by_Year-Month-Hour'!Z$102*'LBMP_by_Year-Month-Hour'!Z123,$B$21*'LBMP_by_Year-Month-Hour'!Z$134*'LBMP_by_Year-Month-Hour'!Z155,$B$22*'LBMP_by_Year-Month-Hour'!Z$166*'LBMP_by_Year-Month-Hour'!Z187,$B$23*'LBMP_by_Year-Month-Hour'!Z$198*'LBMP_by_Year-Month-Hour'!Z219,$B$24*'LBMP_by_Year-Month-Hour'!Z$230*'LBMP_by_Year-Month-Hour'!Z251,$B$25*'LBMP_by_Year-Month-Hour'!Z$262*'LBMP_by_Year-Month-Hour'!Z283,$B$26*'LBMP_by_Year-Month-Hour'!Z$294*'LBMP_by_Year-Month-Hour'!Z315,$B$27*'LBMP_by_Year-Month-Hour'!Z$326*'LBMP_by_Year-Month-Hour'!Z347,$B$28*'LBMP_by_Year-Month-Hour'!Z$358*'LBMP_by_Year-Month-Hour'!Z379,$B$29*'LBMP_by_Year-Month-Hour'!Z$390*'LBMP_by_Year-Month-Hour'!Z411,$B$30*'LBMP_by_Year-Month-Hour'!Z$422*'LBMP_by_Year-Month-Hour'!Z443,$B$31*'LBMP_by_Year-Month-Hour'!Z$454*'LBMP_by_Year-Month-Hour'!Z475,$B$32*'LBMP_by_Year-Month-Hour'!Z$486*'LBMP_by_Year-Month-Hour'!Z507,$B$33*'LBMP_by_Year-Month-Hour'!Z$518*'LBMP_by_Year-Month-Hour'!Z539,$B$34*'LBMP_by_Year-Month-Hour'!Z$550*'LBMP_by_Year-Month-Hour'!Z571,$B$35*'LBMP_by_Year-Month-Hour'!Z$582*'LBMP_by_Year-Month-Hour'!Z603)*Z36/$C$6/24</f>
        <v>36972.321031490552</v>
      </c>
      <c r="AB98">
        <v>17</v>
      </c>
      <c r="AC98">
        <f>NPV($C$7,$B$19*'LBMP_by_Year-Month-Hour'!AC$70*'LBMP_by_Year-Month-Hour'!AC91,$B$20*'LBMP_by_Year-Month-Hour'!AC$102*'LBMP_by_Year-Month-Hour'!AC123,$B$21*'LBMP_by_Year-Month-Hour'!AC$134*'LBMP_by_Year-Month-Hour'!AC155,$B$22*'LBMP_by_Year-Month-Hour'!AC$166*'LBMP_by_Year-Month-Hour'!AC187,$B$23*'LBMP_by_Year-Month-Hour'!AC$198*'LBMP_by_Year-Month-Hour'!AC219,$B$24*'LBMP_by_Year-Month-Hour'!AC$230*'LBMP_by_Year-Month-Hour'!AC251,$B$25*'LBMP_by_Year-Month-Hour'!AC$262*'LBMP_by_Year-Month-Hour'!AC283,$B$26*'LBMP_by_Year-Month-Hour'!AC$294*'LBMP_by_Year-Month-Hour'!AC315,$B$27*'LBMP_by_Year-Month-Hour'!AC$326*'LBMP_by_Year-Month-Hour'!AC347,$B$28*'LBMP_by_Year-Month-Hour'!AC$358*'LBMP_by_Year-Month-Hour'!AC379,$B$29*'LBMP_by_Year-Month-Hour'!AC$390*'LBMP_by_Year-Month-Hour'!AC411,$B$30*'LBMP_by_Year-Month-Hour'!AC$422*'LBMP_by_Year-Month-Hour'!AC443,$B$31*'LBMP_by_Year-Month-Hour'!AC$454*'LBMP_by_Year-Month-Hour'!AC475,$B$32*'LBMP_by_Year-Month-Hour'!AC$486*'LBMP_by_Year-Month-Hour'!AC507,$B$33*'LBMP_by_Year-Month-Hour'!AC$518*'LBMP_by_Year-Month-Hour'!AC539,$B$34*'LBMP_by_Year-Month-Hour'!AC$550*'LBMP_by_Year-Month-Hour'!AC571,$B$35*'LBMP_by_Year-Month-Hour'!AC$582*'LBMP_by_Year-Month-Hour'!AC603)*AC36/$C$6/24</f>
        <v>30175.515572434979</v>
      </c>
      <c r="AE98">
        <v>17</v>
      </c>
      <c r="AF98">
        <f>NPV($C$7,$B$19*'LBMP_by_Year-Month-Hour'!AF$70*'LBMP_by_Year-Month-Hour'!AF91,$B$20*'LBMP_by_Year-Month-Hour'!AF$102*'LBMP_by_Year-Month-Hour'!AF123,$B$21*'LBMP_by_Year-Month-Hour'!AF$134*'LBMP_by_Year-Month-Hour'!AF155,$B$22*'LBMP_by_Year-Month-Hour'!AF$166*'LBMP_by_Year-Month-Hour'!AF187,$B$23*'LBMP_by_Year-Month-Hour'!AF$198*'LBMP_by_Year-Month-Hour'!AF219,$B$24*'LBMP_by_Year-Month-Hour'!AF$230*'LBMP_by_Year-Month-Hour'!AF251,$B$25*'LBMP_by_Year-Month-Hour'!AF$262*'LBMP_by_Year-Month-Hour'!AF283,$B$26*'LBMP_by_Year-Month-Hour'!AF$294*'LBMP_by_Year-Month-Hour'!AF315,$B$27*'LBMP_by_Year-Month-Hour'!AF$326*'LBMP_by_Year-Month-Hour'!AF347,$B$28*'LBMP_by_Year-Month-Hour'!AF$358*'LBMP_by_Year-Month-Hour'!AF379,$B$29*'LBMP_by_Year-Month-Hour'!AF$390*'LBMP_by_Year-Month-Hour'!AF411,$B$30*'LBMP_by_Year-Month-Hour'!AF$422*'LBMP_by_Year-Month-Hour'!AF443,$B$31*'LBMP_by_Year-Month-Hour'!AF$454*'LBMP_by_Year-Month-Hour'!AF475,$B$32*'LBMP_by_Year-Month-Hour'!AF$486*'LBMP_by_Year-Month-Hour'!AF507,$B$33*'LBMP_by_Year-Month-Hour'!AF$518*'LBMP_by_Year-Month-Hour'!AF539,$B$34*'LBMP_by_Year-Month-Hour'!AF$550*'LBMP_by_Year-Month-Hour'!AF571,$B$35*'LBMP_by_Year-Month-Hour'!AF$582*'LBMP_by_Year-Month-Hour'!AF603)*AF36/$C$6/24</f>
        <v>0</v>
      </c>
      <c r="AH98">
        <v>17</v>
      </c>
      <c r="AI98">
        <f>NPV($C$7,$B$19*'LBMP_by_Year-Month-Hour'!AI$70*'LBMP_by_Year-Month-Hour'!AI91,$B$20*'LBMP_by_Year-Month-Hour'!AI$102*'LBMP_by_Year-Month-Hour'!AI123,$B$21*'LBMP_by_Year-Month-Hour'!AI$134*'LBMP_by_Year-Month-Hour'!AI155,$B$22*'LBMP_by_Year-Month-Hour'!AI$166*'LBMP_by_Year-Month-Hour'!AI187,$B$23*'LBMP_by_Year-Month-Hour'!AI$198*'LBMP_by_Year-Month-Hour'!AI219,$B$24*'LBMP_by_Year-Month-Hour'!AI$230*'LBMP_by_Year-Month-Hour'!AI251,$B$25*'LBMP_by_Year-Month-Hour'!AI$262*'LBMP_by_Year-Month-Hour'!AI283,$B$26*'LBMP_by_Year-Month-Hour'!AI$294*'LBMP_by_Year-Month-Hour'!AI315,$B$27*'LBMP_by_Year-Month-Hour'!AI$326*'LBMP_by_Year-Month-Hour'!AI347,$B$28*'LBMP_by_Year-Month-Hour'!AI$358*'LBMP_by_Year-Month-Hour'!AI379,$B$29*'LBMP_by_Year-Month-Hour'!AI$390*'LBMP_by_Year-Month-Hour'!AI411,$B$30*'LBMP_by_Year-Month-Hour'!AI$422*'LBMP_by_Year-Month-Hour'!AI443,$B$31*'LBMP_by_Year-Month-Hour'!AI$454*'LBMP_by_Year-Month-Hour'!AI475,$B$32*'LBMP_by_Year-Month-Hour'!AI$486*'LBMP_by_Year-Month-Hour'!AI507,$B$33*'LBMP_by_Year-Month-Hour'!AI$518*'LBMP_by_Year-Month-Hour'!AI539,$B$34*'LBMP_by_Year-Month-Hour'!AI$550*'LBMP_by_Year-Month-Hour'!AI571,$B$35*'LBMP_by_Year-Month-Hour'!AI$582*'LBMP_by_Year-Month-Hour'!AI603)*AI36/$C$6/24</f>
        <v>0</v>
      </c>
      <c r="AK98">
        <v>17</v>
      </c>
      <c r="AL98">
        <f>NPV($C$7,$B$19*'LBMP_by_Year-Month-Hour'!AL$70*'LBMP_by_Year-Month-Hour'!AL91,$B$20*'LBMP_by_Year-Month-Hour'!AL$102*'LBMP_by_Year-Month-Hour'!AL123,$B$21*'LBMP_by_Year-Month-Hour'!AL$134*'LBMP_by_Year-Month-Hour'!AL155,$B$22*'LBMP_by_Year-Month-Hour'!AL$166*'LBMP_by_Year-Month-Hour'!AL187,$B$23*'LBMP_by_Year-Month-Hour'!AL$198*'LBMP_by_Year-Month-Hour'!AL219,$B$24*'LBMP_by_Year-Month-Hour'!AL$230*'LBMP_by_Year-Month-Hour'!AL251,$B$25*'LBMP_by_Year-Month-Hour'!AL$262*'LBMP_by_Year-Month-Hour'!AL283,$B$26*'LBMP_by_Year-Month-Hour'!AL$294*'LBMP_by_Year-Month-Hour'!AL315,$B$27*'LBMP_by_Year-Month-Hour'!AL$326*'LBMP_by_Year-Month-Hour'!AL347,$B$28*'LBMP_by_Year-Month-Hour'!AL$358*'LBMP_by_Year-Month-Hour'!AL379,$B$29*'LBMP_by_Year-Month-Hour'!AL$390*'LBMP_by_Year-Month-Hour'!AL411,$B$30*'LBMP_by_Year-Month-Hour'!AL$422*'LBMP_by_Year-Month-Hour'!AL443,$B$31*'LBMP_by_Year-Month-Hour'!AL$454*'LBMP_by_Year-Month-Hour'!AL475,$B$32*'LBMP_by_Year-Month-Hour'!AL$486*'LBMP_by_Year-Month-Hour'!AL507,$B$33*'LBMP_by_Year-Month-Hour'!AL$518*'LBMP_by_Year-Month-Hour'!AL539,$B$34*'LBMP_by_Year-Month-Hour'!AL$550*'LBMP_by_Year-Month-Hour'!AL571,$B$35*'LBMP_by_Year-Month-Hour'!AL$582*'LBMP_by_Year-Month-Hour'!AL603)*AL36/$C$6/24</f>
        <v>0</v>
      </c>
    </row>
    <row r="99" spans="1:38">
      <c r="A99">
        <v>18</v>
      </c>
      <c r="B99">
        <f t="shared" si="10"/>
        <v>117971.19103665221</v>
      </c>
      <c r="D99">
        <v>18</v>
      </c>
      <c r="E99">
        <f>NPV($C$7,$B$19*'LBMP_by_Year-Month-Hour'!E$70*'LBMP_by_Year-Month-Hour'!E92,$B$20*'LBMP_by_Year-Month-Hour'!E$102*'LBMP_by_Year-Month-Hour'!E124,$B$21*'LBMP_by_Year-Month-Hour'!E$134*'LBMP_by_Year-Month-Hour'!E156,$B$22*'LBMP_by_Year-Month-Hour'!E$166*'LBMP_by_Year-Month-Hour'!E188,$B$23*'LBMP_by_Year-Month-Hour'!E$198*'LBMP_by_Year-Month-Hour'!E220,$B$24*'LBMP_by_Year-Month-Hour'!E$230*'LBMP_by_Year-Month-Hour'!E252,$B$25*'LBMP_by_Year-Month-Hour'!E$262*'LBMP_by_Year-Month-Hour'!E284,$B$26*'LBMP_by_Year-Month-Hour'!E$294*'LBMP_by_Year-Month-Hour'!E316,$B$27*'LBMP_by_Year-Month-Hour'!E$326*'LBMP_by_Year-Month-Hour'!E348,$B$28*'LBMP_by_Year-Month-Hour'!E$358*'LBMP_by_Year-Month-Hour'!E380,$B$29*'LBMP_by_Year-Month-Hour'!E$390*'LBMP_by_Year-Month-Hour'!E412,$B$30*'LBMP_by_Year-Month-Hour'!E$422*'LBMP_by_Year-Month-Hour'!E444,$B$31*'LBMP_by_Year-Month-Hour'!E$454*'LBMP_by_Year-Month-Hour'!E476,$B$32*'LBMP_by_Year-Month-Hour'!E$486*'LBMP_by_Year-Month-Hour'!E508,$B$33*'LBMP_by_Year-Month-Hour'!E$518*'LBMP_by_Year-Month-Hour'!E540,$B$34*'LBMP_by_Year-Month-Hour'!E$550*'LBMP_by_Year-Month-Hour'!E572,$B$35*'LBMP_by_Year-Month-Hour'!E$582*'LBMP_by_Year-Month-Hour'!E604)*E37/$C$6/24</f>
        <v>0</v>
      </c>
      <c r="G99">
        <v>18</v>
      </c>
      <c r="H99">
        <f>NPV($C$7,$B$19*'LBMP_by_Year-Month-Hour'!H$70*'LBMP_by_Year-Month-Hour'!H92,$B$20*'LBMP_by_Year-Month-Hour'!H$102*'LBMP_by_Year-Month-Hour'!H124,$B$21*'LBMP_by_Year-Month-Hour'!H$134*'LBMP_by_Year-Month-Hour'!H156,$B$22*'LBMP_by_Year-Month-Hour'!H$166*'LBMP_by_Year-Month-Hour'!H188,$B$23*'LBMP_by_Year-Month-Hour'!H$198*'LBMP_by_Year-Month-Hour'!H220,$B$24*'LBMP_by_Year-Month-Hour'!H$230*'LBMP_by_Year-Month-Hour'!H252,$B$25*'LBMP_by_Year-Month-Hour'!H$262*'LBMP_by_Year-Month-Hour'!H284,$B$26*'LBMP_by_Year-Month-Hour'!H$294*'LBMP_by_Year-Month-Hour'!H316,$B$27*'LBMP_by_Year-Month-Hour'!H$326*'LBMP_by_Year-Month-Hour'!H348,$B$28*'LBMP_by_Year-Month-Hour'!H$358*'LBMP_by_Year-Month-Hour'!H380,$B$29*'LBMP_by_Year-Month-Hour'!H$390*'LBMP_by_Year-Month-Hour'!H412,$B$30*'LBMP_by_Year-Month-Hour'!H$422*'LBMP_by_Year-Month-Hour'!H444,$B$31*'LBMP_by_Year-Month-Hour'!H$454*'LBMP_by_Year-Month-Hour'!H476,$B$32*'LBMP_by_Year-Month-Hour'!H$486*'LBMP_by_Year-Month-Hour'!H508,$B$33*'LBMP_by_Year-Month-Hour'!H$518*'LBMP_by_Year-Month-Hour'!H540,$B$34*'LBMP_by_Year-Month-Hour'!H$550*'LBMP_by_Year-Month-Hour'!H572,$B$35*'LBMP_by_Year-Month-Hour'!H$582*'LBMP_by_Year-Month-Hour'!H604)*H37/$C$6/24</f>
        <v>0</v>
      </c>
      <c r="J99">
        <v>18</v>
      </c>
      <c r="K99">
        <f>NPV($C$7,$B$19*'LBMP_by_Year-Month-Hour'!K$70*'LBMP_by_Year-Month-Hour'!K92,$B$20*'LBMP_by_Year-Month-Hour'!K$102*'LBMP_by_Year-Month-Hour'!K124,$B$21*'LBMP_by_Year-Month-Hour'!K$134*'LBMP_by_Year-Month-Hour'!K156,$B$22*'LBMP_by_Year-Month-Hour'!K$166*'LBMP_by_Year-Month-Hour'!K188,$B$23*'LBMP_by_Year-Month-Hour'!K$198*'LBMP_by_Year-Month-Hour'!K220,$B$24*'LBMP_by_Year-Month-Hour'!K$230*'LBMP_by_Year-Month-Hour'!K252,$B$25*'LBMP_by_Year-Month-Hour'!K$262*'LBMP_by_Year-Month-Hour'!K284,$B$26*'LBMP_by_Year-Month-Hour'!K$294*'LBMP_by_Year-Month-Hour'!K316,$B$27*'LBMP_by_Year-Month-Hour'!K$326*'LBMP_by_Year-Month-Hour'!K348,$B$28*'LBMP_by_Year-Month-Hour'!K$358*'LBMP_by_Year-Month-Hour'!K380,$B$29*'LBMP_by_Year-Month-Hour'!K$390*'LBMP_by_Year-Month-Hour'!K412,$B$30*'LBMP_by_Year-Month-Hour'!K$422*'LBMP_by_Year-Month-Hour'!K444,$B$31*'LBMP_by_Year-Month-Hour'!K$454*'LBMP_by_Year-Month-Hour'!K476,$B$32*'LBMP_by_Year-Month-Hour'!K$486*'LBMP_by_Year-Month-Hour'!K508,$B$33*'LBMP_by_Year-Month-Hour'!K$518*'LBMP_by_Year-Month-Hour'!K540,$B$34*'LBMP_by_Year-Month-Hour'!K$550*'LBMP_by_Year-Month-Hour'!K572,$B$35*'LBMP_by_Year-Month-Hour'!K$582*'LBMP_by_Year-Month-Hour'!K604)*K37/$C$6/24</f>
        <v>0</v>
      </c>
      <c r="M99">
        <v>18</v>
      </c>
      <c r="N99">
        <f>NPV($C$7,$B$19*'LBMP_by_Year-Month-Hour'!N$70*'LBMP_by_Year-Month-Hour'!N92,$B$20*'LBMP_by_Year-Month-Hour'!N$102*'LBMP_by_Year-Month-Hour'!N124,$B$21*'LBMP_by_Year-Month-Hour'!N$134*'LBMP_by_Year-Month-Hour'!N156,$B$22*'LBMP_by_Year-Month-Hour'!N$166*'LBMP_by_Year-Month-Hour'!N188,$B$23*'LBMP_by_Year-Month-Hour'!N$198*'LBMP_by_Year-Month-Hour'!N220,$B$24*'LBMP_by_Year-Month-Hour'!N$230*'LBMP_by_Year-Month-Hour'!N252,$B$25*'LBMP_by_Year-Month-Hour'!N$262*'LBMP_by_Year-Month-Hour'!N284,$B$26*'LBMP_by_Year-Month-Hour'!N$294*'LBMP_by_Year-Month-Hour'!N316,$B$27*'LBMP_by_Year-Month-Hour'!N$326*'LBMP_by_Year-Month-Hour'!N348,$B$28*'LBMP_by_Year-Month-Hour'!N$358*'LBMP_by_Year-Month-Hour'!N380,$B$29*'LBMP_by_Year-Month-Hour'!N$390*'LBMP_by_Year-Month-Hour'!N412,$B$30*'LBMP_by_Year-Month-Hour'!N$422*'LBMP_by_Year-Month-Hour'!N444,$B$31*'LBMP_by_Year-Month-Hour'!N$454*'LBMP_by_Year-Month-Hour'!N476,$B$32*'LBMP_by_Year-Month-Hour'!N$486*'LBMP_by_Year-Month-Hour'!N508,$B$33*'LBMP_by_Year-Month-Hour'!N$518*'LBMP_by_Year-Month-Hour'!N540,$B$34*'LBMP_by_Year-Month-Hour'!N$550*'LBMP_by_Year-Month-Hour'!N572,$B$35*'LBMP_by_Year-Month-Hour'!N$582*'LBMP_by_Year-Month-Hour'!N604)*N37/$C$6/24</f>
        <v>0</v>
      </c>
      <c r="P99">
        <v>18</v>
      </c>
      <c r="Q99">
        <f>NPV($C$7,$B$19*'LBMP_by_Year-Month-Hour'!Q$70*'LBMP_by_Year-Month-Hour'!Q92,$B$20*'LBMP_by_Year-Month-Hour'!Q$102*'LBMP_by_Year-Month-Hour'!Q124,$B$21*'LBMP_by_Year-Month-Hour'!Q$134*'LBMP_by_Year-Month-Hour'!Q156,$B$22*'LBMP_by_Year-Month-Hour'!Q$166*'LBMP_by_Year-Month-Hour'!Q188,$B$23*'LBMP_by_Year-Month-Hour'!Q$198*'LBMP_by_Year-Month-Hour'!Q220,$B$24*'LBMP_by_Year-Month-Hour'!Q$230*'LBMP_by_Year-Month-Hour'!Q252,$B$25*'LBMP_by_Year-Month-Hour'!Q$262*'LBMP_by_Year-Month-Hour'!Q284,$B$26*'LBMP_by_Year-Month-Hour'!Q$294*'LBMP_by_Year-Month-Hour'!Q316,$B$27*'LBMP_by_Year-Month-Hour'!Q$326*'LBMP_by_Year-Month-Hour'!Q348,$B$28*'LBMP_by_Year-Month-Hour'!Q$358*'LBMP_by_Year-Month-Hour'!Q380,$B$29*'LBMP_by_Year-Month-Hour'!Q$390*'LBMP_by_Year-Month-Hour'!Q412,$B$30*'LBMP_by_Year-Month-Hour'!Q$422*'LBMP_by_Year-Month-Hour'!Q444,$B$31*'LBMP_by_Year-Month-Hour'!Q$454*'LBMP_by_Year-Month-Hour'!Q476,$B$32*'LBMP_by_Year-Month-Hour'!Q$486*'LBMP_by_Year-Month-Hour'!Q508,$B$33*'LBMP_by_Year-Month-Hour'!Q$518*'LBMP_by_Year-Month-Hour'!Q540,$B$34*'LBMP_by_Year-Month-Hour'!Q$550*'LBMP_by_Year-Month-Hour'!Q572,$B$35*'LBMP_by_Year-Month-Hour'!Q$582*'LBMP_by_Year-Month-Hour'!Q604)*Q37/$C$6/24</f>
        <v>0</v>
      </c>
      <c r="S99">
        <v>18</v>
      </c>
      <c r="T99">
        <f>NPV($C$7,$B$19*'LBMP_by_Year-Month-Hour'!T$70*'LBMP_by_Year-Month-Hour'!T92,$B$20*'LBMP_by_Year-Month-Hour'!T$102*'LBMP_by_Year-Month-Hour'!T124,$B$21*'LBMP_by_Year-Month-Hour'!T$134*'LBMP_by_Year-Month-Hour'!T156,$B$22*'LBMP_by_Year-Month-Hour'!T$166*'LBMP_by_Year-Month-Hour'!T188,$B$23*'LBMP_by_Year-Month-Hour'!T$198*'LBMP_by_Year-Month-Hour'!T220,$B$24*'LBMP_by_Year-Month-Hour'!T$230*'LBMP_by_Year-Month-Hour'!T252,$B$25*'LBMP_by_Year-Month-Hour'!T$262*'LBMP_by_Year-Month-Hour'!T284,$B$26*'LBMP_by_Year-Month-Hour'!T$294*'LBMP_by_Year-Month-Hour'!T316,$B$27*'LBMP_by_Year-Month-Hour'!T$326*'LBMP_by_Year-Month-Hour'!T348,$B$28*'LBMP_by_Year-Month-Hour'!T$358*'LBMP_by_Year-Month-Hour'!T380,$B$29*'LBMP_by_Year-Month-Hour'!T$390*'LBMP_by_Year-Month-Hour'!T412,$B$30*'LBMP_by_Year-Month-Hour'!T$422*'LBMP_by_Year-Month-Hour'!T444,$B$31*'LBMP_by_Year-Month-Hour'!T$454*'LBMP_by_Year-Month-Hour'!T476,$B$32*'LBMP_by_Year-Month-Hour'!T$486*'LBMP_by_Year-Month-Hour'!T508,$B$33*'LBMP_by_Year-Month-Hour'!T$518*'LBMP_by_Year-Month-Hour'!T540,$B$34*'LBMP_by_Year-Month-Hour'!T$550*'LBMP_by_Year-Month-Hour'!T572,$B$35*'LBMP_by_Year-Month-Hour'!T$582*'LBMP_by_Year-Month-Hour'!T604)*T37/$C$6/24</f>
        <v>25051.768507047887</v>
      </c>
      <c r="V99">
        <v>18</v>
      </c>
      <c r="W99">
        <f>NPV($C$7,$B$19*'LBMP_by_Year-Month-Hour'!W$70*'LBMP_by_Year-Month-Hour'!W92,$B$20*'LBMP_by_Year-Month-Hour'!W$102*'LBMP_by_Year-Month-Hour'!W124,$B$21*'LBMP_by_Year-Month-Hour'!W$134*'LBMP_by_Year-Month-Hour'!W156,$B$22*'LBMP_by_Year-Month-Hour'!W$166*'LBMP_by_Year-Month-Hour'!W188,$B$23*'LBMP_by_Year-Month-Hour'!W$198*'LBMP_by_Year-Month-Hour'!W220,$B$24*'LBMP_by_Year-Month-Hour'!W$230*'LBMP_by_Year-Month-Hour'!W252,$B$25*'LBMP_by_Year-Month-Hour'!W$262*'LBMP_by_Year-Month-Hour'!W284,$B$26*'LBMP_by_Year-Month-Hour'!W$294*'LBMP_by_Year-Month-Hour'!W316,$B$27*'LBMP_by_Year-Month-Hour'!W$326*'LBMP_by_Year-Month-Hour'!W348,$B$28*'LBMP_by_Year-Month-Hour'!W$358*'LBMP_by_Year-Month-Hour'!W380,$B$29*'LBMP_by_Year-Month-Hour'!W$390*'LBMP_by_Year-Month-Hour'!W412,$B$30*'LBMP_by_Year-Month-Hour'!W$422*'LBMP_by_Year-Month-Hour'!W444,$B$31*'LBMP_by_Year-Month-Hour'!W$454*'LBMP_by_Year-Month-Hour'!W476,$B$32*'LBMP_by_Year-Month-Hour'!W$486*'LBMP_by_Year-Month-Hour'!W508,$B$33*'LBMP_by_Year-Month-Hour'!W$518*'LBMP_by_Year-Month-Hour'!W540,$B$34*'LBMP_by_Year-Month-Hour'!W$550*'LBMP_by_Year-Month-Hour'!W572,$B$35*'LBMP_by_Year-Month-Hour'!W$582*'LBMP_by_Year-Month-Hour'!W604)*W37/$C$6/24</f>
        <v>33029.455219593547</v>
      </c>
      <c r="Y99">
        <v>18</v>
      </c>
      <c r="Z99">
        <f>NPV($C$7,$B$19*'LBMP_by_Year-Month-Hour'!Z$70*'LBMP_by_Year-Month-Hour'!Z92,$B$20*'LBMP_by_Year-Month-Hour'!Z$102*'LBMP_by_Year-Month-Hour'!Z124,$B$21*'LBMP_by_Year-Month-Hour'!Z$134*'LBMP_by_Year-Month-Hour'!Z156,$B$22*'LBMP_by_Year-Month-Hour'!Z$166*'LBMP_by_Year-Month-Hour'!Z188,$B$23*'LBMP_by_Year-Month-Hour'!Z$198*'LBMP_by_Year-Month-Hour'!Z220,$B$24*'LBMP_by_Year-Month-Hour'!Z$230*'LBMP_by_Year-Month-Hour'!Z252,$B$25*'LBMP_by_Year-Month-Hour'!Z$262*'LBMP_by_Year-Month-Hour'!Z284,$B$26*'LBMP_by_Year-Month-Hour'!Z$294*'LBMP_by_Year-Month-Hour'!Z316,$B$27*'LBMP_by_Year-Month-Hour'!Z$326*'LBMP_by_Year-Month-Hour'!Z348,$B$28*'LBMP_by_Year-Month-Hour'!Z$358*'LBMP_by_Year-Month-Hour'!Z380,$B$29*'LBMP_by_Year-Month-Hour'!Z$390*'LBMP_by_Year-Month-Hour'!Z412,$B$30*'LBMP_by_Year-Month-Hour'!Z$422*'LBMP_by_Year-Month-Hour'!Z444,$B$31*'LBMP_by_Year-Month-Hour'!Z$454*'LBMP_by_Year-Month-Hour'!Z476,$B$32*'LBMP_by_Year-Month-Hour'!Z$486*'LBMP_by_Year-Month-Hour'!Z508,$B$33*'LBMP_by_Year-Month-Hour'!Z$518*'LBMP_by_Year-Month-Hour'!Z540,$B$34*'LBMP_by_Year-Month-Hour'!Z$550*'LBMP_by_Year-Month-Hour'!Z572,$B$35*'LBMP_by_Year-Month-Hour'!Z$582*'LBMP_by_Year-Month-Hour'!Z604)*Z37/$C$6/24</f>
        <v>32468.203263462696</v>
      </c>
      <c r="AB99">
        <v>18</v>
      </c>
      <c r="AC99">
        <f>NPV($C$7,$B$19*'LBMP_by_Year-Month-Hour'!AC$70*'LBMP_by_Year-Month-Hour'!AC92,$B$20*'LBMP_by_Year-Month-Hour'!AC$102*'LBMP_by_Year-Month-Hour'!AC124,$B$21*'LBMP_by_Year-Month-Hour'!AC$134*'LBMP_by_Year-Month-Hour'!AC156,$B$22*'LBMP_by_Year-Month-Hour'!AC$166*'LBMP_by_Year-Month-Hour'!AC188,$B$23*'LBMP_by_Year-Month-Hour'!AC$198*'LBMP_by_Year-Month-Hour'!AC220,$B$24*'LBMP_by_Year-Month-Hour'!AC$230*'LBMP_by_Year-Month-Hour'!AC252,$B$25*'LBMP_by_Year-Month-Hour'!AC$262*'LBMP_by_Year-Month-Hour'!AC284,$B$26*'LBMP_by_Year-Month-Hour'!AC$294*'LBMP_by_Year-Month-Hour'!AC316,$B$27*'LBMP_by_Year-Month-Hour'!AC$326*'LBMP_by_Year-Month-Hour'!AC348,$B$28*'LBMP_by_Year-Month-Hour'!AC$358*'LBMP_by_Year-Month-Hour'!AC380,$B$29*'LBMP_by_Year-Month-Hour'!AC$390*'LBMP_by_Year-Month-Hour'!AC412,$B$30*'LBMP_by_Year-Month-Hour'!AC$422*'LBMP_by_Year-Month-Hour'!AC444,$B$31*'LBMP_by_Year-Month-Hour'!AC$454*'LBMP_by_Year-Month-Hour'!AC476,$B$32*'LBMP_by_Year-Month-Hour'!AC$486*'LBMP_by_Year-Month-Hour'!AC508,$B$33*'LBMP_by_Year-Month-Hour'!AC$518*'LBMP_by_Year-Month-Hour'!AC540,$B$34*'LBMP_by_Year-Month-Hour'!AC$550*'LBMP_by_Year-Month-Hour'!AC572,$B$35*'LBMP_by_Year-Month-Hour'!AC$582*'LBMP_by_Year-Month-Hour'!AC604)*AC37/$C$6/24</f>
        <v>27421.76404654808</v>
      </c>
      <c r="AE99">
        <v>18</v>
      </c>
      <c r="AF99">
        <f>NPV($C$7,$B$19*'LBMP_by_Year-Month-Hour'!AF$70*'LBMP_by_Year-Month-Hour'!AF92,$B$20*'LBMP_by_Year-Month-Hour'!AF$102*'LBMP_by_Year-Month-Hour'!AF124,$B$21*'LBMP_by_Year-Month-Hour'!AF$134*'LBMP_by_Year-Month-Hour'!AF156,$B$22*'LBMP_by_Year-Month-Hour'!AF$166*'LBMP_by_Year-Month-Hour'!AF188,$B$23*'LBMP_by_Year-Month-Hour'!AF$198*'LBMP_by_Year-Month-Hour'!AF220,$B$24*'LBMP_by_Year-Month-Hour'!AF$230*'LBMP_by_Year-Month-Hour'!AF252,$B$25*'LBMP_by_Year-Month-Hour'!AF$262*'LBMP_by_Year-Month-Hour'!AF284,$B$26*'LBMP_by_Year-Month-Hour'!AF$294*'LBMP_by_Year-Month-Hour'!AF316,$B$27*'LBMP_by_Year-Month-Hour'!AF$326*'LBMP_by_Year-Month-Hour'!AF348,$B$28*'LBMP_by_Year-Month-Hour'!AF$358*'LBMP_by_Year-Month-Hour'!AF380,$B$29*'LBMP_by_Year-Month-Hour'!AF$390*'LBMP_by_Year-Month-Hour'!AF412,$B$30*'LBMP_by_Year-Month-Hour'!AF$422*'LBMP_by_Year-Month-Hour'!AF444,$B$31*'LBMP_by_Year-Month-Hour'!AF$454*'LBMP_by_Year-Month-Hour'!AF476,$B$32*'LBMP_by_Year-Month-Hour'!AF$486*'LBMP_by_Year-Month-Hour'!AF508,$B$33*'LBMP_by_Year-Month-Hour'!AF$518*'LBMP_by_Year-Month-Hour'!AF540,$B$34*'LBMP_by_Year-Month-Hour'!AF$550*'LBMP_by_Year-Month-Hour'!AF572,$B$35*'LBMP_by_Year-Month-Hour'!AF$582*'LBMP_by_Year-Month-Hour'!AF604)*AF37/$C$6/24</f>
        <v>0</v>
      </c>
      <c r="AH99">
        <v>18</v>
      </c>
      <c r="AI99">
        <f>NPV($C$7,$B$19*'LBMP_by_Year-Month-Hour'!AI$70*'LBMP_by_Year-Month-Hour'!AI92,$B$20*'LBMP_by_Year-Month-Hour'!AI$102*'LBMP_by_Year-Month-Hour'!AI124,$B$21*'LBMP_by_Year-Month-Hour'!AI$134*'LBMP_by_Year-Month-Hour'!AI156,$B$22*'LBMP_by_Year-Month-Hour'!AI$166*'LBMP_by_Year-Month-Hour'!AI188,$B$23*'LBMP_by_Year-Month-Hour'!AI$198*'LBMP_by_Year-Month-Hour'!AI220,$B$24*'LBMP_by_Year-Month-Hour'!AI$230*'LBMP_by_Year-Month-Hour'!AI252,$B$25*'LBMP_by_Year-Month-Hour'!AI$262*'LBMP_by_Year-Month-Hour'!AI284,$B$26*'LBMP_by_Year-Month-Hour'!AI$294*'LBMP_by_Year-Month-Hour'!AI316,$B$27*'LBMP_by_Year-Month-Hour'!AI$326*'LBMP_by_Year-Month-Hour'!AI348,$B$28*'LBMP_by_Year-Month-Hour'!AI$358*'LBMP_by_Year-Month-Hour'!AI380,$B$29*'LBMP_by_Year-Month-Hour'!AI$390*'LBMP_by_Year-Month-Hour'!AI412,$B$30*'LBMP_by_Year-Month-Hour'!AI$422*'LBMP_by_Year-Month-Hour'!AI444,$B$31*'LBMP_by_Year-Month-Hour'!AI$454*'LBMP_by_Year-Month-Hour'!AI476,$B$32*'LBMP_by_Year-Month-Hour'!AI$486*'LBMP_by_Year-Month-Hour'!AI508,$B$33*'LBMP_by_Year-Month-Hour'!AI$518*'LBMP_by_Year-Month-Hour'!AI540,$B$34*'LBMP_by_Year-Month-Hour'!AI$550*'LBMP_by_Year-Month-Hour'!AI572,$B$35*'LBMP_by_Year-Month-Hour'!AI$582*'LBMP_by_Year-Month-Hour'!AI604)*AI37/$C$6/24</f>
        <v>0</v>
      </c>
      <c r="AK99">
        <v>18</v>
      </c>
      <c r="AL99">
        <f>NPV($C$7,$B$19*'LBMP_by_Year-Month-Hour'!AL$70*'LBMP_by_Year-Month-Hour'!AL92,$B$20*'LBMP_by_Year-Month-Hour'!AL$102*'LBMP_by_Year-Month-Hour'!AL124,$B$21*'LBMP_by_Year-Month-Hour'!AL$134*'LBMP_by_Year-Month-Hour'!AL156,$B$22*'LBMP_by_Year-Month-Hour'!AL$166*'LBMP_by_Year-Month-Hour'!AL188,$B$23*'LBMP_by_Year-Month-Hour'!AL$198*'LBMP_by_Year-Month-Hour'!AL220,$B$24*'LBMP_by_Year-Month-Hour'!AL$230*'LBMP_by_Year-Month-Hour'!AL252,$B$25*'LBMP_by_Year-Month-Hour'!AL$262*'LBMP_by_Year-Month-Hour'!AL284,$B$26*'LBMP_by_Year-Month-Hour'!AL$294*'LBMP_by_Year-Month-Hour'!AL316,$B$27*'LBMP_by_Year-Month-Hour'!AL$326*'LBMP_by_Year-Month-Hour'!AL348,$B$28*'LBMP_by_Year-Month-Hour'!AL$358*'LBMP_by_Year-Month-Hour'!AL380,$B$29*'LBMP_by_Year-Month-Hour'!AL$390*'LBMP_by_Year-Month-Hour'!AL412,$B$30*'LBMP_by_Year-Month-Hour'!AL$422*'LBMP_by_Year-Month-Hour'!AL444,$B$31*'LBMP_by_Year-Month-Hour'!AL$454*'LBMP_by_Year-Month-Hour'!AL476,$B$32*'LBMP_by_Year-Month-Hour'!AL$486*'LBMP_by_Year-Month-Hour'!AL508,$B$33*'LBMP_by_Year-Month-Hour'!AL$518*'LBMP_by_Year-Month-Hour'!AL540,$B$34*'LBMP_by_Year-Month-Hour'!AL$550*'LBMP_by_Year-Month-Hour'!AL572,$B$35*'LBMP_by_Year-Month-Hour'!AL$582*'LBMP_by_Year-Month-Hour'!AL604)*AL37/$C$6/24</f>
        <v>0</v>
      </c>
    </row>
    <row r="100" spans="1:38">
      <c r="A100">
        <v>19</v>
      </c>
      <c r="B100">
        <f t="shared" si="10"/>
        <v>95060.690192058712</v>
      </c>
      <c r="D100">
        <v>19</v>
      </c>
      <c r="E100">
        <f>NPV($C$7,$B$19*'LBMP_by_Year-Month-Hour'!E$70*'LBMP_by_Year-Month-Hour'!E93,$B$20*'LBMP_by_Year-Month-Hour'!E$102*'LBMP_by_Year-Month-Hour'!E125,$B$21*'LBMP_by_Year-Month-Hour'!E$134*'LBMP_by_Year-Month-Hour'!E157,$B$22*'LBMP_by_Year-Month-Hour'!E$166*'LBMP_by_Year-Month-Hour'!E189,$B$23*'LBMP_by_Year-Month-Hour'!E$198*'LBMP_by_Year-Month-Hour'!E221,$B$24*'LBMP_by_Year-Month-Hour'!E$230*'LBMP_by_Year-Month-Hour'!E253,$B$25*'LBMP_by_Year-Month-Hour'!E$262*'LBMP_by_Year-Month-Hour'!E285,$B$26*'LBMP_by_Year-Month-Hour'!E$294*'LBMP_by_Year-Month-Hour'!E317,$B$27*'LBMP_by_Year-Month-Hour'!E$326*'LBMP_by_Year-Month-Hour'!E349,$B$28*'LBMP_by_Year-Month-Hour'!E$358*'LBMP_by_Year-Month-Hour'!E381,$B$29*'LBMP_by_Year-Month-Hour'!E$390*'LBMP_by_Year-Month-Hour'!E413,$B$30*'LBMP_by_Year-Month-Hour'!E$422*'LBMP_by_Year-Month-Hour'!E445,$B$31*'LBMP_by_Year-Month-Hour'!E$454*'LBMP_by_Year-Month-Hour'!E477,$B$32*'LBMP_by_Year-Month-Hour'!E$486*'LBMP_by_Year-Month-Hour'!E509,$B$33*'LBMP_by_Year-Month-Hour'!E$518*'LBMP_by_Year-Month-Hour'!E541,$B$34*'LBMP_by_Year-Month-Hour'!E$550*'LBMP_by_Year-Month-Hour'!E573,$B$35*'LBMP_by_Year-Month-Hour'!E$582*'LBMP_by_Year-Month-Hour'!E605)*E38/$C$6/24</f>
        <v>0</v>
      </c>
      <c r="G100">
        <v>19</v>
      </c>
      <c r="H100">
        <f>NPV($C$7,$B$19*'LBMP_by_Year-Month-Hour'!H$70*'LBMP_by_Year-Month-Hour'!H93,$B$20*'LBMP_by_Year-Month-Hour'!H$102*'LBMP_by_Year-Month-Hour'!H125,$B$21*'LBMP_by_Year-Month-Hour'!H$134*'LBMP_by_Year-Month-Hour'!H157,$B$22*'LBMP_by_Year-Month-Hour'!H$166*'LBMP_by_Year-Month-Hour'!H189,$B$23*'LBMP_by_Year-Month-Hour'!H$198*'LBMP_by_Year-Month-Hour'!H221,$B$24*'LBMP_by_Year-Month-Hour'!H$230*'LBMP_by_Year-Month-Hour'!H253,$B$25*'LBMP_by_Year-Month-Hour'!H$262*'LBMP_by_Year-Month-Hour'!H285,$B$26*'LBMP_by_Year-Month-Hour'!H$294*'LBMP_by_Year-Month-Hour'!H317,$B$27*'LBMP_by_Year-Month-Hour'!H$326*'LBMP_by_Year-Month-Hour'!H349,$B$28*'LBMP_by_Year-Month-Hour'!H$358*'LBMP_by_Year-Month-Hour'!H381,$B$29*'LBMP_by_Year-Month-Hour'!H$390*'LBMP_by_Year-Month-Hour'!H413,$B$30*'LBMP_by_Year-Month-Hour'!H$422*'LBMP_by_Year-Month-Hour'!H445,$B$31*'LBMP_by_Year-Month-Hour'!H$454*'LBMP_by_Year-Month-Hour'!H477,$B$32*'LBMP_by_Year-Month-Hour'!H$486*'LBMP_by_Year-Month-Hour'!H509,$B$33*'LBMP_by_Year-Month-Hour'!H$518*'LBMP_by_Year-Month-Hour'!H541,$B$34*'LBMP_by_Year-Month-Hour'!H$550*'LBMP_by_Year-Month-Hour'!H573,$B$35*'LBMP_by_Year-Month-Hour'!H$582*'LBMP_by_Year-Month-Hour'!H605)*H38/$C$6/24</f>
        <v>0</v>
      </c>
      <c r="J100">
        <v>19</v>
      </c>
      <c r="K100">
        <f>NPV($C$7,$B$19*'LBMP_by_Year-Month-Hour'!K$70*'LBMP_by_Year-Month-Hour'!K93,$B$20*'LBMP_by_Year-Month-Hour'!K$102*'LBMP_by_Year-Month-Hour'!K125,$B$21*'LBMP_by_Year-Month-Hour'!K$134*'LBMP_by_Year-Month-Hour'!K157,$B$22*'LBMP_by_Year-Month-Hour'!K$166*'LBMP_by_Year-Month-Hour'!K189,$B$23*'LBMP_by_Year-Month-Hour'!K$198*'LBMP_by_Year-Month-Hour'!K221,$B$24*'LBMP_by_Year-Month-Hour'!K$230*'LBMP_by_Year-Month-Hour'!K253,$B$25*'LBMP_by_Year-Month-Hour'!K$262*'LBMP_by_Year-Month-Hour'!K285,$B$26*'LBMP_by_Year-Month-Hour'!K$294*'LBMP_by_Year-Month-Hour'!K317,$B$27*'LBMP_by_Year-Month-Hour'!K$326*'LBMP_by_Year-Month-Hour'!K349,$B$28*'LBMP_by_Year-Month-Hour'!K$358*'LBMP_by_Year-Month-Hour'!K381,$B$29*'LBMP_by_Year-Month-Hour'!K$390*'LBMP_by_Year-Month-Hour'!K413,$B$30*'LBMP_by_Year-Month-Hour'!K$422*'LBMP_by_Year-Month-Hour'!K445,$B$31*'LBMP_by_Year-Month-Hour'!K$454*'LBMP_by_Year-Month-Hour'!K477,$B$32*'LBMP_by_Year-Month-Hour'!K$486*'LBMP_by_Year-Month-Hour'!K509,$B$33*'LBMP_by_Year-Month-Hour'!K$518*'LBMP_by_Year-Month-Hour'!K541,$B$34*'LBMP_by_Year-Month-Hour'!K$550*'LBMP_by_Year-Month-Hour'!K573,$B$35*'LBMP_by_Year-Month-Hour'!K$582*'LBMP_by_Year-Month-Hour'!K605)*K38/$C$6/24</f>
        <v>0</v>
      </c>
      <c r="M100">
        <v>19</v>
      </c>
      <c r="N100">
        <f>NPV($C$7,$B$19*'LBMP_by_Year-Month-Hour'!N$70*'LBMP_by_Year-Month-Hour'!N93,$B$20*'LBMP_by_Year-Month-Hour'!N$102*'LBMP_by_Year-Month-Hour'!N125,$B$21*'LBMP_by_Year-Month-Hour'!N$134*'LBMP_by_Year-Month-Hour'!N157,$B$22*'LBMP_by_Year-Month-Hour'!N$166*'LBMP_by_Year-Month-Hour'!N189,$B$23*'LBMP_by_Year-Month-Hour'!N$198*'LBMP_by_Year-Month-Hour'!N221,$B$24*'LBMP_by_Year-Month-Hour'!N$230*'LBMP_by_Year-Month-Hour'!N253,$B$25*'LBMP_by_Year-Month-Hour'!N$262*'LBMP_by_Year-Month-Hour'!N285,$B$26*'LBMP_by_Year-Month-Hour'!N$294*'LBMP_by_Year-Month-Hour'!N317,$B$27*'LBMP_by_Year-Month-Hour'!N$326*'LBMP_by_Year-Month-Hour'!N349,$B$28*'LBMP_by_Year-Month-Hour'!N$358*'LBMP_by_Year-Month-Hour'!N381,$B$29*'LBMP_by_Year-Month-Hour'!N$390*'LBMP_by_Year-Month-Hour'!N413,$B$30*'LBMP_by_Year-Month-Hour'!N$422*'LBMP_by_Year-Month-Hour'!N445,$B$31*'LBMP_by_Year-Month-Hour'!N$454*'LBMP_by_Year-Month-Hour'!N477,$B$32*'LBMP_by_Year-Month-Hour'!N$486*'LBMP_by_Year-Month-Hour'!N509,$B$33*'LBMP_by_Year-Month-Hour'!N$518*'LBMP_by_Year-Month-Hour'!N541,$B$34*'LBMP_by_Year-Month-Hour'!N$550*'LBMP_by_Year-Month-Hour'!N573,$B$35*'LBMP_by_Year-Month-Hour'!N$582*'LBMP_by_Year-Month-Hour'!N605)*N38/$C$6/24</f>
        <v>0</v>
      </c>
      <c r="P100">
        <v>19</v>
      </c>
      <c r="Q100">
        <f>NPV($C$7,$B$19*'LBMP_by_Year-Month-Hour'!Q$70*'LBMP_by_Year-Month-Hour'!Q93,$B$20*'LBMP_by_Year-Month-Hour'!Q$102*'LBMP_by_Year-Month-Hour'!Q125,$B$21*'LBMP_by_Year-Month-Hour'!Q$134*'LBMP_by_Year-Month-Hour'!Q157,$B$22*'LBMP_by_Year-Month-Hour'!Q$166*'LBMP_by_Year-Month-Hour'!Q189,$B$23*'LBMP_by_Year-Month-Hour'!Q$198*'LBMP_by_Year-Month-Hour'!Q221,$B$24*'LBMP_by_Year-Month-Hour'!Q$230*'LBMP_by_Year-Month-Hour'!Q253,$B$25*'LBMP_by_Year-Month-Hour'!Q$262*'LBMP_by_Year-Month-Hour'!Q285,$B$26*'LBMP_by_Year-Month-Hour'!Q$294*'LBMP_by_Year-Month-Hour'!Q317,$B$27*'LBMP_by_Year-Month-Hour'!Q$326*'LBMP_by_Year-Month-Hour'!Q349,$B$28*'LBMP_by_Year-Month-Hour'!Q$358*'LBMP_by_Year-Month-Hour'!Q381,$B$29*'LBMP_by_Year-Month-Hour'!Q$390*'LBMP_by_Year-Month-Hour'!Q413,$B$30*'LBMP_by_Year-Month-Hour'!Q$422*'LBMP_by_Year-Month-Hour'!Q445,$B$31*'LBMP_by_Year-Month-Hour'!Q$454*'LBMP_by_Year-Month-Hour'!Q477,$B$32*'LBMP_by_Year-Month-Hour'!Q$486*'LBMP_by_Year-Month-Hour'!Q509,$B$33*'LBMP_by_Year-Month-Hour'!Q$518*'LBMP_by_Year-Month-Hour'!Q541,$B$34*'LBMP_by_Year-Month-Hour'!Q$550*'LBMP_by_Year-Month-Hour'!Q573,$B$35*'LBMP_by_Year-Month-Hour'!Q$582*'LBMP_by_Year-Month-Hour'!Q605)*Q38/$C$6/24</f>
        <v>0</v>
      </c>
      <c r="S100">
        <v>19</v>
      </c>
      <c r="T100">
        <f>NPV($C$7,$B$19*'LBMP_by_Year-Month-Hour'!T$70*'LBMP_by_Year-Month-Hour'!T93,$B$20*'LBMP_by_Year-Month-Hour'!T$102*'LBMP_by_Year-Month-Hour'!T125,$B$21*'LBMP_by_Year-Month-Hour'!T$134*'LBMP_by_Year-Month-Hour'!T157,$B$22*'LBMP_by_Year-Month-Hour'!T$166*'LBMP_by_Year-Month-Hour'!T189,$B$23*'LBMP_by_Year-Month-Hour'!T$198*'LBMP_by_Year-Month-Hour'!T221,$B$24*'LBMP_by_Year-Month-Hour'!T$230*'LBMP_by_Year-Month-Hour'!T253,$B$25*'LBMP_by_Year-Month-Hour'!T$262*'LBMP_by_Year-Month-Hour'!T285,$B$26*'LBMP_by_Year-Month-Hour'!T$294*'LBMP_by_Year-Month-Hour'!T317,$B$27*'LBMP_by_Year-Month-Hour'!T$326*'LBMP_by_Year-Month-Hour'!T349,$B$28*'LBMP_by_Year-Month-Hour'!T$358*'LBMP_by_Year-Month-Hour'!T381,$B$29*'LBMP_by_Year-Month-Hour'!T$390*'LBMP_by_Year-Month-Hour'!T413,$B$30*'LBMP_by_Year-Month-Hour'!T$422*'LBMP_by_Year-Month-Hour'!T445,$B$31*'LBMP_by_Year-Month-Hour'!T$454*'LBMP_by_Year-Month-Hour'!T477,$B$32*'LBMP_by_Year-Month-Hour'!T$486*'LBMP_by_Year-Month-Hour'!T509,$B$33*'LBMP_by_Year-Month-Hour'!T$518*'LBMP_by_Year-Month-Hour'!T541,$B$34*'LBMP_by_Year-Month-Hour'!T$550*'LBMP_by_Year-Month-Hour'!T573,$B$35*'LBMP_by_Year-Month-Hour'!T$582*'LBMP_by_Year-Month-Hour'!T605)*T38/$C$6/24</f>
        <v>20195.626858006413</v>
      </c>
      <c r="V100">
        <v>19</v>
      </c>
      <c r="W100">
        <f>NPV($C$7,$B$19*'LBMP_by_Year-Month-Hour'!W$70*'LBMP_by_Year-Month-Hour'!W93,$B$20*'LBMP_by_Year-Month-Hour'!W$102*'LBMP_by_Year-Month-Hour'!W125,$B$21*'LBMP_by_Year-Month-Hour'!W$134*'LBMP_by_Year-Month-Hour'!W157,$B$22*'LBMP_by_Year-Month-Hour'!W$166*'LBMP_by_Year-Month-Hour'!W189,$B$23*'LBMP_by_Year-Month-Hour'!W$198*'LBMP_by_Year-Month-Hour'!W221,$B$24*'LBMP_by_Year-Month-Hour'!W$230*'LBMP_by_Year-Month-Hour'!W253,$B$25*'LBMP_by_Year-Month-Hour'!W$262*'LBMP_by_Year-Month-Hour'!W285,$B$26*'LBMP_by_Year-Month-Hour'!W$294*'LBMP_by_Year-Month-Hour'!W317,$B$27*'LBMP_by_Year-Month-Hour'!W$326*'LBMP_by_Year-Month-Hour'!W349,$B$28*'LBMP_by_Year-Month-Hour'!W$358*'LBMP_by_Year-Month-Hour'!W381,$B$29*'LBMP_by_Year-Month-Hour'!W$390*'LBMP_by_Year-Month-Hour'!W413,$B$30*'LBMP_by_Year-Month-Hour'!W$422*'LBMP_by_Year-Month-Hour'!W445,$B$31*'LBMP_by_Year-Month-Hour'!W$454*'LBMP_by_Year-Month-Hour'!W477,$B$32*'LBMP_by_Year-Month-Hour'!W$486*'LBMP_by_Year-Month-Hour'!W509,$B$33*'LBMP_by_Year-Month-Hour'!W$518*'LBMP_by_Year-Month-Hour'!W541,$B$34*'LBMP_by_Year-Month-Hour'!W$550*'LBMP_by_Year-Month-Hour'!W573,$B$35*'LBMP_by_Year-Month-Hour'!W$582*'LBMP_by_Year-Month-Hour'!W605)*W38/$C$6/24</f>
        <v>26055.851385828555</v>
      </c>
      <c r="Y100">
        <v>19</v>
      </c>
      <c r="Z100">
        <f>NPV($C$7,$B$19*'LBMP_by_Year-Month-Hour'!Z$70*'LBMP_by_Year-Month-Hour'!Z93,$B$20*'LBMP_by_Year-Month-Hour'!Z$102*'LBMP_by_Year-Month-Hour'!Z125,$B$21*'LBMP_by_Year-Month-Hour'!Z$134*'LBMP_by_Year-Month-Hour'!Z157,$B$22*'LBMP_by_Year-Month-Hour'!Z$166*'LBMP_by_Year-Month-Hour'!Z189,$B$23*'LBMP_by_Year-Month-Hour'!Z$198*'LBMP_by_Year-Month-Hour'!Z221,$B$24*'LBMP_by_Year-Month-Hour'!Z$230*'LBMP_by_Year-Month-Hour'!Z253,$B$25*'LBMP_by_Year-Month-Hour'!Z$262*'LBMP_by_Year-Month-Hour'!Z285,$B$26*'LBMP_by_Year-Month-Hour'!Z$294*'LBMP_by_Year-Month-Hour'!Z317,$B$27*'LBMP_by_Year-Month-Hour'!Z$326*'LBMP_by_Year-Month-Hour'!Z349,$B$28*'LBMP_by_Year-Month-Hour'!Z$358*'LBMP_by_Year-Month-Hour'!Z381,$B$29*'LBMP_by_Year-Month-Hour'!Z$390*'LBMP_by_Year-Month-Hour'!Z413,$B$30*'LBMP_by_Year-Month-Hour'!Z$422*'LBMP_by_Year-Month-Hour'!Z445,$B$31*'LBMP_by_Year-Month-Hour'!Z$454*'LBMP_by_Year-Month-Hour'!Z477,$B$32*'LBMP_by_Year-Month-Hour'!Z$486*'LBMP_by_Year-Month-Hour'!Z509,$B$33*'LBMP_by_Year-Month-Hour'!Z$518*'LBMP_by_Year-Month-Hour'!Z541,$B$34*'LBMP_by_Year-Month-Hour'!Z$550*'LBMP_by_Year-Month-Hour'!Z573,$B$35*'LBMP_by_Year-Month-Hour'!Z$582*'LBMP_by_Year-Month-Hour'!Z605)*Z38/$C$6/24</f>
        <v>25737.052686275347</v>
      </c>
      <c r="AB100">
        <v>19</v>
      </c>
      <c r="AC100">
        <f>NPV($C$7,$B$19*'LBMP_by_Year-Month-Hour'!AC$70*'LBMP_by_Year-Month-Hour'!AC93,$B$20*'LBMP_by_Year-Month-Hour'!AC$102*'LBMP_by_Year-Month-Hour'!AC125,$B$21*'LBMP_by_Year-Month-Hour'!AC$134*'LBMP_by_Year-Month-Hour'!AC157,$B$22*'LBMP_by_Year-Month-Hour'!AC$166*'LBMP_by_Year-Month-Hour'!AC189,$B$23*'LBMP_by_Year-Month-Hour'!AC$198*'LBMP_by_Year-Month-Hour'!AC221,$B$24*'LBMP_by_Year-Month-Hour'!AC$230*'LBMP_by_Year-Month-Hour'!AC253,$B$25*'LBMP_by_Year-Month-Hour'!AC$262*'LBMP_by_Year-Month-Hour'!AC285,$B$26*'LBMP_by_Year-Month-Hour'!AC$294*'LBMP_by_Year-Month-Hour'!AC317,$B$27*'LBMP_by_Year-Month-Hour'!AC$326*'LBMP_by_Year-Month-Hour'!AC349,$B$28*'LBMP_by_Year-Month-Hour'!AC$358*'LBMP_by_Year-Month-Hour'!AC381,$B$29*'LBMP_by_Year-Month-Hour'!AC$390*'LBMP_by_Year-Month-Hour'!AC413,$B$30*'LBMP_by_Year-Month-Hour'!AC$422*'LBMP_by_Year-Month-Hour'!AC445,$B$31*'LBMP_by_Year-Month-Hour'!AC$454*'LBMP_by_Year-Month-Hour'!AC477,$B$32*'LBMP_by_Year-Month-Hour'!AC$486*'LBMP_by_Year-Month-Hour'!AC509,$B$33*'LBMP_by_Year-Month-Hour'!AC$518*'LBMP_by_Year-Month-Hour'!AC541,$B$34*'LBMP_by_Year-Month-Hour'!AC$550*'LBMP_by_Year-Month-Hour'!AC573,$B$35*'LBMP_by_Year-Month-Hour'!AC$582*'LBMP_by_Year-Month-Hour'!AC605)*AC38/$C$6/24</f>
        <v>23072.159261948396</v>
      </c>
      <c r="AE100">
        <v>19</v>
      </c>
      <c r="AF100">
        <f>NPV($C$7,$B$19*'LBMP_by_Year-Month-Hour'!AF$70*'LBMP_by_Year-Month-Hour'!AF93,$B$20*'LBMP_by_Year-Month-Hour'!AF$102*'LBMP_by_Year-Month-Hour'!AF125,$B$21*'LBMP_by_Year-Month-Hour'!AF$134*'LBMP_by_Year-Month-Hour'!AF157,$B$22*'LBMP_by_Year-Month-Hour'!AF$166*'LBMP_by_Year-Month-Hour'!AF189,$B$23*'LBMP_by_Year-Month-Hour'!AF$198*'LBMP_by_Year-Month-Hour'!AF221,$B$24*'LBMP_by_Year-Month-Hour'!AF$230*'LBMP_by_Year-Month-Hour'!AF253,$B$25*'LBMP_by_Year-Month-Hour'!AF$262*'LBMP_by_Year-Month-Hour'!AF285,$B$26*'LBMP_by_Year-Month-Hour'!AF$294*'LBMP_by_Year-Month-Hour'!AF317,$B$27*'LBMP_by_Year-Month-Hour'!AF$326*'LBMP_by_Year-Month-Hour'!AF349,$B$28*'LBMP_by_Year-Month-Hour'!AF$358*'LBMP_by_Year-Month-Hour'!AF381,$B$29*'LBMP_by_Year-Month-Hour'!AF$390*'LBMP_by_Year-Month-Hour'!AF413,$B$30*'LBMP_by_Year-Month-Hour'!AF$422*'LBMP_by_Year-Month-Hour'!AF445,$B$31*'LBMP_by_Year-Month-Hour'!AF$454*'LBMP_by_Year-Month-Hour'!AF477,$B$32*'LBMP_by_Year-Month-Hour'!AF$486*'LBMP_by_Year-Month-Hour'!AF509,$B$33*'LBMP_by_Year-Month-Hour'!AF$518*'LBMP_by_Year-Month-Hour'!AF541,$B$34*'LBMP_by_Year-Month-Hour'!AF$550*'LBMP_by_Year-Month-Hour'!AF573,$B$35*'LBMP_by_Year-Month-Hour'!AF$582*'LBMP_by_Year-Month-Hour'!AF605)*AF38/$C$6/24</f>
        <v>0</v>
      </c>
      <c r="AH100">
        <v>19</v>
      </c>
      <c r="AI100">
        <f>NPV($C$7,$B$19*'LBMP_by_Year-Month-Hour'!AI$70*'LBMP_by_Year-Month-Hour'!AI93,$B$20*'LBMP_by_Year-Month-Hour'!AI$102*'LBMP_by_Year-Month-Hour'!AI125,$B$21*'LBMP_by_Year-Month-Hour'!AI$134*'LBMP_by_Year-Month-Hour'!AI157,$B$22*'LBMP_by_Year-Month-Hour'!AI$166*'LBMP_by_Year-Month-Hour'!AI189,$B$23*'LBMP_by_Year-Month-Hour'!AI$198*'LBMP_by_Year-Month-Hour'!AI221,$B$24*'LBMP_by_Year-Month-Hour'!AI$230*'LBMP_by_Year-Month-Hour'!AI253,$B$25*'LBMP_by_Year-Month-Hour'!AI$262*'LBMP_by_Year-Month-Hour'!AI285,$B$26*'LBMP_by_Year-Month-Hour'!AI$294*'LBMP_by_Year-Month-Hour'!AI317,$B$27*'LBMP_by_Year-Month-Hour'!AI$326*'LBMP_by_Year-Month-Hour'!AI349,$B$28*'LBMP_by_Year-Month-Hour'!AI$358*'LBMP_by_Year-Month-Hour'!AI381,$B$29*'LBMP_by_Year-Month-Hour'!AI$390*'LBMP_by_Year-Month-Hour'!AI413,$B$30*'LBMP_by_Year-Month-Hour'!AI$422*'LBMP_by_Year-Month-Hour'!AI445,$B$31*'LBMP_by_Year-Month-Hour'!AI$454*'LBMP_by_Year-Month-Hour'!AI477,$B$32*'LBMP_by_Year-Month-Hour'!AI$486*'LBMP_by_Year-Month-Hour'!AI509,$B$33*'LBMP_by_Year-Month-Hour'!AI$518*'LBMP_by_Year-Month-Hour'!AI541,$B$34*'LBMP_by_Year-Month-Hour'!AI$550*'LBMP_by_Year-Month-Hour'!AI573,$B$35*'LBMP_by_Year-Month-Hour'!AI$582*'LBMP_by_Year-Month-Hour'!AI605)*AI38/$C$6/24</f>
        <v>0</v>
      </c>
      <c r="AK100">
        <v>19</v>
      </c>
      <c r="AL100">
        <f>NPV($C$7,$B$19*'LBMP_by_Year-Month-Hour'!AL$70*'LBMP_by_Year-Month-Hour'!AL93,$B$20*'LBMP_by_Year-Month-Hour'!AL$102*'LBMP_by_Year-Month-Hour'!AL125,$B$21*'LBMP_by_Year-Month-Hour'!AL$134*'LBMP_by_Year-Month-Hour'!AL157,$B$22*'LBMP_by_Year-Month-Hour'!AL$166*'LBMP_by_Year-Month-Hour'!AL189,$B$23*'LBMP_by_Year-Month-Hour'!AL$198*'LBMP_by_Year-Month-Hour'!AL221,$B$24*'LBMP_by_Year-Month-Hour'!AL$230*'LBMP_by_Year-Month-Hour'!AL253,$B$25*'LBMP_by_Year-Month-Hour'!AL$262*'LBMP_by_Year-Month-Hour'!AL285,$B$26*'LBMP_by_Year-Month-Hour'!AL$294*'LBMP_by_Year-Month-Hour'!AL317,$B$27*'LBMP_by_Year-Month-Hour'!AL$326*'LBMP_by_Year-Month-Hour'!AL349,$B$28*'LBMP_by_Year-Month-Hour'!AL$358*'LBMP_by_Year-Month-Hour'!AL381,$B$29*'LBMP_by_Year-Month-Hour'!AL$390*'LBMP_by_Year-Month-Hour'!AL413,$B$30*'LBMP_by_Year-Month-Hour'!AL$422*'LBMP_by_Year-Month-Hour'!AL445,$B$31*'LBMP_by_Year-Month-Hour'!AL$454*'LBMP_by_Year-Month-Hour'!AL477,$B$32*'LBMP_by_Year-Month-Hour'!AL$486*'LBMP_by_Year-Month-Hour'!AL509,$B$33*'LBMP_by_Year-Month-Hour'!AL$518*'LBMP_by_Year-Month-Hour'!AL541,$B$34*'LBMP_by_Year-Month-Hour'!AL$550*'LBMP_by_Year-Month-Hour'!AL573,$B$35*'LBMP_by_Year-Month-Hour'!AL$582*'LBMP_by_Year-Month-Hour'!AL605)*AL38/$C$6/24</f>
        <v>0</v>
      </c>
    </row>
    <row r="101" spans="1:38">
      <c r="A101">
        <v>20</v>
      </c>
      <c r="B101">
        <f t="shared" si="10"/>
        <v>63748.957996456993</v>
      </c>
      <c r="D101">
        <v>20</v>
      </c>
      <c r="E101">
        <f>NPV($C$7,$B$19*'LBMP_by_Year-Month-Hour'!E$70*'LBMP_by_Year-Month-Hour'!E94,$B$20*'LBMP_by_Year-Month-Hour'!E$102*'LBMP_by_Year-Month-Hour'!E126,$B$21*'LBMP_by_Year-Month-Hour'!E$134*'LBMP_by_Year-Month-Hour'!E158,$B$22*'LBMP_by_Year-Month-Hour'!E$166*'LBMP_by_Year-Month-Hour'!E190,$B$23*'LBMP_by_Year-Month-Hour'!E$198*'LBMP_by_Year-Month-Hour'!E222,$B$24*'LBMP_by_Year-Month-Hour'!E$230*'LBMP_by_Year-Month-Hour'!E254,$B$25*'LBMP_by_Year-Month-Hour'!E$262*'LBMP_by_Year-Month-Hour'!E286,$B$26*'LBMP_by_Year-Month-Hour'!E$294*'LBMP_by_Year-Month-Hour'!E318,$B$27*'LBMP_by_Year-Month-Hour'!E$326*'LBMP_by_Year-Month-Hour'!E350,$B$28*'LBMP_by_Year-Month-Hour'!E$358*'LBMP_by_Year-Month-Hour'!E382,$B$29*'LBMP_by_Year-Month-Hour'!E$390*'LBMP_by_Year-Month-Hour'!E414,$B$30*'LBMP_by_Year-Month-Hour'!E$422*'LBMP_by_Year-Month-Hour'!E446,$B$31*'LBMP_by_Year-Month-Hour'!E$454*'LBMP_by_Year-Month-Hour'!E478,$B$32*'LBMP_by_Year-Month-Hour'!E$486*'LBMP_by_Year-Month-Hour'!E510,$B$33*'LBMP_by_Year-Month-Hour'!E$518*'LBMP_by_Year-Month-Hour'!E542,$B$34*'LBMP_by_Year-Month-Hour'!E$550*'LBMP_by_Year-Month-Hour'!E574,$B$35*'LBMP_by_Year-Month-Hour'!E$582*'LBMP_by_Year-Month-Hour'!E606)*E39/$C$6/24</f>
        <v>0</v>
      </c>
      <c r="G101">
        <v>20</v>
      </c>
      <c r="H101">
        <f>NPV($C$7,$B$19*'LBMP_by_Year-Month-Hour'!H$70*'LBMP_by_Year-Month-Hour'!H94,$B$20*'LBMP_by_Year-Month-Hour'!H$102*'LBMP_by_Year-Month-Hour'!H126,$B$21*'LBMP_by_Year-Month-Hour'!H$134*'LBMP_by_Year-Month-Hour'!H158,$B$22*'LBMP_by_Year-Month-Hour'!H$166*'LBMP_by_Year-Month-Hour'!H190,$B$23*'LBMP_by_Year-Month-Hour'!H$198*'LBMP_by_Year-Month-Hour'!H222,$B$24*'LBMP_by_Year-Month-Hour'!H$230*'LBMP_by_Year-Month-Hour'!H254,$B$25*'LBMP_by_Year-Month-Hour'!H$262*'LBMP_by_Year-Month-Hour'!H286,$B$26*'LBMP_by_Year-Month-Hour'!H$294*'LBMP_by_Year-Month-Hour'!H318,$B$27*'LBMP_by_Year-Month-Hour'!H$326*'LBMP_by_Year-Month-Hour'!H350,$B$28*'LBMP_by_Year-Month-Hour'!H$358*'LBMP_by_Year-Month-Hour'!H382,$B$29*'LBMP_by_Year-Month-Hour'!H$390*'LBMP_by_Year-Month-Hour'!H414,$B$30*'LBMP_by_Year-Month-Hour'!H$422*'LBMP_by_Year-Month-Hour'!H446,$B$31*'LBMP_by_Year-Month-Hour'!H$454*'LBMP_by_Year-Month-Hour'!H478,$B$32*'LBMP_by_Year-Month-Hour'!H$486*'LBMP_by_Year-Month-Hour'!H510,$B$33*'LBMP_by_Year-Month-Hour'!H$518*'LBMP_by_Year-Month-Hour'!H542,$B$34*'LBMP_by_Year-Month-Hour'!H$550*'LBMP_by_Year-Month-Hour'!H574,$B$35*'LBMP_by_Year-Month-Hour'!H$582*'LBMP_by_Year-Month-Hour'!H606)*H39/$C$6/24</f>
        <v>0</v>
      </c>
      <c r="J101">
        <v>20</v>
      </c>
      <c r="K101">
        <f>NPV($C$7,$B$19*'LBMP_by_Year-Month-Hour'!K$70*'LBMP_by_Year-Month-Hour'!K94,$B$20*'LBMP_by_Year-Month-Hour'!K$102*'LBMP_by_Year-Month-Hour'!K126,$B$21*'LBMP_by_Year-Month-Hour'!K$134*'LBMP_by_Year-Month-Hour'!K158,$B$22*'LBMP_by_Year-Month-Hour'!K$166*'LBMP_by_Year-Month-Hour'!K190,$B$23*'LBMP_by_Year-Month-Hour'!K$198*'LBMP_by_Year-Month-Hour'!K222,$B$24*'LBMP_by_Year-Month-Hour'!K$230*'LBMP_by_Year-Month-Hour'!K254,$B$25*'LBMP_by_Year-Month-Hour'!K$262*'LBMP_by_Year-Month-Hour'!K286,$B$26*'LBMP_by_Year-Month-Hour'!K$294*'LBMP_by_Year-Month-Hour'!K318,$B$27*'LBMP_by_Year-Month-Hour'!K$326*'LBMP_by_Year-Month-Hour'!K350,$B$28*'LBMP_by_Year-Month-Hour'!K$358*'LBMP_by_Year-Month-Hour'!K382,$B$29*'LBMP_by_Year-Month-Hour'!K$390*'LBMP_by_Year-Month-Hour'!K414,$B$30*'LBMP_by_Year-Month-Hour'!K$422*'LBMP_by_Year-Month-Hour'!K446,$B$31*'LBMP_by_Year-Month-Hour'!K$454*'LBMP_by_Year-Month-Hour'!K478,$B$32*'LBMP_by_Year-Month-Hour'!K$486*'LBMP_by_Year-Month-Hour'!K510,$B$33*'LBMP_by_Year-Month-Hour'!K$518*'LBMP_by_Year-Month-Hour'!K542,$B$34*'LBMP_by_Year-Month-Hour'!K$550*'LBMP_by_Year-Month-Hour'!K574,$B$35*'LBMP_by_Year-Month-Hour'!K$582*'LBMP_by_Year-Month-Hour'!K606)*K39/$C$6/24</f>
        <v>0</v>
      </c>
      <c r="M101">
        <v>20</v>
      </c>
      <c r="N101">
        <f>NPV($C$7,$B$19*'LBMP_by_Year-Month-Hour'!N$70*'LBMP_by_Year-Month-Hour'!N94,$B$20*'LBMP_by_Year-Month-Hour'!N$102*'LBMP_by_Year-Month-Hour'!N126,$B$21*'LBMP_by_Year-Month-Hour'!N$134*'LBMP_by_Year-Month-Hour'!N158,$B$22*'LBMP_by_Year-Month-Hour'!N$166*'LBMP_by_Year-Month-Hour'!N190,$B$23*'LBMP_by_Year-Month-Hour'!N$198*'LBMP_by_Year-Month-Hour'!N222,$B$24*'LBMP_by_Year-Month-Hour'!N$230*'LBMP_by_Year-Month-Hour'!N254,$B$25*'LBMP_by_Year-Month-Hour'!N$262*'LBMP_by_Year-Month-Hour'!N286,$B$26*'LBMP_by_Year-Month-Hour'!N$294*'LBMP_by_Year-Month-Hour'!N318,$B$27*'LBMP_by_Year-Month-Hour'!N$326*'LBMP_by_Year-Month-Hour'!N350,$B$28*'LBMP_by_Year-Month-Hour'!N$358*'LBMP_by_Year-Month-Hour'!N382,$B$29*'LBMP_by_Year-Month-Hour'!N$390*'LBMP_by_Year-Month-Hour'!N414,$B$30*'LBMP_by_Year-Month-Hour'!N$422*'LBMP_by_Year-Month-Hour'!N446,$B$31*'LBMP_by_Year-Month-Hour'!N$454*'LBMP_by_Year-Month-Hour'!N478,$B$32*'LBMP_by_Year-Month-Hour'!N$486*'LBMP_by_Year-Month-Hour'!N510,$B$33*'LBMP_by_Year-Month-Hour'!N$518*'LBMP_by_Year-Month-Hour'!N542,$B$34*'LBMP_by_Year-Month-Hour'!N$550*'LBMP_by_Year-Month-Hour'!N574,$B$35*'LBMP_by_Year-Month-Hour'!N$582*'LBMP_by_Year-Month-Hour'!N606)*N39/$C$6/24</f>
        <v>0</v>
      </c>
      <c r="P101">
        <v>20</v>
      </c>
      <c r="Q101">
        <f>NPV($C$7,$B$19*'LBMP_by_Year-Month-Hour'!Q$70*'LBMP_by_Year-Month-Hour'!Q94,$B$20*'LBMP_by_Year-Month-Hour'!Q$102*'LBMP_by_Year-Month-Hour'!Q126,$B$21*'LBMP_by_Year-Month-Hour'!Q$134*'LBMP_by_Year-Month-Hour'!Q158,$B$22*'LBMP_by_Year-Month-Hour'!Q$166*'LBMP_by_Year-Month-Hour'!Q190,$B$23*'LBMP_by_Year-Month-Hour'!Q$198*'LBMP_by_Year-Month-Hour'!Q222,$B$24*'LBMP_by_Year-Month-Hour'!Q$230*'LBMP_by_Year-Month-Hour'!Q254,$B$25*'LBMP_by_Year-Month-Hour'!Q$262*'LBMP_by_Year-Month-Hour'!Q286,$B$26*'LBMP_by_Year-Month-Hour'!Q$294*'LBMP_by_Year-Month-Hour'!Q318,$B$27*'LBMP_by_Year-Month-Hour'!Q$326*'LBMP_by_Year-Month-Hour'!Q350,$B$28*'LBMP_by_Year-Month-Hour'!Q$358*'LBMP_by_Year-Month-Hour'!Q382,$B$29*'LBMP_by_Year-Month-Hour'!Q$390*'LBMP_by_Year-Month-Hour'!Q414,$B$30*'LBMP_by_Year-Month-Hour'!Q$422*'LBMP_by_Year-Month-Hour'!Q446,$B$31*'LBMP_by_Year-Month-Hour'!Q$454*'LBMP_by_Year-Month-Hour'!Q478,$B$32*'LBMP_by_Year-Month-Hour'!Q$486*'LBMP_by_Year-Month-Hour'!Q510,$B$33*'LBMP_by_Year-Month-Hour'!Q$518*'LBMP_by_Year-Month-Hour'!Q542,$B$34*'LBMP_by_Year-Month-Hour'!Q$550*'LBMP_by_Year-Month-Hour'!Q574,$B$35*'LBMP_by_Year-Month-Hour'!Q$582*'LBMP_by_Year-Month-Hour'!Q606)*Q39/$C$6/24</f>
        <v>0</v>
      </c>
      <c r="S101">
        <v>20</v>
      </c>
      <c r="T101">
        <f>NPV($C$7,$B$19*'LBMP_by_Year-Month-Hour'!T$70*'LBMP_by_Year-Month-Hour'!T94,$B$20*'LBMP_by_Year-Month-Hour'!T$102*'LBMP_by_Year-Month-Hour'!T126,$B$21*'LBMP_by_Year-Month-Hour'!T$134*'LBMP_by_Year-Month-Hour'!T158,$B$22*'LBMP_by_Year-Month-Hour'!T$166*'LBMP_by_Year-Month-Hour'!T190,$B$23*'LBMP_by_Year-Month-Hour'!T$198*'LBMP_by_Year-Month-Hour'!T222,$B$24*'LBMP_by_Year-Month-Hour'!T$230*'LBMP_by_Year-Month-Hour'!T254,$B$25*'LBMP_by_Year-Month-Hour'!T$262*'LBMP_by_Year-Month-Hour'!T286,$B$26*'LBMP_by_Year-Month-Hour'!T$294*'LBMP_by_Year-Month-Hour'!T318,$B$27*'LBMP_by_Year-Month-Hour'!T$326*'LBMP_by_Year-Month-Hour'!T350,$B$28*'LBMP_by_Year-Month-Hour'!T$358*'LBMP_by_Year-Month-Hour'!T382,$B$29*'LBMP_by_Year-Month-Hour'!T$390*'LBMP_by_Year-Month-Hour'!T414,$B$30*'LBMP_by_Year-Month-Hour'!T$422*'LBMP_by_Year-Month-Hour'!T446,$B$31*'LBMP_by_Year-Month-Hour'!T$454*'LBMP_by_Year-Month-Hour'!T478,$B$32*'LBMP_by_Year-Month-Hour'!T$486*'LBMP_by_Year-Month-Hour'!T510,$B$33*'LBMP_by_Year-Month-Hour'!T$518*'LBMP_by_Year-Month-Hour'!T542,$B$34*'LBMP_by_Year-Month-Hour'!T$550*'LBMP_by_Year-Month-Hour'!T574,$B$35*'LBMP_by_Year-Month-Hour'!T$582*'LBMP_by_Year-Month-Hour'!T606)*T39/$C$6/24</f>
        <v>13728.16393317298</v>
      </c>
      <c r="V101">
        <v>20</v>
      </c>
      <c r="W101">
        <f>NPV($C$7,$B$19*'LBMP_by_Year-Month-Hour'!W$70*'LBMP_by_Year-Month-Hour'!W94,$B$20*'LBMP_by_Year-Month-Hour'!W$102*'LBMP_by_Year-Month-Hour'!W126,$B$21*'LBMP_by_Year-Month-Hour'!W$134*'LBMP_by_Year-Month-Hour'!W158,$B$22*'LBMP_by_Year-Month-Hour'!W$166*'LBMP_by_Year-Month-Hour'!W190,$B$23*'LBMP_by_Year-Month-Hour'!W$198*'LBMP_by_Year-Month-Hour'!W222,$B$24*'LBMP_by_Year-Month-Hour'!W$230*'LBMP_by_Year-Month-Hour'!W254,$B$25*'LBMP_by_Year-Month-Hour'!W$262*'LBMP_by_Year-Month-Hour'!W286,$B$26*'LBMP_by_Year-Month-Hour'!W$294*'LBMP_by_Year-Month-Hour'!W318,$B$27*'LBMP_by_Year-Month-Hour'!W$326*'LBMP_by_Year-Month-Hour'!W350,$B$28*'LBMP_by_Year-Month-Hour'!W$358*'LBMP_by_Year-Month-Hour'!W382,$B$29*'LBMP_by_Year-Month-Hour'!W$390*'LBMP_by_Year-Month-Hour'!W414,$B$30*'LBMP_by_Year-Month-Hour'!W$422*'LBMP_by_Year-Month-Hour'!W446,$B$31*'LBMP_by_Year-Month-Hour'!W$454*'LBMP_by_Year-Month-Hour'!W478,$B$32*'LBMP_by_Year-Month-Hour'!W$486*'LBMP_by_Year-Month-Hour'!W510,$B$33*'LBMP_by_Year-Month-Hour'!W$518*'LBMP_by_Year-Month-Hour'!W542,$B$34*'LBMP_by_Year-Month-Hour'!W$550*'LBMP_by_Year-Month-Hour'!W574,$B$35*'LBMP_by_Year-Month-Hour'!W$582*'LBMP_by_Year-Month-Hour'!W606)*W39/$C$6/24</f>
        <v>17282.138451799903</v>
      </c>
      <c r="Y101">
        <v>20</v>
      </c>
      <c r="Z101">
        <f>NPV($C$7,$B$19*'LBMP_by_Year-Month-Hour'!Z$70*'LBMP_by_Year-Month-Hour'!Z94,$B$20*'LBMP_by_Year-Month-Hour'!Z$102*'LBMP_by_Year-Month-Hour'!Z126,$B$21*'LBMP_by_Year-Month-Hour'!Z$134*'LBMP_by_Year-Month-Hour'!Z158,$B$22*'LBMP_by_Year-Month-Hour'!Z$166*'LBMP_by_Year-Month-Hour'!Z190,$B$23*'LBMP_by_Year-Month-Hour'!Z$198*'LBMP_by_Year-Month-Hour'!Z222,$B$24*'LBMP_by_Year-Month-Hour'!Z$230*'LBMP_by_Year-Month-Hour'!Z254,$B$25*'LBMP_by_Year-Month-Hour'!Z$262*'LBMP_by_Year-Month-Hour'!Z286,$B$26*'LBMP_by_Year-Month-Hour'!Z$294*'LBMP_by_Year-Month-Hour'!Z318,$B$27*'LBMP_by_Year-Month-Hour'!Z$326*'LBMP_by_Year-Month-Hour'!Z350,$B$28*'LBMP_by_Year-Month-Hour'!Z$358*'LBMP_by_Year-Month-Hour'!Z382,$B$29*'LBMP_by_Year-Month-Hour'!Z$390*'LBMP_by_Year-Month-Hour'!Z414,$B$30*'LBMP_by_Year-Month-Hour'!Z$422*'LBMP_by_Year-Month-Hour'!Z446,$B$31*'LBMP_by_Year-Month-Hour'!Z$454*'LBMP_by_Year-Month-Hour'!Z478,$B$32*'LBMP_by_Year-Month-Hour'!Z$486*'LBMP_by_Year-Month-Hour'!Z510,$B$33*'LBMP_by_Year-Month-Hour'!Z$518*'LBMP_by_Year-Month-Hour'!Z542,$B$34*'LBMP_by_Year-Month-Hour'!Z$550*'LBMP_by_Year-Month-Hour'!Z574,$B$35*'LBMP_by_Year-Month-Hour'!Z$582*'LBMP_by_Year-Month-Hour'!Z606)*Z39/$C$6/24</f>
        <v>17396.806731002955</v>
      </c>
      <c r="AB101">
        <v>20</v>
      </c>
      <c r="AC101">
        <f>NPV($C$7,$B$19*'LBMP_by_Year-Month-Hour'!AC$70*'LBMP_by_Year-Month-Hour'!AC94,$B$20*'LBMP_by_Year-Month-Hour'!AC$102*'LBMP_by_Year-Month-Hour'!AC126,$B$21*'LBMP_by_Year-Month-Hour'!AC$134*'LBMP_by_Year-Month-Hour'!AC158,$B$22*'LBMP_by_Year-Month-Hour'!AC$166*'LBMP_by_Year-Month-Hour'!AC190,$B$23*'LBMP_by_Year-Month-Hour'!AC$198*'LBMP_by_Year-Month-Hour'!AC222,$B$24*'LBMP_by_Year-Month-Hour'!AC$230*'LBMP_by_Year-Month-Hour'!AC254,$B$25*'LBMP_by_Year-Month-Hour'!AC$262*'LBMP_by_Year-Month-Hour'!AC286,$B$26*'LBMP_by_Year-Month-Hour'!AC$294*'LBMP_by_Year-Month-Hour'!AC318,$B$27*'LBMP_by_Year-Month-Hour'!AC$326*'LBMP_by_Year-Month-Hour'!AC350,$B$28*'LBMP_by_Year-Month-Hour'!AC$358*'LBMP_by_Year-Month-Hour'!AC382,$B$29*'LBMP_by_Year-Month-Hour'!AC$390*'LBMP_by_Year-Month-Hour'!AC414,$B$30*'LBMP_by_Year-Month-Hour'!AC$422*'LBMP_by_Year-Month-Hour'!AC446,$B$31*'LBMP_by_Year-Month-Hour'!AC$454*'LBMP_by_Year-Month-Hour'!AC478,$B$32*'LBMP_by_Year-Month-Hour'!AC$486*'LBMP_by_Year-Month-Hour'!AC510,$B$33*'LBMP_by_Year-Month-Hour'!AC$518*'LBMP_by_Year-Month-Hour'!AC542,$B$34*'LBMP_by_Year-Month-Hour'!AC$550*'LBMP_by_Year-Month-Hour'!AC574,$B$35*'LBMP_by_Year-Month-Hour'!AC$582*'LBMP_by_Year-Month-Hour'!AC606)*AC39/$C$6/24</f>
        <v>15341.848880481155</v>
      </c>
      <c r="AE101">
        <v>20</v>
      </c>
      <c r="AF101">
        <f>NPV($C$7,$B$19*'LBMP_by_Year-Month-Hour'!AF$70*'LBMP_by_Year-Month-Hour'!AF94,$B$20*'LBMP_by_Year-Month-Hour'!AF$102*'LBMP_by_Year-Month-Hour'!AF126,$B$21*'LBMP_by_Year-Month-Hour'!AF$134*'LBMP_by_Year-Month-Hour'!AF158,$B$22*'LBMP_by_Year-Month-Hour'!AF$166*'LBMP_by_Year-Month-Hour'!AF190,$B$23*'LBMP_by_Year-Month-Hour'!AF$198*'LBMP_by_Year-Month-Hour'!AF222,$B$24*'LBMP_by_Year-Month-Hour'!AF$230*'LBMP_by_Year-Month-Hour'!AF254,$B$25*'LBMP_by_Year-Month-Hour'!AF$262*'LBMP_by_Year-Month-Hour'!AF286,$B$26*'LBMP_by_Year-Month-Hour'!AF$294*'LBMP_by_Year-Month-Hour'!AF318,$B$27*'LBMP_by_Year-Month-Hour'!AF$326*'LBMP_by_Year-Month-Hour'!AF350,$B$28*'LBMP_by_Year-Month-Hour'!AF$358*'LBMP_by_Year-Month-Hour'!AF382,$B$29*'LBMP_by_Year-Month-Hour'!AF$390*'LBMP_by_Year-Month-Hour'!AF414,$B$30*'LBMP_by_Year-Month-Hour'!AF$422*'LBMP_by_Year-Month-Hour'!AF446,$B$31*'LBMP_by_Year-Month-Hour'!AF$454*'LBMP_by_Year-Month-Hour'!AF478,$B$32*'LBMP_by_Year-Month-Hour'!AF$486*'LBMP_by_Year-Month-Hour'!AF510,$B$33*'LBMP_by_Year-Month-Hour'!AF$518*'LBMP_by_Year-Month-Hour'!AF542,$B$34*'LBMP_by_Year-Month-Hour'!AF$550*'LBMP_by_Year-Month-Hour'!AF574,$B$35*'LBMP_by_Year-Month-Hour'!AF$582*'LBMP_by_Year-Month-Hour'!AF606)*AF39/$C$6/24</f>
        <v>0</v>
      </c>
      <c r="AH101">
        <v>20</v>
      </c>
      <c r="AI101">
        <f>NPV($C$7,$B$19*'LBMP_by_Year-Month-Hour'!AI$70*'LBMP_by_Year-Month-Hour'!AI94,$B$20*'LBMP_by_Year-Month-Hour'!AI$102*'LBMP_by_Year-Month-Hour'!AI126,$B$21*'LBMP_by_Year-Month-Hour'!AI$134*'LBMP_by_Year-Month-Hour'!AI158,$B$22*'LBMP_by_Year-Month-Hour'!AI$166*'LBMP_by_Year-Month-Hour'!AI190,$B$23*'LBMP_by_Year-Month-Hour'!AI$198*'LBMP_by_Year-Month-Hour'!AI222,$B$24*'LBMP_by_Year-Month-Hour'!AI$230*'LBMP_by_Year-Month-Hour'!AI254,$B$25*'LBMP_by_Year-Month-Hour'!AI$262*'LBMP_by_Year-Month-Hour'!AI286,$B$26*'LBMP_by_Year-Month-Hour'!AI$294*'LBMP_by_Year-Month-Hour'!AI318,$B$27*'LBMP_by_Year-Month-Hour'!AI$326*'LBMP_by_Year-Month-Hour'!AI350,$B$28*'LBMP_by_Year-Month-Hour'!AI$358*'LBMP_by_Year-Month-Hour'!AI382,$B$29*'LBMP_by_Year-Month-Hour'!AI$390*'LBMP_by_Year-Month-Hour'!AI414,$B$30*'LBMP_by_Year-Month-Hour'!AI$422*'LBMP_by_Year-Month-Hour'!AI446,$B$31*'LBMP_by_Year-Month-Hour'!AI$454*'LBMP_by_Year-Month-Hour'!AI478,$B$32*'LBMP_by_Year-Month-Hour'!AI$486*'LBMP_by_Year-Month-Hour'!AI510,$B$33*'LBMP_by_Year-Month-Hour'!AI$518*'LBMP_by_Year-Month-Hour'!AI542,$B$34*'LBMP_by_Year-Month-Hour'!AI$550*'LBMP_by_Year-Month-Hour'!AI574,$B$35*'LBMP_by_Year-Month-Hour'!AI$582*'LBMP_by_Year-Month-Hour'!AI606)*AI39/$C$6/24</f>
        <v>0</v>
      </c>
      <c r="AK101">
        <v>20</v>
      </c>
      <c r="AL101">
        <f>NPV($C$7,$B$19*'LBMP_by_Year-Month-Hour'!AL$70*'LBMP_by_Year-Month-Hour'!AL94,$B$20*'LBMP_by_Year-Month-Hour'!AL$102*'LBMP_by_Year-Month-Hour'!AL126,$B$21*'LBMP_by_Year-Month-Hour'!AL$134*'LBMP_by_Year-Month-Hour'!AL158,$B$22*'LBMP_by_Year-Month-Hour'!AL$166*'LBMP_by_Year-Month-Hour'!AL190,$B$23*'LBMP_by_Year-Month-Hour'!AL$198*'LBMP_by_Year-Month-Hour'!AL222,$B$24*'LBMP_by_Year-Month-Hour'!AL$230*'LBMP_by_Year-Month-Hour'!AL254,$B$25*'LBMP_by_Year-Month-Hour'!AL$262*'LBMP_by_Year-Month-Hour'!AL286,$B$26*'LBMP_by_Year-Month-Hour'!AL$294*'LBMP_by_Year-Month-Hour'!AL318,$B$27*'LBMP_by_Year-Month-Hour'!AL$326*'LBMP_by_Year-Month-Hour'!AL350,$B$28*'LBMP_by_Year-Month-Hour'!AL$358*'LBMP_by_Year-Month-Hour'!AL382,$B$29*'LBMP_by_Year-Month-Hour'!AL$390*'LBMP_by_Year-Month-Hour'!AL414,$B$30*'LBMP_by_Year-Month-Hour'!AL$422*'LBMP_by_Year-Month-Hour'!AL446,$B$31*'LBMP_by_Year-Month-Hour'!AL$454*'LBMP_by_Year-Month-Hour'!AL478,$B$32*'LBMP_by_Year-Month-Hour'!AL$486*'LBMP_by_Year-Month-Hour'!AL510,$B$33*'LBMP_by_Year-Month-Hour'!AL$518*'LBMP_by_Year-Month-Hour'!AL542,$B$34*'LBMP_by_Year-Month-Hour'!AL$550*'LBMP_by_Year-Month-Hour'!AL574,$B$35*'LBMP_by_Year-Month-Hour'!AL$582*'LBMP_by_Year-Month-Hour'!AL606)*AL39/$C$6/24</f>
        <v>0</v>
      </c>
    </row>
    <row r="102" spans="1:38">
      <c r="A102">
        <v>21</v>
      </c>
      <c r="B102">
        <f t="shared" si="10"/>
        <v>22122.250808276029</v>
      </c>
      <c r="D102">
        <v>21</v>
      </c>
      <c r="E102">
        <f>NPV($C$7,$B$19*'LBMP_by_Year-Month-Hour'!E$70*'LBMP_by_Year-Month-Hour'!E95,$B$20*'LBMP_by_Year-Month-Hour'!E$102*'LBMP_by_Year-Month-Hour'!E127,$B$21*'LBMP_by_Year-Month-Hour'!E$134*'LBMP_by_Year-Month-Hour'!E159,$B$22*'LBMP_by_Year-Month-Hour'!E$166*'LBMP_by_Year-Month-Hour'!E191,$B$23*'LBMP_by_Year-Month-Hour'!E$198*'LBMP_by_Year-Month-Hour'!E223,$B$24*'LBMP_by_Year-Month-Hour'!E$230*'LBMP_by_Year-Month-Hour'!E255,$B$25*'LBMP_by_Year-Month-Hour'!E$262*'LBMP_by_Year-Month-Hour'!E287,$B$26*'LBMP_by_Year-Month-Hour'!E$294*'LBMP_by_Year-Month-Hour'!E319,$B$27*'LBMP_by_Year-Month-Hour'!E$326*'LBMP_by_Year-Month-Hour'!E351,$B$28*'LBMP_by_Year-Month-Hour'!E$358*'LBMP_by_Year-Month-Hour'!E383,$B$29*'LBMP_by_Year-Month-Hour'!E$390*'LBMP_by_Year-Month-Hour'!E415,$B$30*'LBMP_by_Year-Month-Hour'!E$422*'LBMP_by_Year-Month-Hour'!E447,$B$31*'LBMP_by_Year-Month-Hour'!E$454*'LBMP_by_Year-Month-Hour'!E479,$B$32*'LBMP_by_Year-Month-Hour'!E$486*'LBMP_by_Year-Month-Hour'!E511,$B$33*'LBMP_by_Year-Month-Hour'!E$518*'LBMP_by_Year-Month-Hour'!E543,$B$34*'LBMP_by_Year-Month-Hour'!E$550*'LBMP_by_Year-Month-Hour'!E575,$B$35*'LBMP_by_Year-Month-Hour'!E$582*'LBMP_by_Year-Month-Hour'!E607)*E40/$C$6/24</f>
        <v>0</v>
      </c>
      <c r="G102">
        <v>21</v>
      </c>
      <c r="H102">
        <f>NPV($C$7,$B$19*'LBMP_by_Year-Month-Hour'!H$70*'LBMP_by_Year-Month-Hour'!H95,$B$20*'LBMP_by_Year-Month-Hour'!H$102*'LBMP_by_Year-Month-Hour'!H127,$B$21*'LBMP_by_Year-Month-Hour'!H$134*'LBMP_by_Year-Month-Hour'!H159,$B$22*'LBMP_by_Year-Month-Hour'!H$166*'LBMP_by_Year-Month-Hour'!H191,$B$23*'LBMP_by_Year-Month-Hour'!H$198*'LBMP_by_Year-Month-Hour'!H223,$B$24*'LBMP_by_Year-Month-Hour'!H$230*'LBMP_by_Year-Month-Hour'!H255,$B$25*'LBMP_by_Year-Month-Hour'!H$262*'LBMP_by_Year-Month-Hour'!H287,$B$26*'LBMP_by_Year-Month-Hour'!H$294*'LBMP_by_Year-Month-Hour'!H319,$B$27*'LBMP_by_Year-Month-Hour'!H$326*'LBMP_by_Year-Month-Hour'!H351,$B$28*'LBMP_by_Year-Month-Hour'!H$358*'LBMP_by_Year-Month-Hour'!H383,$B$29*'LBMP_by_Year-Month-Hour'!H$390*'LBMP_by_Year-Month-Hour'!H415,$B$30*'LBMP_by_Year-Month-Hour'!H$422*'LBMP_by_Year-Month-Hour'!H447,$B$31*'LBMP_by_Year-Month-Hour'!H$454*'LBMP_by_Year-Month-Hour'!H479,$B$32*'LBMP_by_Year-Month-Hour'!H$486*'LBMP_by_Year-Month-Hour'!H511,$B$33*'LBMP_by_Year-Month-Hour'!H$518*'LBMP_by_Year-Month-Hour'!H543,$B$34*'LBMP_by_Year-Month-Hour'!H$550*'LBMP_by_Year-Month-Hour'!H575,$B$35*'LBMP_by_Year-Month-Hour'!H$582*'LBMP_by_Year-Month-Hour'!H607)*H40/$C$6/24</f>
        <v>0</v>
      </c>
      <c r="J102">
        <v>21</v>
      </c>
      <c r="K102">
        <f>NPV($C$7,$B$19*'LBMP_by_Year-Month-Hour'!K$70*'LBMP_by_Year-Month-Hour'!K95,$B$20*'LBMP_by_Year-Month-Hour'!K$102*'LBMP_by_Year-Month-Hour'!K127,$B$21*'LBMP_by_Year-Month-Hour'!K$134*'LBMP_by_Year-Month-Hour'!K159,$B$22*'LBMP_by_Year-Month-Hour'!K$166*'LBMP_by_Year-Month-Hour'!K191,$B$23*'LBMP_by_Year-Month-Hour'!K$198*'LBMP_by_Year-Month-Hour'!K223,$B$24*'LBMP_by_Year-Month-Hour'!K$230*'LBMP_by_Year-Month-Hour'!K255,$B$25*'LBMP_by_Year-Month-Hour'!K$262*'LBMP_by_Year-Month-Hour'!K287,$B$26*'LBMP_by_Year-Month-Hour'!K$294*'LBMP_by_Year-Month-Hour'!K319,$B$27*'LBMP_by_Year-Month-Hour'!K$326*'LBMP_by_Year-Month-Hour'!K351,$B$28*'LBMP_by_Year-Month-Hour'!K$358*'LBMP_by_Year-Month-Hour'!K383,$B$29*'LBMP_by_Year-Month-Hour'!K$390*'LBMP_by_Year-Month-Hour'!K415,$B$30*'LBMP_by_Year-Month-Hour'!K$422*'LBMP_by_Year-Month-Hour'!K447,$B$31*'LBMP_by_Year-Month-Hour'!K$454*'LBMP_by_Year-Month-Hour'!K479,$B$32*'LBMP_by_Year-Month-Hour'!K$486*'LBMP_by_Year-Month-Hour'!K511,$B$33*'LBMP_by_Year-Month-Hour'!K$518*'LBMP_by_Year-Month-Hour'!K543,$B$34*'LBMP_by_Year-Month-Hour'!K$550*'LBMP_by_Year-Month-Hour'!K575,$B$35*'LBMP_by_Year-Month-Hour'!K$582*'LBMP_by_Year-Month-Hour'!K607)*K40/$C$6/24</f>
        <v>0</v>
      </c>
      <c r="M102">
        <v>21</v>
      </c>
      <c r="N102">
        <f>NPV($C$7,$B$19*'LBMP_by_Year-Month-Hour'!N$70*'LBMP_by_Year-Month-Hour'!N95,$B$20*'LBMP_by_Year-Month-Hour'!N$102*'LBMP_by_Year-Month-Hour'!N127,$B$21*'LBMP_by_Year-Month-Hour'!N$134*'LBMP_by_Year-Month-Hour'!N159,$B$22*'LBMP_by_Year-Month-Hour'!N$166*'LBMP_by_Year-Month-Hour'!N191,$B$23*'LBMP_by_Year-Month-Hour'!N$198*'LBMP_by_Year-Month-Hour'!N223,$B$24*'LBMP_by_Year-Month-Hour'!N$230*'LBMP_by_Year-Month-Hour'!N255,$B$25*'LBMP_by_Year-Month-Hour'!N$262*'LBMP_by_Year-Month-Hour'!N287,$B$26*'LBMP_by_Year-Month-Hour'!N$294*'LBMP_by_Year-Month-Hour'!N319,$B$27*'LBMP_by_Year-Month-Hour'!N$326*'LBMP_by_Year-Month-Hour'!N351,$B$28*'LBMP_by_Year-Month-Hour'!N$358*'LBMP_by_Year-Month-Hour'!N383,$B$29*'LBMP_by_Year-Month-Hour'!N$390*'LBMP_by_Year-Month-Hour'!N415,$B$30*'LBMP_by_Year-Month-Hour'!N$422*'LBMP_by_Year-Month-Hour'!N447,$B$31*'LBMP_by_Year-Month-Hour'!N$454*'LBMP_by_Year-Month-Hour'!N479,$B$32*'LBMP_by_Year-Month-Hour'!N$486*'LBMP_by_Year-Month-Hour'!N511,$B$33*'LBMP_by_Year-Month-Hour'!N$518*'LBMP_by_Year-Month-Hour'!N543,$B$34*'LBMP_by_Year-Month-Hour'!N$550*'LBMP_by_Year-Month-Hour'!N575,$B$35*'LBMP_by_Year-Month-Hour'!N$582*'LBMP_by_Year-Month-Hour'!N607)*N40/$C$6/24</f>
        <v>0</v>
      </c>
      <c r="P102">
        <v>21</v>
      </c>
      <c r="Q102">
        <f>NPV($C$7,$B$19*'LBMP_by_Year-Month-Hour'!Q$70*'LBMP_by_Year-Month-Hour'!Q95,$B$20*'LBMP_by_Year-Month-Hour'!Q$102*'LBMP_by_Year-Month-Hour'!Q127,$B$21*'LBMP_by_Year-Month-Hour'!Q$134*'LBMP_by_Year-Month-Hour'!Q159,$B$22*'LBMP_by_Year-Month-Hour'!Q$166*'LBMP_by_Year-Month-Hour'!Q191,$B$23*'LBMP_by_Year-Month-Hour'!Q$198*'LBMP_by_Year-Month-Hour'!Q223,$B$24*'LBMP_by_Year-Month-Hour'!Q$230*'LBMP_by_Year-Month-Hour'!Q255,$B$25*'LBMP_by_Year-Month-Hour'!Q$262*'LBMP_by_Year-Month-Hour'!Q287,$B$26*'LBMP_by_Year-Month-Hour'!Q$294*'LBMP_by_Year-Month-Hour'!Q319,$B$27*'LBMP_by_Year-Month-Hour'!Q$326*'LBMP_by_Year-Month-Hour'!Q351,$B$28*'LBMP_by_Year-Month-Hour'!Q$358*'LBMP_by_Year-Month-Hour'!Q383,$B$29*'LBMP_by_Year-Month-Hour'!Q$390*'LBMP_by_Year-Month-Hour'!Q415,$B$30*'LBMP_by_Year-Month-Hour'!Q$422*'LBMP_by_Year-Month-Hour'!Q447,$B$31*'LBMP_by_Year-Month-Hour'!Q$454*'LBMP_by_Year-Month-Hour'!Q479,$B$32*'LBMP_by_Year-Month-Hour'!Q$486*'LBMP_by_Year-Month-Hour'!Q511,$B$33*'LBMP_by_Year-Month-Hour'!Q$518*'LBMP_by_Year-Month-Hour'!Q543,$B$34*'LBMP_by_Year-Month-Hour'!Q$550*'LBMP_by_Year-Month-Hour'!Q575,$B$35*'LBMP_by_Year-Month-Hour'!Q$582*'LBMP_by_Year-Month-Hour'!Q607)*Q40/$C$6/24</f>
        <v>0</v>
      </c>
      <c r="S102">
        <v>21</v>
      </c>
      <c r="T102">
        <f>NPV($C$7,$B$19*'LBMP_by_Year-Month-Hour'!T$70*'LBMP_by_Year-Month-Hour'!T95,$B$20*'LBMP_by_Year-Month-Hour'!T$102*'LBMP_by_Year-Month-Hour'!T127,$B$21*'LBMP_by_Year-Month-Hour'!T$134*'LBMP_by_Year-Month-Hour'!T159,$B$22*'LBMP_by_Year-Month-Hour'!T$166*'LBMP_by_Year-Month-Hour'!T191,$B$23*'LBMP_by_Year-Month-Hour'!T$198*'LBMP_by_Year-Month-Hour'!T223,$B$24*'LBMP_by_Year-Month-Hour'!T$230*'LBMP_by_Year-Month-Hour'!T255,$B$25*'LBMP_by_Year-Month-Hour'!T$262*'LBMP_by_Year-Month-Hour'!T287,$B$26*'LBMP_by_Year-Month-Hour'!T$294*'LBMP_by_Year-Month-Hour'!T319,$B$27*'LBMP_by_Year-Month-Hour'!T$326*'LBMP_by_Year-Month-Hour'!T351,$B$28*'LBMP_by_Year-Month-Hour'!T$358*'LBMP_by_Year-Month-Hour'!T383,$B$29*'LBMP_by_Year-Month-Hour'!T$390*'LBMP_by_Year-Month-Hour'!T415,$B$30*'LBMP_by_Year-Month-Hour'!T$422*'LBMP_by_Year-Month-Hour'!T447,$B$31*'LBMP_by_Year-Month-Hour'!T$454*'LBMP_by_Year-Month-Hour'!T479,$B$32*'LBMP_by_Year-Month-Hour'!T$486*'LBMP_by_Year-Month-Hour'!T511,$B$33*'LBMP_by_Year-Month-Hour'!T$518*'LBMP_by_Year-Month-Hour'!T543,$B$34*'LBMP_by_Year-Month-Hour'!T$550*'LBMP_by_Year-Month-Hour'!T575,$B$35*'LBMP_by_Year-Month-Hour'!T$582*'LBMP_by_Year-Month-Hour'!T607)*T40/$C$6/24</f>
        <v>4985.333472700534</v>
      </c>
      <c r="V102">
        <v>21</v>
      </c>
      <c r="W102">
        <f>NPV($C$7,$B$19*'LBMP_by_Year-Month-Hour'!W$70*'LBMP_by_Year-Month-Hour'!W95,$B$20*'LBMP_by_Year-Month-Hour'!W$102*'LBMP_by_Year-Month-Hour'!W127,$B$21*'LBMP_by_Year-Month-Hour'!W$134*'LBMP_by_Year-Month-Hour'!W159,$B$22*'LBMP_by_Year-Month-Hour'!W$166*'LBMP_by_Year-Month-Hour'!W191,$B$23*'LBMP_by_Year-Month-Hour'!W$198*'LBMP_by_Year-Month-Hour'!W223,$B$24*'LBMP_by_Year-Month-Hour'!W$230*'LBMP_by_Year-Month-Hour'!W255,$B$25*'LBMP_by_Year-Month-Hour'!W$262*'LBMP_by_Year-Month-Hour'!W287,$B$26*'LBMP_by_Year-Month-Hour'!W$294*'LBMP_by_Year-Month-Hour'!W319,$B$27*'LBMP_by_Year-Month-Hour'!W$326*'LBMP_by_Year-Month-Hour'!W351,$B$28*'LBMP_by_Year-Month-Hour'!W$358*'LBMP_by_Year-Month-Hour'!W383,$B$29*'LBMP_by_Year-Month-Hour'!W$390*'LBMP_by_Year-Month-Hour'!W415,$B$30*'LBMP_by_Year-Month-Hour'!W$422*'LBMP_by_Year-Month-Hour'!W447,$B$31*'LBMP_by_Year-Month-Hour'!W$454*'LBMP_by_Year-Month-Hour'!W479,$B$32*'LBMP_by_Year-Month-Hour'!W$486*'LBMP_by_Year-Month-Hour'!W511,$B$33*'LBMP_by_Year-Month-Hour'!W$518*'LBMP_by_Year-Month-Hour'!W543,$B$34*'LBMP_by_Year-Month-Hour'!W$550*'LBMP_by_Year-Month-Hour'!W575,$B$35*'LBMP_by_Year-Month-Hour'!W$582*'LBMP_by_Year-Month-Hour'!W607)*W40/$C$6/24</f>
        <v>6110.554204379634</v>
      </c>
      <c r="Y102">
        <v>21</v>
      </c>
      <c r="Z102">
        <f>NPV($C$7,$B$19*'LBMP_by_Year-Month-Hour'!Z$70*'LBMP_by_Year-Month-Hour'!Z95,$B$20*'LBMP_by_Year-Month-Hour'!Z$102*'LBMP_by_Year-Month-Hour'!Z127,$B$21*'LBMP_by_Year-Month-Hour'!Z$134*'LBMP_by_Year-Month-Hour'!Z159,$B$22*'LBMP_by_Year-Month-Hour'!Z$166*'LBMP_by_Year-Month-Hour'!Z191,$B$23*'LBMP_by_Year-Month-Hour'!Z$198*'LBMP_by_Year-Month-Hour'!Z223,$B$24*'LBMP_by_Year-Month-Hour'!Z$230*'LBMP_by_Year-Month-Hour'!Z255,$B$25*'LBMP_by_Year-Month-Hour'!Z$262*'LBMP_by_Year-Month-Hour'!Z287,$B$26*'LBMP_by_Year-Month-Hour'!Z$294*'LBMP_by_Year-Month-Hour'!Z319,$B$27*'LBMP_by_Year-Month-Hour'!Z$326*'LBMP_by_Year-Month-Hour'!Z351,$B$28*'LBMP_by_Year-Month-Hour'!Z$358*'LBMP_by_Year-Month-Hour'!Z383,$B$29*'LBMP_by_Year-Month-Hour'!Z$390*'LBMP_by_Year-Month-Hour'!Z415,$B$30*'LBMP_by_Year-Month-Hour'!Z$422*'LBMP_by_Year-Month-Hour'!Z447,$B$31*'LBMP_by_Year-Month-Hour'!Z$454*'LBMP_by_Year-Month-Hour'!Z479,$B$32*'LBMP_by_Year-Month-Hour'!Z$486*'LBMP_by_Year-Month-Hour'!Z511,$B$33*'LBMP_by_Year-Month-Hour'!Z$518*'LBMP_by_Year-Month-Hour'!Z543,$B$34*'LBMP_by_Year-Month-Hour'!Z$550*'LBMP_by_Year-Month-Hour'!Z575,$B$35*'LBMP_by_Year-Month-Hour'!Z$582*'LBMP_by_Year-Month-Hour'!Z607)*Z40/$C$6/24</f>
        <v>5962.3361940276409</v>
      </c>
      <c r="AB102">
        <v>21</v>
      </c>
      <c r="AC102">
        <f>NPV($C$7,$B$19*'LBMP_by_Year-Month-Hour'!AC$70*'LBMP_by_Year-Month-Hour'!AC95,$B$20*'LBMP_by_Year-Month-Hour'!AC$102*'LBMP_by_Year-Month-Hour'!AC127,$B$21*'LBMP_by_Year-Month-Hour'!AC$134*'LBMP_by_Year-Month-Hour'!AC159,$B$22*'LBMP_by_Year-Month-Hour'!AC$166*'LBMP_by_Year-Month-Hour'!AC191,$B$23*'LBMP_by_Year-Month-Hour'!AC$198*'LBMP_by_Year-Month-Hour'!AC223,$B$24*'LBMP_by_Year-Month-Hour'!AC$230*'LBMP_by_Year-Month-Hour'!AC255,$B$25*'LBMP_by_Year-Month-Hour'!AC$262*'LBMP_by_Year-Month-Hour'!AC287,$B$26*'LBMP_by_Year-Month-Hour'!AC$294*'LBMP_by_Year-Month-Hour'!AC319,$B$27*'LBMP_by_Year-Month-Hour'!AC$326*'LBMP_by_Year-Month-Hour'!AC351,$B$28*'LBMP_by_Year-Month-Hour'!AC$358*'LBMP_by_Year-Month-Hour'!AC383,$B$29*'LBMP_by_Year-Month-Hour'!AC$390*'LBMP_by_Year-Month-Hour'!AC415,$B$30*'LBMP_by_Year-Month-Hour'!AC$422*'LBMP_by_Year-Month-Hour'!AC447,$B$31*'LBMP_by_Year-Month-Hour'!AC$454*'LBMP_by_Year-Month-Hour'!AC479,$B$32*'LBMP_by_Year-Month-Hour'!AC$486*'LBMP_by_Year-Month-Hour'!AC511,$B$33*'LBMP_by_Year-Month-Hour'!AC$518*'LBMP_by_Year-Month-Hour'!AC543,$B$34*'LBMP_by_Year-Month-Hour'!AC$550*'LBMP_by_Year-Month-Hour'!AC575,$B$35*'LBMP_by_Year-Month-Hour'!AC$582*'LBMP_by_Year-Month-Hour'!AC607)*AC40/$C$6/24</f>
        <v>5064.0269371682198</v>
      </c>
      <c r="AE102">
        <v>21</v>
      </c>
      <c r="AF102">
        <f>NPV($C$7,$B$19*'LBMP_by_Year-Month-Hour'!AF$70*'LBMP_by_Year-Month-Hour'!AF95,$B$20*'LBMP_by_Year-Month-Hour'!AF$102*'LBMP_by_Year-Month-Hour'!AF127,$B$21*'LBMP_by_Year-Month-Hour'!AF$134*'LBMP_by_Year-Month-Hour'!AF159,$B$22*'LBMP_by_Year-Month-Hour'!AF$166*'LBMP_by_Year-Month-Hour'!AF191,$B$23*'LBMP_by_Year-Month-Hour'!AF$198*'LBMP_by_Year-Month-Hour'!AF223,$B$24*'LBMP_by_Year-Month-Hour'!AF$230*'LBMP_by_Year-Month-Hour'!AF255,$B$25*'LBMP_by_Year-Month-Hour'!AF$262*'LBMP_by_Year-Month-Hour'!AF287,$B$26*'LBMP_by_Year-Month-Hour'!AF$294*'LBMP_by_Year-Month-Hour'!AF319,$B$27*'LBMP_by_Year-Month-Hour'!AF$326*'LBMP_by_Year-Month-Hour'!AF351,$B$28*'LBMP_by_Year-Month-Hour'!AF$358*'LBMP_by_Year-Month-Hour'!AF383,$B$29*'LBMP_by_Year-Month-Hour'!AF$390*'LBMP_by_Year-Month-Hour'!AF415,$B$30*'LBMP_by_Year-Month-Hour'!AF$422*'LBMP_by_Year-Month-Hour'!AF447,$B$31*'LBMP_by_Year-Month-Hour'!AF$454*'LBMP_by_Year-Month-Hour'!AF479,$B$32*'LBMP_by_Year-Month-Hour'!AF$486*'LBMP_by_Year-Month-Hour'!AF511,$B$33*'LBMP_by_Year-Month-Hour'!AF$518*'LBMP_by_Year-Month-Hour'!AF543,$B$34*'LBMP_by_Year-Month-Hour'!AF$550*'LBMP_by_Year-Month-Hour'!AF575,$B$35*'LBMP_by_Year-Month-Hour'!AF$582*'LBMP_by_Year-Month-Hour'!AF607)*AF40/$C$6/24</f>
        <v>0</v>
      </c>
      <c r="AH102">
        <v>21</v>
      </c>
      <c r="AI102">
        <f>NPV($C$7,$B$19*'LBMP_by_Year-Month-Hour'!AI$70*'LBMP_by_Year-Month-Hour'!AI95,$B$20*'LBMP_by_Year-Month-Hour'!AI$102*'LBMP_by_Year-Month-Hour'!AI127,$B$21*'LBMP_by_Year-Month-Hour'!AI$134*'LBMP_by_Year-Month-Hour'!AI159,$B$22*'LBMP_by_Year-Month-Hour'!AI$166*'LBMP_by_Year-Month-Hour'!AI191,$B$23*'LBMP_by_Year-Month-Hour'!AI$198*'LBMP_by_Year-Month-Hour'!AI223,$B$24*'LBMP_by_Year-Month-Hour'!AI$230*'LBMP_by_Year-Month-Hour'!AI255,$B$25*'LBMP_by_Year-Month-Hour'!AI$262*'LBMP_by_Year-Month-Hour'!AI287,$B$26*'LBMP_by_Year-Month-Hour'!AI$294*'LBMP_by_Year-Month-Hour'!AI319,$B$27*'LBMP_by_Year-Month-Hour'!AI$326*'LBMP_by_Year-Month-Hour'!AI351,$B$28*'LBMP_by_Year-Month-Hour'!AI$358*'LBMP_by_Year-Month-Hour'!AI383,$B$29*'LBMP_by_Year-Month-Hour'!AI$390*'LBMP_by_Year-Month-Hour'!AI415,$B$30*'LBMP_by_Year-Month-Hour'!AI$422*'LBMP_by_Year-Month-Hour'!AI447,$B$31*'LBMP_by_Year-Month-Hour'!AI$454*'LBMP_by_Year-Month-Hour'!AI479,$B$32*'LBMP_by_Year-Month-Hour'!AI$486*'LBMP_by_Year-Month-Hour'!AI511,$B$33*'LBMP_by_Year-Month-Hour'!AI$518*'LBMP_by_Year-Month-Hour'!AI543,$B$34*'LBMP_by_Year-Month-Hour'!AI$550*'LBMP_by_Year-Month-Hour'!AI575,$B$35*'LBMP_by_Year-Month-Hour'!AI$582*'LBMP_by_Year-Month-Hour'!AI607)*AI40/$C$6/24</f>
        <v>0</v>
      </c>
      <c r="AK102">
        <v>21</v>
      </c>
      <c r="AL102">
        <f>NPV($C$7,$B$19*'LBMP_by_Year-Month-Hour'!AL$70*'LBMP_by_Year-Month-Hour'!AL95,$B$20*'LBMP_by_Year-Month-Hour'!AL$102*'LBMP_by_Year-Month-Hour'!AL127,$B$21*'LBMP_by_Year-Month-Hour'!AL$134*'LBMP_by_Year-Month-Hour'!AL159,$B$22*'LBMP_by_Year-Month-Hour'!AL$166*'LBMP_by_Year-Month-Hour'!AL191,$B$23*'LBMP_by_Year-Month-Hour'!AL$198*'LBMP_by_Year-Month-Hour'!AL223,$B$24*'LBMP_by_Year-Month-Hour'!AL$230*'LBMP_by_Year-Month-Hour'!AL255,$B$25*'LBMP_by_Year-Month-Hour'!AL$262*'LBMP_by_Year-Month-Hour'!AL287,$B$26*'LBMP_by_Year-Month-Hour'!AL$294*'LBMP_by_Year-Month-Hour'!AL319,$B$27*'LBMP_by_Year-Month-Hour'!AL$326*'LBMP_by_Year-Month-Hour'!AL351,$B$28*'LBMP_by_Year-Month-Hour'!AL$358*'LBMP_by_Year-Month-Hour'!AL383,$B$29*'LBMP_by_Year-Month-Hour'!AL$390*'LBMP_by_Year-Month-Hour'!AL415,$B$30*'LBMP_by_Year-Month-Hour'!AL$422*'LBMP_by_Year-Month-Hour'!AL447,$B$31*'LBMP_by_Year-Month-Hour'!AL$454*'LBMP_by_Year-Month-Hour'!AL479,$B$32*'LBMP_by_Year-Month-Hour'!AL$486*'LBMP_by_Year-Month-Hour'!AL511,$B$33*'LBMP_by_Year-Month-Hour'!AL$518*'LBMP_by_Year-Month-Hour'!AL543,$B$34*'LBMP_by_Year-Month-Hour'!AL$550*'LBMP_by_Year-Month-Hour'!AL575,$B$35*'LBMP_by_Year-Month-Hour'!AL$582*'LBMP_by_Year-Month-Hour'!AL607)*AL40/$C$6/24</f>
        <v>0</v>
      </c>
    </row>
    <row r="103" spans="1:38">
      <c r="A103">
        <v>22</v>
      </c>
      <c r="B103">
        <f t="shared" si="10"/>
        <v>0</v>
      </c>
      <c r="D103">
        <v>22</v>
      </c>
      <c r="E103">
        <f>NPV($C$7,$B$19*'LBMP_by_Year-Month-Hour'!E$70*'LBMP_by_Year-Month-Hour'!E96,$B$20*'LBMP_by_Year-Month-Hour'!E$102*'LBMP_by_Year-Month-Hour'!E128,$B$21*'LBMP_by_Year-Month-Hour'!E$134*'LBMP_by_Year-Month-Hour'!E160,$B$22*'LBMP_by_Year-Month-Hour'!E$166*'LBMP_by_Year-Month-Hour'!E192,$B$23*'LBMP_by_Year-Month-Hour'!E$198*'LBMP_by_Year-Month-Hour'!E224,$B$24*'LBMP_by_Year-Month-Hour'!E$230*'LBMP_by_Year-Month-Hour'!E256,$B$25*'LBMP_by_Year-Month-Hour'!E$262*'LBMP_by_Year-Month-Hour'!E288,$B$26*'LBMP_by_Year-Month-Hour'!E$294*'LBMP_by_Year-Month-Hour'!E320,$B$27*'LBMP_by_Year-Month-Hour'!E$326*'LBMP_by_Year-Month-Hour'!E352,$B$28*'LBMP_by_Year-Month-Hour'!E$358*'LBMP_by_Year-Month-Hour'!E384,$B$29*'LBMP_by_Year-Month-Hour'!E$390*'LBMP_by_Year-Month-Hour'!E416,$B$30*'LBMP_by_Year-Month-Hour'!E$422*'LBMP_by_Year-Month-Hour'!E448,$B$31*'LBMP_by_Year-Month-Hour'!E$454*'LBMP_by_Year-Month-Hour'!E480,$B$32*'LBMP_by_Year-Month-Hour'!E$486*'LBMP_by_Year-Month-Hour'!E512,$B$33*'LBMP_by_Year-Month-Hour'!E$518*'LBMP_by_Year-Month-Hour'!E544,$B$34*'LBMP_by_Year-Month-Hour'!E$550*'LBMP_by_Year-Month-Hour'!E576,$B$35*'LBMP_by_Year-Month-Hour'!E$582*'LBMP_by_Year-Month-Hour'!E608)*E41/$C$6/24</f>
        <v>0</v>
      </c>
      <c r="G103">
        <v>22</v>
      </c>
      <c r="H103">
        <f>NPV($C$7,$B$19*'LBMP_by_Year-Month-Hour'!H$70*'LBMP_by_Year-Month-Hour'!H96,$B$20*'LBMP_by_Year-Month-Hour'!H$102*'LBMP_by_Year-Month-Hour'!H128,$B$21*'LBMP_by_Year-Month-Hour'!H$134*'LBMP_by_Year-Month-Hour'!H160,$B$22*'LBMP_by_Year-Month-Hour'!H$166*'LBMP_by_Year-Month-Hour'!H192,$B$23*'LBMP_by_Year-Month-Hour'!H$198*'LBMP_by_Year-Month-Hour'!H224,$B$24*'LBMP_by_Year-Month-Hour'!H$230*'LBMP_by_Year-Month-Hour'!H256,$B$25*'LBMP_by_Year-Month-Hour'!H$262*'LBMP_by_Year-Month-Hour'!H288,$B$26*'LBMP_by_Year-Month-Hour'!H$294*'LBMP_by_Year-Month-Hour'!H320,$B$27*'LBMP_by_Year-Month-Hour'!H$326*'LBMP_by_Year-Month-Hour'!H352,$B$28*'LBMP_by_Year-Month-Hour'!H$358*'LBMP_by_Year-Month-Hour'!H384,$B$29*'LBMP_by_Year-Month-Hour'!H$390*'LBMP_by_Year-Month-Hour'!H416,$B$30*'LBMP_by_Year-Month-Hour'!H$422*'LBMP_by_Year-Month-Hour'!H448,$B$31*'LBMP_by_Year-Month-Hour'!H$454*'LBMP_by_Year-Month-Hour'!H480,$B$32*'LBMP_by_Year-Month-Hour'!H$486*'LBMP_by_Year-Month-Hour'!H512,$B$33*'LBMP_by_Year-Month-Hour'!H$518*'LBMP_by_Year-Month-Hour'!H544,$B$34*'LBMP_by_Year-Month-Hour'!H$550*'LBMP_by_Year-Month-Hour'!H576,$B$35*'LBMP_by_Year-Month-Hour'!H$582*'LBMP_by_Year-Month-Hour'!H608)*H41/$C$6/24</f>
        <v>0</v>
      </c>
      <c r="J103">
        <v>22</v>
      </c>
      <c r="K103">
        <f>NPV($C$7,$B$19*'LBMP_by_Year-Month-Hour'!K$70*'LBMP_by_Year-Month-Hour'!K96,$B$20*'LBMP_by_Year-Month-Hour'!K$102*'LBMP_by_Year-Month-Hour'!K128,$B$21*'LBMP_by_Year-Month-Hour'!K$134*'LBMP_by_Year-Month-Hour'!K160,$B$22*'LBMP_by_Year-Month-Hour'!K$166*'LBMP_by_Year-Month-Hour'!K192,$B$23*'LBMP_by_Year-Month-Hour'!K$198*'LBMP_by_Year-Month-Hour'!K224,$B$24*'LBMP_by_Year-Month-Hour'!K$230*'LBMP_by_Year-Month-Hour'!K256,$B$25*'LBMP_by_Year-Month-Hour'!K$262*'LBMP_by_Year-Month-Hour'!K288,$B$26*'LBMP_by_Year-Month-Hour'!K$294*'LBMP_by_Year-Month-Hour'!K320,$B$27*'LBMP_by_Year-Month-Hour'!K$326*'LBMP_by_Year-Month-Hour'!K352,$B$28*'LBMP_by_Year-Month-Hour'!K$358*'LBMP_by_Year-Month-Hour'!K384,$B$29*'LBMP_by_Year-Month-Hour'!K$390*'LBMP_by_Year-Month-Hour'!K416,$B$30*'LBMP_by_Year-Month-Hour'!K$422*'LBMP_by_Year-Month-Hour'!K448,$B$31*'LBMP_by_Year-Month-Hour'!K$454*'LBMP_by_Year-Month-Hour'!K480,$B$32*'LBMP_by_Year-Month-Hour'!K$486*'LBMP_by_Year-Month-Hour'!K512,$B$33*'LBMP_by_Year-Month-Hour'!K$518*'LBMP_by_Year-Month-Hour'!K544,$B$34*'LBMP_by_Year-Month-Hour'!K$550*'LBMP_by_Year-Month-Hour'!K576,$B$35*'LBMP_by_Year-Month-Hour'!K$582*'LBMP_by_Year-Month-Hour'!K608)*K41/$C$6/24</f>
        <v>0</v>
      </c>
      <c r="M103">
        <v>22</v>
      </c>
      <c r="N103">
        <f>NPV($C$7,$B$19*'LBMP_by_Year-Month-Hour'!N$70*'LBMP_by_Year-Month-Hour'!N96,$B$20*'LBMP_by_Year-Month-Hour'!N$102*'LBMP_by_Year-Month-Hour'!N128,$B$21*'LBMP_by_Year-Month-Hour'!N$134*'LBMP_by_Year-Month-Hour'!N160,$B$22*'LBMP_by_Year-Month-Hour'!N$166*'LBMP_by_Year-Month-Hour'!N192,$B$23*'LBMP_by_Year-Month-Hour'!N$198*'LBMP_by_Year-Month-Hour'!N224,$B$24*'LBMP_by_Year-Month-Hour'!N$230*'LBMP_by_Year-Month-Hour'!N256,$B$25*'LBMP_by_Year-Month-Hour'!N$262*'LBMP_by_Year-Month-Hour'!N288,$B$26*'LBMP_by_Year-Month-Hour'!N$294*'LBMP_by_Year-Month-Hour'!N320,$B$27*'LBMP_by_Year-Month-Hour'!N$326*'LBMP_by_Year-Month-Hour'!N352,$B$28*'LBMP_by_Year-Month-Hour'!N$358*'LBMP_by_Year-Month-Hour'!N384,$B$29*'LBMP_by_Year-Month-Hour'!N$390*'LBMP_by_Year-Month-Hour'!N416,$B$30*'LBMP_by_Year-Month-Hour'!N$422*'LBMP_by_Year-Month-Hour'!N448,$B$31*'LBMP_by_Year-Month-Hour'!N$454*'LBMP_by_Year-Month-Hour'!N480,$B$32*'LBMP_by_Year-Month-Hour'!N$486*'LBMP_by_Year-Month-Hour'!N512,$B$33*'LBMP_by_Year-Month-Hour'!N$518*'LBMP_by_Year-Month-Hour'!N544,$B$34*'LBMP_by_Year-Month-Hour'!N$550*'LBMP_by_Year-Month-Hour'!N576,$B$35*'LBMP_by_Year-Month-Hour'!N$582*'LBMP_by_Year-Month-Hour'!N608)*N41/$C$6/24</f>
        <v>0</v>
      </c>
      <c r="P103">
        <v>22</v>
      </c>
      <c r="Q103">
        <f>NPV($C$7,$B$19*'LBMP_by_Year-Month-Hour'!Q$70*'LBMP_by_Year-Month-Hour'!Q96,$B$20*'LBMP_by_Year-Month-Hour'!Q$102*'LBMP_by_Year-Month-Hour'!Q128,$B$21*'LBMP_by_Year-Month-Hour'!Q$134*'LBMP_by_Year-Month-Hour'!Q160,$B$22*'LBMP_by_Year-Month-Hour'!Q$166*'LBMP_by_Year-Month-Hour'!Q192,$B$23*'LBMP_by_Year-Month-Hour'!Q$198*'LBMP_by_Year-Month-Hour'!Q224,$B$24*'LBMP_by_Year-Month-Hour'!Q$230*'LBMP_by_Year-Month-Hour'!Q256,$B$25*'LBMP_by_Year-Month-Hour'!Q$262*'LBMP_by_Year-Month-Hour'!Q288,$B$26*'LBMP_by_Year-Month-Hour'!Q$294*'LBMP_by_Year-Month-Hour'!Q320,$B$27*'LBMP_by_Year-Month-Hour'!Q$326*'LBMP_by_Year-Month-Hour'!Q352,$B$28*'LBMP_by_Year-Month-Hour'!Q$358*'LBMP_by_Year-Month-Hour'!Q384,$B$29*'LBMP_by_Year-Month-Hour'!Q$390*'LBMP_by_Year-Month-Hour'!Q416,$B$30*'LBMP_by_Year-Month-Hour'!Q$422*'LBMP_by_Year-Month-Hour'!Q448,$B$31*'LBMP_by_Year-Month-Hour'!Q$454*'LBMP_by_Year-Month-Hour'!Q480,$B$32*'LBMP_by_Year-Month-Hour'!Q$486*'LBMP_by_Year-Month-Hour'!Q512,$B$33*'LBMP_by_Year-Month-Hour'!Q$518*'LBMP_by_Year-Month-Hour'!Q544,$B$34*'LBMP_by_Year-Month-Hour'!Q$550*'LBMP_by_Year-Month-Hour'!Q576,$B$35*'LBMP_by_Year-Month-Hour'!Q$582*'LBMP_by_Year-Month-Hour'!Q608)*Q41/$C$6/24</f>
        <v>0</v>
      </c>
      <c r="S103">
        <v>22</v>
      </c>
      <c r="T103">
        <f>NPV($C$7,$B$19*'LBMP_by_Year-Month-Hour'!T$70*'LBMP_by_Year-Month-Hour'!T96,$B$20*'LBMP_by_Year-Month-Hour'!T$102*'LBMP_by_Year-Month-Hour'!T128,$B$21*'LBMP_by_Year-Month-Hour'!T$134*'LBMP_by_Year-Month-Hour'!T160,$B$22*'LBMP_by_Year-Month-Hour'!T$166*'LBMP_by_Year-Month-Hour'!T192,$B$23*'LBMP_by_Year-Month-Hour'!T$198*'LBMP_by_Year-Month-Hour'!T224,$B$24*'LBMP_by_Year-Month-Hour'!T$230*'LBMP_by_Year-Month-Hour'!T256,$B$25*'LBMP_by_Year-Month-Hour'!T$262*'LBMP_by_Year-Month-Hour'!T288,$B$26*'LBMP_by_Year-Month-Hour'!T$294*'LBMP_by_Year-Month-Hour'!T320,$B$27*'LBMP_by_Year-Month-Hour'!T$326*'LBMP_by_Year-Month-Hour'!T352,$B$28*'LBMP_by_Year-Month-Hour'!T$358*'LBMP_by_Year-Month-Hour'!T384,$B$29*'LBMP_by_Year-Month-Hour'!T$390*'LBMP_by_Year-Month-Hour'!T416,$B$30*'LBMP_by_Year-Month-Hour'!T$422*'LBMP_by_Year-Month-Hour'!T448,$B$31*'LBMP_by_Year-Month-Hour'!T$454*'LBMP_by_Year-Month-Hour'!T480,$B$32*'LBMP_by_Year-Month-Hour'!T$486*'LBMP_by_Year-Month-Hour'!T512,$B$33*'LBMP_by_Year-Month-Hour'!T$518*'LBMP_by_Year-Month-Hour'!T544,$B$34*'LBMP_by_Year-Month-Hour'!T$550*'LBMP_by_Year-Month-Hour'!T576,$B$35*'LBMP_by_Year-Month-Hour'!T$582*'LBMP_by_Year-Month-Hour'!T608)*T41/$C$6/24</f>
        <v>0</v>
      </c>
      <c r="V103">
        <v>22</v>
      </c>
      <c r="W103">
        <f>NPV($C$7,$B$19*'LBMP_by_Year-Month-Hour'!W$70*'LBMP_by_Year-Month-Hour'!W96,$B$20*'LBMP_by_Year-Month-Hour'!W$102*'LBMP_by_Year-Month-Hour'!W128,$B$21*'LBMP_by_Year-Month-Hour'!W$134*'LBMP_by_Year-Month-Hour'!W160,$B$22*'LBMP_by_Year-Month-Hour'!W$166*'LBMP_by_Year-Month-Hour'!W192,$B$23*'LBMP_by_Year-Month-Hour'!W$198*'LBMP_by_Year-Month-Hour'!W224,$B$24*'LBMP_by_Year-Month-Hour'!W$230*'LBMP_by_Year-Month-Hour'!W256,$B$25*'LBMP_by_Year-Month-Hour'!W$262*'LBMP_by_Year-Month-Hour'!W288,$B$26*'LBMP_by_Year-Month-Hour'!W$294*'LBMP_by_Year-Month-Hour'!W320,$B$27*'LBMP_by_Year-Month-Hour'!W$326*'LBMP_by_Year-Month-Hour'!W352,$B$28*'LBMP_by_Year-Month-Hour'!W$358*'LBMP_by_Year-Month-Hour'!W384,$B$29*'LBMP_by_Year-Month-Hour'!W$390*'LBMP_by_Year-Month-Hour'!W416,$B$30*'LBMP_by_Year-Month-Hour'!W$422*'LBMP_by_Year-Month-Hour'!W448,$B$31*'LBMP_by_Year-Month-Hour'!W$454*'LBMP_by_Year-Month-Hour'!W480,$B$32*'LBMP_by_Year-Month-Hour'!W$486*'LBMP_by_Year-Month-Hour'!W512,$B$33*'LBMP_by_Year-Month-Hour'!W$518*'LBMP_by_Year-Month-Hour'!W544,$B$34*'LBMP_by_Year-Month-Hour'!W$550*'LBMP_by_Year-Month-Hour'!W576,$B$35*'LBMP_by_Year-Month-Hour'!W$582*'LBMP_by_Year-Month-Hour'!W608)*W41/$C$6/24</f>
        <v>0</v>
      </c>
      <c r="Y103">
        <v>22</v>
      </c>
      <c r="Z103">
        <f>NPV($C$7,$B$19*'LBMP_by_Year-Month-Hour'!Z$70*'LBMP_by_Year-Month-Hour'!Z96,$B$20*'LBMP_by_Year-Month-Hour'!Z$102*'LBMP_by_Year-Month-Hour'!Z128,$B$21*'LBMP_by_Year-Month-Hour'!Z$134*'LBMP_by_Year-Month-Hour'!Z160,$B$22*'LBMP_by_Year-Month-Hour'!Z$166*'LBMP_by_Year-Month-Hour'!Z192,$B$23*'LBMP_by_Year-Month-Hour'!Z$198*'LBMP_by_Year-Month-Hour'!Z224,$B$24*'LBMP_by_Year-Month-Hour'!Z$230*'LBMP_by_Year-Month-Hour'!Z256,$B$25*'LBMP_by_Year-Month-Hour'!Z$262*'LBMP_by_Year-Month-Hour'!Z288,$B$26*'LBMP_by_Year-Month-Hour'!Z$294*'LBMP_by_Year-Month-Hour'!Z320,$B$27*'LBMP_by_Year-Month-Hour'!Z$326*'LBMP_by_Year-Month-Hour'!Z352,$B$28*'LBMP_by_Year-Month-Hour'!Z$358*'LBMP_by_Year-Month-Hour'!Z384,$B$29*'LBMP_by_Year-Month-Hour'!Z$390*'LBMP_by_Year-Month-Hour'!Z416,$B$30*'LBMP_by_Year-Month-Hour'!Z$422*'LBMP_by_Year-Month-Hour'!Z448,$B$31*'LBMP_by_Year-Month-Hour'!Z$454*'LBMP_by_Year-Month-Hour'!Z480,$B$32*'LBMP_by_Year-Month-Hour'!Z$486*'LBMP_by_Year-Month-Hour'!Z512,$B$33*'LBMP_by_Year-Month-Hour'!Z$518*'LBMP_by_Year-Month-Hour'!Z544,$B$34*'LBMP_by_Year-Month-Hour'!Z$550*'LBMP_by_Year-Month-Hour'!Z576,$B$35*'LBMP_by_Year-Month-Hour'!Z$582*'LBMP_by_Year-Month-Hour'!Z608)*Z41/$C$6/24</f>
        <v>0</v>
      </c>
      <c r="AB103">
        <v>22</v>
      </c>
      <c r="AC103">
        <f>NPV($C$7,$B$19*'LBMP_by_Year-Month-Hour'!AC$70*'LBMP_by_Year-Month-Hour'!AC96,$B$20*'LBMP_by_Year-Month-Hour'!AC$102*'LBMP_by_Year-Month-Hour'!AC128,$B$21*'LBMP_by_Year-Month-Hour'!AC$134*'LBMP_by_Year-Month-Hour'!AC160,$B$22*'LBMP_by_Year-Month-Hour'!AC$166*'LBMP_by_Year-Month-Hour'!AC192,$B$23*'LBMP_by_Year-Month-Hour'!AC$198*'LBMP_by_Year-Month-Hour'!AC224,$B$24*'LBMP_by_Year-Month-Hour'!AC$230*'LBMP_by_Year-Month-Hour'!AC256,$B$25*'LBMP_by_Year-Month-Hour'!AC$262*'LBMP_by_Year-Month-Hour'!AC288,$B$26*'LBMP_by_Year-Month-Hour'!AC$294*'LBMP_by_Year-Month-Hour'!AC320,$B$27*'LBMP_by_Year-Month-Hour'!AC$326*'LBMP_by_Year-Month-Hour'!AC352,$B$28*'LBMP_by_Year-Month-Hour'!AC$358*'LBMP_by_Year-Month-Hour'!AC384,$B$29*'LBMP_by_Year-Month-Hour'!AC$390*'LBMP_by_Year-Month-Hour'!AC416,$B$30*'LBMP_by_Year-Month-Hour'!AC$422*'LBMP_by_Year-Month-Hour'!AC448,$B$31*'LBMP_by_Year-Month-Hour'!AC$454*'LBMP_by_Year-Month-Hour'!AC480,$B$32*'LBMP_by_Year-Month-Hour'!AC$486*'LBMP_by_Year-Month-Hour'!AC512,$B$33*'LBMP_by_Year-Month-Hour'!AC$518*'LBMP_by_Year-Month-Hour'!AC544,$B$34*'LBMP_by_Year-Month-Hour'!AC$550*'LBMP_by_Year-Month-Hour'!AC576,$B$35*'LBMP_by_Year-Month-Hour'!AC$582*'LBMP_by_Year-Month-Hour'!AC608)*AC41/$C$6/24</f>
        <v>0</v>
      </c>
      <c r="AE103">
        <v>22</v>
      </c>
      <c r="AF103">
        <f>NPV($C$7,$B$19*'LBMP_by_Year-Month-Hour'!AF$70*'LBMP_by_Year-Month-Hour'!AF96,$B$20*'LBMP_by_Year-Month-Hour'!AF$102*'LBMP_by_Year-Month-Hour'!AF128,$B$21*'LBMP_by_Year-Month-Hour'!AF$134*'LBMP_by_Year-Month-Hour'!AF160,$B$22*'LBMP_by_Year-Month-Hour'!AF$166*'LBMP_by_Year-Month-Hour'!AF192,$B$23*'LBMP_by_Year-Month-Hour'!AF$198*'LBMP_by_Year-Month-Hour'!AF224,$B$24*'LBMP_by_Year-Month-Hour'!AF$230*'LBMP_by_Year-Month-Hour'!AF256,$B$25*'LBMP_by_Year-Month-Hour'!AF$262*'LBMP_by_Year-Month-Hour'!AF288,$B$26*'LBMP_by_Year-Month-Hour'!AF$294*'LBMP_by_Year-Month-Hour'!AF320,$B$27*'LBMP_by_Year-Month-Hour'!AF$326*'LBMP_by_Year-Month-Hour'!AF352,$B$28*'LBMP_by_Year-Month-Hour'!AF$358*'LBMP_by_Year-Month-Hour'!AF384,$B$29*'LBMP_by_Year-Month-Hour'!AF$390*'LBMP_by_Year-Month-Hour'!AF416,$B$30*'LBMP_by_Year-Month-Hour'!AF$422*'LBMP_by_Year-Month-Hour'!AF448,$B$31*'LBMP_by_Year-Month-Hour'!AF$454*'LBMP_by_Year-Month-Hour'!AF480,$B$32*'LBMP_by_Year-Month-Hour'!AF$486*'LBMP_by_Year-Month-Hour'!AF512,$B$33*'LBMP_by_Year-Month-Hour'!AF$518*'LBMP_by_Year-Month-Hour'!AF544,$B$34*'LBMP_by_Year-Month-Hour'!AF$550*'LBMP_by_Year-Month-Hour'!AF576,$B$35*'LBMP_by_Year-Month-Hour'!AF$582*'LBMP_by_Year-Month-Hour'!AF608)*AF41/$C$6/24</f>
        <v>0</v>
      </c>
      <c r="AH103">
        <v>22</v>
      </c>
      <c r="AI103">
        <f>NPV($C$7,$B$19*'LBMP_by_Year-Month-Hour'!AI$70*'LBMP_by_Year-Month-Hour'!AI96,$B$20*'LBMP_by_Year-Month-Hour'!AI$102*'LBMP_by_Year-Month-Hour'!AI128,$B$21*'LBMP_by_Year-Month-Hour'!AI$134*'LBMP_by_Year-Month-Hour'!AI160,$B$22*'LBMP_by_Year-Month-Hour'!AI$166*'LBMP_by_Year-Month-Hour'!AI192,$B$23*'LBMP_by_Year-Month-Hour'!AI$198*'LBMP_by_Year-Month-Hour'!AI224,$B$24*'LBMP_by_Year-Month-Hour'!AI$230*'LBMP_by_Year-Month-Hour'!AI256,$B$25*'LBMP_by_Year-Month-Hour'!AI$262*'LBMP_by_Year-Month-Hour'!AI288,$B$26*'LBMP_by_Year-Month-Hour'!AI$294*'LBMP_by_Year-Month-Hour'!AI320,$B$27*'LBMP_by_Year-Month-Hour'!AI$326*'LBMP_by_Year-Month-Hour'!AI352,$B$28*'LBMP_by_Year-Month-Hour'!AI$358*'LBMP_by_Year-Month-Hour'!AI384,$B$29*'LBMP_by_Year-Month-Hour'!AI$390*'LBMP_by_Year-Month-Hour'!AI416,$B$30*'LBMP_by_Year-Month-Hour'!AI$422*'LBMP_by_Year-Month-Hour'!AI448,$B$31*'LBMP_by_Year-Month-Hour'!AI$454*'LBMP_by_Year-Month-Hour'!AI480,$B$32*'LBMP_by_Year-Month-Hour'!AI$486*'LBMP_by_Year-Month-Hour'!AI512,$B$33*'LBMP_by_Year-Month-Hour'!AI$518*'LBMP_by_Year-Month-Hour'!AI544,$B$34*'LBMP_by_Year-Month-Hour'!AI$550*'LBMP_by_Year-Month-Hour'!AI576,$B$35*'LBMP_by_Year-Month-Hour'!AI$582*'LBMP_by_Year-Month-Hour'!AI608)*AI41/$C$6/24</f>
        <v>0</v>
      </c>
      <c r="AK103">
        <v>22</v>
      </c>
      <c r="AL103">
        <f>NPV($C$7,$B$19*'LBMP_by_Year-Month-Hour'!AL$70*'LBMP_by_Year-Month-Hour'!AL96,$B$20*'LBMP_by_Year-Month-Hour'!AL$102*'LBMP_by_Year-Month-Hour'!AL128,$B$21*'LBMP_by_Year-Month-Hour'!AL$134*'LBMP_by_Year-Month-Hour'!AL160,$B$22*'LBMP_by_Year-Month-Hour'!AL$166*'LBMP_by_Year-Month-Hour'!AL192,$B$23*'LBMP_by_Year-Month-Hour'!AL$198*'LBMP_by_Year-Month-Hour'!AL224,$B$24*'LBMP_by_Year-Month-Hour'!AL$230*'LBMP_by_Year-Month-Hour'!AL256,$B$25*'LBMP_by_Year-Month-Hour'!AL$262*'LBMP_by_Year-Month-Hour'!AL288,$B$26*'LBMP_by_Year-Month-Hour'!AL$294*'LBMP_by_Year-Month-Hour'!AL320,$B$27*'LBMP_by_Year-Month-Hour'!AL$326*'LBMP_by_Year-Month-Hour'!AL352,$B$28*'LBMP_by_Year-Month-Hour'!AL$358*'LBMP_by_Year-Month-Hour'!AL384,$B$29*'LBMP_by_Year-Month-Hour'!AL$390*'LBMP_by_Year-Month-Hour'!AL416,$B$30*'LBMP_by_Year-Month-Hour'!AL$422*'LBMP_by_Year-Month-Hour'!AL448,$B$31*'LBMP_by_Year-Month-Hour'!AL$454*'LBMP_by_Year-Month-Hour'!AL480,$B$32*'LBMP_by_Year-Month-Hour'!AL$486*'LBMP_by_Year-Month-Hour'!AL512,$B$33*'LBMP_by_Year-Month-Hour'!AL$518*'LBMP_by_Year-Month-Hour'!AL544,$B$34*'LBMP_by_Year-Month-Hour'!AL$550*'LBMP_by_Year-Month-Hour'!AL576,$B$35*'LBMP_by_Year-Month-Hour'!AL$582*'LBMP_by_Year-Month-Hour'!AL608)*AL41/$C$6/24</f>
        <v>0</v>
      </c>
    </row>
    <row r="104" spans="1:38">
      <c r="A104">
        <v>23</v>
      </c>
      <c r="B104">
        <f t="shared" si="10"/>
        <v>0</v>
      </c>
      <c r="D104">
        <v>23</v>
      </c>
      <c r="E104">
        <f>NPV($C$7,$B$19*'LBMP_by_Year-Month-Hour'!E$70*'LBMP_by_Year-Month-Hour'!E97,$B$20*'LBMP_by_Year-Month-Hour'!E$102*'LBMP_by_Year-Month-Hour'!E129,$B$21*'LBMP_by_Year-Month-Hour'!E$134*'LBMP_by_Year-Month-Hour'!E161,$B$22*'LBMP_by_Year-Month-Hour'!E$166*'LBMP_by_Year-Month-Hour'!E193,$B$23*'LBMP_by_Year-Month-Hour'!E$198*'LBMP_by_Year-Month-Hour'!E225,$B$24*'LBMP_by_Year-Month-Hour'!E$230*'LBMP_by_Year-Month-Hour'!E257,$B$25*'LBMP_by_Year-Month-Hour'!E$262*'LBMP_by_Year-Month-Hour'!E289,$B$26*'LBMP_by_Year-Month-Hour'!E$294*'LBMP_by_Year-Month-Hour'!E321,$B$27*'LBMP_by_Year-Month-Hour'!E$326*'LBMP_by_Year-Month-Hour'!E353,$B$28*'LBMP_by_Year-Month-Hour'!E$358*'LBMP_by_Year-Month-Hour'!E385,$B$29*'LBMP_by_Year-Month-Hour'!E$390*'LBMP_by_Year-Month-Hour'!E417,$B$30*'LBMP_by_Year-Month-Hour'!E$422*'LBMP_by_Year-Month-Hour'!E449,$B$31*'LBMP_by_Year-Month-Hour'!E$454*'LBMP_by_Year-Month-Hour'!E481,$B$32*'LBMP_by_Year-Month-Hour'!E$486*'LBMP_by_Year-Month-Hour'!E513,$B$33*'LBMP_by_Year-Month-Hour'!E$518*'LBMP_by_Year-Month-Hour'!E545,$B$34*'LBMP_by_Year-Month-Hour'!E$550*'LBMP_by_Year-Month-Hour'!E577,$B$35*'LBMP_by_Year-Month-Hour'!E$582*'LBMP_by_Year-Month-Hour'!E609)*E42/$C$6/24</f>
        <v>0</v>
      </c>
      <c r="G104">
        <v>23</v>
      </c>
      <c r="H104">
        <f>NPV($C$7,$B$19*'LBMP_by_Year-Month-Hour'!H$70*'LBMP_by_Year-Month-Hour'!H97,$B$20*'LBMP_by_Year-Month-Hour'!H$102*'LBMP_by_Year-Month-Hour'!H129,$B$21*'LBMP_by_Year-Month-Hour'!H$134*'LBMP_by_Year-Month-Hour'!H161,$B$22*'LBMP_by_Year-Month-Hour'!H$166*'LBMP_by_Year-Month-Hour'!H193,$B$23*'LBMP_by_Year-Month-Hour'!H$198*'LBMP_by_Year-Month-Hour'!H225,$B$24*'LBMP_by_Year-Month-Hour'!H$230*'LBMP_by_Year-Month-Hour'!H257,$B$25*'LBMP_by_Year-Month-Hour'!H$262*'LBMP_by_Year-Month-Hour'!H289,$B$26*'LBMP_by_Year-Month-Hour'!H$294*'LBMP_by_Year-Month-Hour'!H321,$B$27*'LBMP_by_Year-Month-Hour'!H$326*'LBMP_by_Year-Month-Hour'!H353,$B$28*'LBMP_by_Year-Month-Hour'!H$358*'LBMP_by_Year-Month-Hour'!H385,$B$29*'LBMP_by_Year-Month-Hour'!H$390*'LBMP_by_Year-Month-Hour'!H417,$B$30*'LBMP_by_Year-Month-Hour'!H$422*'LBMP_by_Year-Month-Hour'!H449,$B$31*'LBMP_by_Year-Month-Hour'!H$454*'LBMP_by_Year-Month-Hour'!H481,$B$32*'LBMP_by_Year-Month-Hour'!H$486*'LBMP_by_Year-Month-Hour'!H513,$B$33*'LBMP_by_Year-Month-Hour'!H$518*'LBMP_by_Year-Month-Hour'!H545,$B$34*'LBMP_by_Year-Month-Hour'!H$550*'LBMP_by_Year-Month-Hour'!H577,$B$35*'LBMP_by_Year-Month-Hour'!H$582*'LBMP_by_Year-Month-Hour'!H609)*H42/$C$6/24</f>
        <v>0</v>
      </c>
      <c r="J104">
        <v>23</v>
      </c>
      <c r="K104">
        <f>NPV($C$7,$B$19*'LBMP_by_Year-Month-Hour'!K$70*'LBMP_by_Year-Month-Hour'!K97,$B$20*'LBMP_by_Year-Month-Hour'!K$102*'LBMP_by_Year-Month-Hour'!K129,$B$21*'LBMP_by_Year-Month-Hour'!K$134*'LBMP_by_Year-Month-Hour'!K161,$B$22*'LBMP_by_Year-Month-Hour'!K$166*'LBMP_by_Year-Month-Hour'!K193,$B$23*'LBMP_by_Year-Month-Hour'!K$198*'LBMP_by_Year-Month-Hour'!K225,$B$24*'LBMP_by_Year-Month-Hour'!K$230*'LBMP_by_Year-Month-Hour'!K257,$B$25*'LBMP_by_Year-Month-Hour'!K$262*'LBMP_by_Year-Month-Hour'!K289,$B$26*'LBMP_by_Year-Month-Hour'!K$294*'LBMP_by_Year-Month-Hour'!K321,$B$27*'LBMP_by_Year-Month-Hour'!K$326*'LBMP_by_Year-Month-Hour'!K353,$B$28*'LBMP_by_Year-Month-Hour'!K$358*'LBMP_by_Year-Month-Hour'!K385,$B$29*'LBMP_by_Year-Month-Hour'!K$390*'LBMP_by_Year-Month-Hour'!K417,$B$30*'LBMP_by_Year-Month-Hour'!K$422*'LBMP_by_Year-Month-Hour'!K449,$B$31*'LBMP_by_Year-Month-Hour'!K$454*'LBMP_by_Year-Month-Hour'!K481,$B$32*'LBMP_by_Year-Month-Hour'!K$486*'LBMP_by_Year-Month-Hour'!K513,$B$33*'LBMP_by_Year-Month-Hour'!K$518*'LBMP_by_Year-Month-Hour'!K545,$B$34*'LBMP_by_Year-Month-Hour'!K$550*'LBMP_by_Year-Month-Hour'!K577,$B$35*'LBMP_by_Year-Month-Hour'!K$582*'LBMP_by_Year-Month-Hour'!K609)*K42/$C$6/24</f>
        <v>0</v>
      </c>
      <c r="M104">
        <v>23</v>
      </c>
      <c r="N104">
        <f>NPV($C$7,$B$19*'LBMP_by_Year-Month-Hour'!N$70*'LBMP_by_Year-Month-Hour'!N97,$B$20*'LBMP_by_Year-Month-Hour'!N$102*'LBMP_by_Year-Month-Hour'!N129,$B$21*'LBMP_by_Year-Month-Hour'!N$134*'LBMP_by_Year-Month-Hour'!N161,$B$22*'LBMP_by_Year-Month-Hour'!N$166*'LBMP_by_Year-Month-Hour'!N193,$B$23*'LBMP_by_Year-Month-Hour'!N$198*'LBMP_by_Year-Month-Hour'!N225,$B$24*'LBMP_by_Year-Month-Hour'!N$230*'LBMP_by_Year-Month-Hour'!N257,$B$25*'LBMP_by_Year-Month-Hour'!N$262*'LBMP_by_Year-Month-Hour'!N289,$B$26*'LBMP_by_Year-Month-Hour'!N$294*'LBMP_by_Year-Month-Hour'!N321,$B$27*'LBMP_by_Year-Month-Hour'!N$326*'LBMP_by_Year-Month-Hour'!N353,$B$28*'LBMP_by_Year-Month-Hour'!N$358*'LBMP_by_Year-Month-Hour'!N385,$B$29*'LBMP_by_Year-Month-Hour'!N$390*'LBMP_by_Year-Month-Hour'!N417,$B$30*'LBMP_by_Year-Month-Hour'!N$422*'LBMP_by_Year-Month-Hour'!N449,$B$31*'LBMP_by_Year-Month-Hour'!N$454*'LBMP_by_Year-Month-Hour'!N481,$B$32*'LBMP_by_Year-Month-Hour'!N$486*'LBMP_by_Year-Month-Hour'!N513,$B$33*'LBMP_by_Year-Month-Hour'!N$518*'LBMP_by_Year-Month-Hour'!N545,$B$34*'LBMP_by_Year-Month-Hour'!N$550*'LBMP_by_Year-Month-Hour'!N577,$B$35*'LBMP_by_Year-Month-Hour'!N$582*'LBMP_by_Year-Month-Hour'!N609)*N42/$C$6/24</f>
        <v>0</v>
      </c>
      <c r="P104">
        <v>23</v>
      </c>
      <c r="Q104">
        <f>NPV($C$7,$B$19*'LBMP_by_Year-Month-Hour'!Q$70*'LBMP_by_Year-Month-Hour'!Q97,$B$20*'LBMP_by_Year-Month-Hour'!Q$102*'LBMP_by_Year-Month-Hour'!Q129,$B$21*'LBMP_by_Year-Month-Hour'!Q$134*'LBMP_by_Year-Month-Hour'!Q161,$B$22*'LBMP_by_Year-Month-Hour'!Q$166*'LBMP_by_Year-Month-Hour'!Q193,$B$23*'LBMP_by_Year-Month-Hour'!Q$198*'LBMP_by_Year-Month-Hour'!Q225,$B$24*'LBMP_by_Year-Month-Hour'!Q$230*'LBMP_by_Year-Month-Hour'!Q257,$B$25*'LBMP_by_Year-Month-Hour'!Q$262*'LBMP_by_Year-Month-Hour'!Q289,$B$26*'LBMP_by_Year-Month-Hour'!Q$294*'LBMP_by_Year-Month-Hour'!Q321,$B$27*'LBMP_by_Year-Month-Hour'!Q$326*'LBMP_by_Year-Month-Hour'!Q353,$B$28*'LBMP_by_Year-Month-Hour'!Q$358*'LBMP_by_Year-Month-Hour'!Q385,$B$29*'LBMP_by_Year-Month-Hour'!Q$390*'LBMP_by_Year-Month-Hour'!Q417,$B$30*'LBMP_by_Year-Month-Hour'!Q$422*'LBMP_by_Year-Month-Hour'!Q449,$B$31*'LBMP_by_Year-Month-Hour'!Q$454*'LBMP_by_Year-Month-Hour'!Q481,$B$32*'LBMP_by_Year-Month-Hour'!Q$486*'LBMP_by_Year-Month-Hour'!Q513,$B$33*'LBMP_by_Year-Month-Hour'!Q$518*'LBMP_by_Year-Month-Hour'!Q545,$B$34*'LBMP_by_Year-Month-Hour'!Q$550*'LBMP_by_Year-Month-Hour'!Q577,$B$35*'LBMP_by_Year-Month-Hour'!Q$582*'LBMP_by_Year-Month-Hour'!Q609)*Q42/$C$6/24</f>
        <v>0</v>
      </c>
      <c r="S104">
        <v>23</v>
      </c>
      <c r="T104">
        <f>NPV($C$7,$B$19*'LBMP_by_Year-Month-Hour'!T$70*'LBMP_by_Year-Month-Hour'!T97,$B$20*'LBMP_by_Year-Month-Hour'!T$102*'LBMP_by_Year-Month-Hour'!T129,$B$21*'LBMP_by_Year-Month-Hour'!T$134*'LBMP_by_Year-Month-Hour'!T161,$B$22*'LBMP_by_Year-Month-Hour'!T$166*'LBMP_by_Year-Month-Hour'!T193,$B$23*'LBMP_by_Year-Month-Hour'!T$198*'LBMP_by_Year-Month-Hour'!T225,$B$24*'LBMP_by_Year-Month-Hour'!T$230*'LBMP_by_Year-Month-Hour'!T257,$B$25*'LBMP_by_Year-Month-Hour'!T$262*'LBMP_by_Year-Month-Hour'!T289,$B$26*'LBMP_by_Year-Month-Hour'!T$294*'LBMP_by_Year-Month-Hour'!T321,$B$27*'LBMP_by_Year-Month-Hour'!T$326*'LBMP_by_Year-Month-Hour'!T353,$B$28*'LBMP_by_Year-Month-Hour'!T$358*'LBMP_by_Year-Month-Hour'!T385,$B$29*'LBMP_by_Year-Month-Hour'!T$390*'LBMP_by_Year-Month-Hour'!T417,$B$30*'LBMP_by_Year-Month-Hour'!T$422*'LBMP_by_Year-Month-Hour'!T449,$B$31*'LBMP_by_Year-Month-Hour'!T$454*'LBMP_by_Year-Month-Hour'!T481,$B$32*'LBMP_by_Year-Month-Hour'!T$486*'LBMP_by_Year-Month-Hour'!T513,$B$33*'LBMP_by_Year-Month-Hour'!T$518*'LBMP_by_Year-Month-Hour'!T545,$B$34*'LBMP_by_Year-Month-Hour'!T$550*'LBMP_by_Year-Month-Hour'!T577,$B$35*'LBMP_by_Year-Month-Hour'!T$582*'LBMP_by_Year-Month-Hour'!T609)*T42/$C$6/24</f>
        <v>0</v>
      </c>
      <c r="V104">
        <v>23</v>
      </c>
      <c r="W104">
        <f>NPV($C$7,$B$19*'LBMP_by_Year-Month-Hour'!W$70*'LBMP_by_Year-Month-Hour'!W97,$B$20*'LBMP_by_Year-Month-Hour'!W$102*'LBMP_by_Year-Month-Hour'!W129,$B$21*'LBMP_by_Year-Month-Hour'!W$134*'LBMP_by_Year-Month-Hour'!W161,$B$22*'LBMP_by_Year-Month-Hour'!W$166*'LBMP_by_Year-Month-Hour'!W193,$B$23*'LBMP_by_Year-Month-Hour'!W$198*'LBMP_by_Year-Month-Hour'!W225,$B$24*'LBMP_by_Year-Month-Hour'!W$230*'LBMP_by_Year-Month-Hour'!W257,$B$25*'LBMP_by_Year-Month-Hour'!W$262*'LBMP_by_Year-Month-Hour'!W289,$B$26*'LBMP_by_Year-Month-Hour'!W$294*'LBMP_by_Year-Month-Hour'!W321,$B$27*'LBMP_by_Year-Month-Hour'!W$326*'LBMP_by_Year-Month-Hour'!W353,$B$28*'LBMP_by_Year-Month-Hour'!W$358*'LBMP_by_Year-Month-Hour'!W385,$B$29*'LBMP_by_Year-Month-Hour'!W$390*'LBMP_by_Year-Month-Hour'!W417,$B$30*'LBMP_by_Year-Month-Hour'!W$422*'LBMP_by_Year-Month-Hour'!W449,$B$31*'LBMP_by_Year-Month-Hour'!W$454*'LBMP_by_Year-Month-Hour'!W481,$B$32*'LBMP_by_Year-Month-Hour'!W$486*'LBMP_by_Year-Month-Hour'!W513,$B$33*'LBMP_by_Year-Month-Hour'!W$518*'LBMP_by_Year-Month-Hour'!W545,$B$34*'LBMP_by_Year-Month-Hour'!W$550*'LBMP_by_Year-Month-Hour'!W577,$B$35*'LBMP_by_Year-Month-Hour'!W$582*'LBMP_by_Year-Month-Hour'!W609)*W42/$C$6/24</f>
        <v>0</v>
      </c>
      <c r="Y104">
        <v>23</v>
      </c>
      <c r="Z104">
        <f>NPV($C$7,$B$19*'LBMP_by_Year-Month-Hour'!Z$70*'LBMP_by_Year-Month-Hour'!Z97,$B$20*'LBMP_by_Year-Month-Hour'!Z$102*'LBMP_by_Year-Month-Hour'!Z129,$B$21*'LBMP_by_Year-Month-Hour'!Z$134*'LBMP_by_Year-Month-Hour'!Z161,$B$22*'LBMP_by_Year-Month-Hour'!Z$166*'LBMP_by_Year-Month-Hour'!Z193,$B$23*'LBMP_by_Year-Month-Hour'!Z$198*'LBMP_by_Year-Month-Hour'!Z225,$B$24*'LBMP_by_Year-Month-Hour'!Z$230*'LBMP_by_Year-Month-Hour'!Z257,$B$25*'LBMP_by_Year-Month-Hour'!Z$262*'LBMP_by_Year-Month-Hour'!Z289,$B$26*'LBMP_by_Year-Month-Hour'!Z$294*'LBMP_by_Year-Month-Hour'!Z321,$B$27*'LBMP_by_Year-Month-Hour'!Z$326*'LBMP_by_Year-Month-Hour'!Z353,$B$28*'LBMP_by_Year-Month-Hour'!Z$358*'LBMP_by_Year-Month-Hour'!Z385,$B$29*'LBMP_by_Year-Month-Hour'!Z$390*'LBMP_by_Year-Month-Hour'!Z417,$B$30*'LBMP_by_Year-Month-Hour'!Z$422*'LBMP_by_Year-Month-Hour'!Z449,$B$31*'LBMP_by_Year-Month-Hour'!Z$454*'LBMP_by_Year-Month-Hour'!Z481,$B$32*'LBMP_by_Year-Month-Hour'!Z$486*'LBMP_by_Year-Month-Hour'!Z513,$B$33*'LBMP_by_Year-Month-Hour'!Z$518*'LBMP_by_Year-Month-Hour'!Z545,$B$34*'LBMP_by_Year-Month-Hour'!Z$550*'LBMP_by_Year-Month-Hour'!Z577,$B$35*'LBMP_by_Year-Month-Hour'!Z$582*'LBMP_by_Year-Month-Hour'!Z609)*Z42/$C$6/24</f>
        <v>0</v>
      </c>
      <c r="AB104">
        <v>23</v>
      </c>
      <c r="AC104">
        <f>NPV($C$7,$B$19*'LBMP_by_Year-Month-Hour'!AC$70*'LBMP_by_Year-Month-Hour'!AC97,$B$20*'LBMP_by_Year-Month-Hour'!AC$102*'LBMP_by_Year-Month-Hour'!AC129,$B$21*'LBMP_by_Year-Month-Hour'!AC$134*'LBMP_by_Year-Month-Hour'!AC161,$B$22*'LBMP_by_Year-Month-Hour'!AC$166*'LBMP_by_Year-Month-Hour'!AC193,$B$23*'LBMP_by_Year-Month-Hour'!AC$198*'LBMP_by_Year-Month-Hour'!AC225,$B$24*'LBMP_by_Year-Month-Hour'!AC$230*'LBMP_by_Year-Month-Hour'!AC257,$B$25*'LBMP_by_Year-Month-Hour'!AC$262*'LBMP_by_Year-Month-Hour'!AC289,$B$26*'LBMP_by_Year-Month-Hour'!AC$294*'LBMP_by_Year-Month-Hour'!AC321,$B$27*'LBMP_by_Year-Month-Hour'!AC$326*'LBMP_by_Year-Month-Hour'!AC353,$B$28*'LBMP_by_Year-Month-Hour'!AC$358*'LBMP_by_Year-Month-Hour'!AC385,$B$29*'LBMP_by_Year-Month-Hour'!AC$390*'LBMP_by_Year-Month-Hour'!AC417,$B$30*'LBMP_by_Year-Month-Hour'!AC$422*'LBMP_by_Year-Month-Hour'!AC449,$B$31*'LBMP_by_Year-Month-Hour'!AC$454*'LBMP_by_Year-Month-Hour'!AC481,$B$32*'LBMP_by_Year-Month-Hour'!AC$486*'LBMP_by_Year-Month-Hour'!AC513,$B$33*'LBMP_by_Year-Month-Hour'!AC$518*'LBMP_by_Year-Month-Hour'!AC545,$B$34*'LBMP_by_Year-Month-Hour'!AC$550*'LBMP_by_Year-Month-Hour'!AC577,$B$35*'LBMP_by_Year-Month-Hour'!AC$582*'LBMP_by_Year-Month-Hour'!AC609)*AC42/$C$6/24</f>
        <v>0</v>
      </c>
      <c r="AE104">
        <v>23</v>
      </c>
      <c r="AF104">
        <f>NPV($C$7,$B$19*'LBMP_by_Year-Month-Hour'!AF$70*'LBMP_by_Year-Month-Hour'!AF97,$B$20*'LBMP_by_Year-Month-Hour'!AF$102*'LBMP_by_Year-Month-Hour'!AF129,$B$21*'LBMP_by_Year-Month-Hour'!AF$134*'LBMP_by_Year-Month-Hour'!AF161,$B$22*'LBMP_by_Year-Month-Hour'!AF$166*'LBMP_by_Year-Month-Hour'!AF193,$B$23*'LBMP_by_Year-Month-Hour'!AF$198*'LBMP_by_Year-Month-Hour'!AF225,$B$24*'LBMP_by_Year-Month-Hour'!AF$230*'LBMP_by_Year-Month-Hour'!AF257,$B$25*'LBMP_by_Year-Month-Hour'!AF$262*'LBMP_by_Year-Month-Hour'!AF289,$B$26*'LBMP_by_Year-Month-Hour'!AF$294*'LBMP_by_Year-Month-Hour'!AF321,$B$27*'LBMP_by_Year-Month-Hour'!AF$326*'LBMP_by_Year-Month-Hour'!AF353,$B$28*'LBMP_by_Year-Month-Hour'!AF$358*'LBMP_by_Year-Month-Hour'!AF385,$B$29*'LBMP_by_Year-Month-Hour'!AF$390*'LBMP_by_Year-Month-Hour'!AF417,$B$30*'LBMP_by_Year-Month-Hour'!AF$422*'LBMP_by_Year-Month-Hour'!AF449,$B$31*'LBMP_by_Year-Month-Hour'!AF$454*'LBMP_by_Year-Month-Hour'!AF481,$B$32*'LBMP_by_Year-Month-Hour'!AF$486*'LBMP_by_Year-Month-Hour'!AF513,$B$33*'LBMP_by_Year-Month-Hour'!AF$518*'LBMP_by_Year-Month-Hour'!AF545,$B$34*'LBMP_by_Year-Month-Hour'!AF$550*'LBMP_by_Year-Month-Hour'!AF577,$B$35*'LBMP_by_Year-Month-Hour'!AF$582*'LBMP_by_Year-Month-Hour'!AF609)*AF42/$C$6/24</f>
        <v>0</v>
      </c>
      <c r="AH104">
        <v>23</v>
      </c>
      <c r="AI104">
        <f>NPV($C$7,$B$19*'LBMP_by_Year-Month-Hour'!AI$70*'LBMP_by_Year-Month-Hour'!AI97,$B$20*'LBMP_by_Year-Month-Hour'!AI$102*'LBMP_by_Year-Month-Hour'!AI129,$B$21*'LBMP_by_Year-Month-Hour'!AI$134*'LBMP_by_Year-Month-Hour'!AI161,$B$22*'LBMP_by_Year-Month-Hour'!AI$166*'LBMP_by_Year-Month-Hour'!AI193,$B$23*'LBMP_by_Year-Month-Hour'!AI$198*'LBMP_by_Year-Month-Hour'!AI225,$B$24*'LBMP_by_Year-Month-Hour'!AI$230*'LBMP_by_Year-Month-Hour'!AI257,$B$25*'LBMP_by_Year-Month-Hour'!AI$262*'LBMP_by_Year-Month-Hour'!AI289,$B$26*'LBMP_by_Year-Month-Hour'!AI$294*'LBMP_by_Year-Month-Hour'!AI321,$B$27*'LBMP_by_Year-Month-Hour'!AI$326*'LBMP_by_Year-Month-Hour'!AI353,$B$28*'LBMP_by_Year-Month-Hour'!AI$358*'LBMP_by_Year-Month-Hour'!AI385,$B$29*'LBMP_by_Year-Month-Hour'!AI$390*'LBMP_by_Year-Month-Hour'!AI417,$B$30*'LBMP_by_Year-Month-Hour'!AI$422*'LBMP_by_Year-Month-Hour'!AI449,$B$31*'LBMP_by_Year-Month-Hour'!AI$454*'LBMP_by_Year-Month-Hour'!AI481,$B$32*'LBMP_by_Year-Month-Hour'!AI$486*'LBMP_by_Year-Month-Hour'!AI513,$B$33*'LBMP_by_Year-Month-Hour'!AI$518*'LBMP_by_Year-Month-Hour'!AI545,$B$34*'LBMP_by_Year-Month-Hour'!AI$550*'LBMP_by_Year-Month-Hour'!AI577,$B$35*'LBMP_by_Year-Month-Hour'!AI$582*'LBMP_by_Year-Month-Hour'!AI609)*AI42/$C$6/24</f>
        <v>0</v>
      </c>
      <c r="AK104">
        <v>23</v>
      </c>
      <c r="AL104">
        <f>NPV($C$7,$B$19*'LBMP_by_Year-Month-Hour'!AL$70*'LBMP_by_Year-Month-Hour'!AL97,$B$20*'LBMP_by_Year-Month-Hour'!AL$102*'LBMP_by_Year-Month-Hour'!AL129,$B$21*'LBMP_by_Year-Month-Hour'!AL$134*'LBMP_by_Year-Month-Hour'!AL161,$B$22*'LBMP_by_Year-Month-Hour'!AL$166*'LBMP_by_Year-Month-Hour'!AL193,$B$23*'LBMP_by_Year-Month-Hour'!AL$198*'LBMP_by_Year-Month-Hour'!AL225,$B$24*'LBMP_by_Year-Month-Hour'!AL$230*'LBMP_by_Year-Month-Hour'!AL257,$B$25*'LBMP_by_Year-Month-Hour'!AL$262*'LBMP_by_Year-Month-Hour'!AL289,$B$26*'LBMP_by_Year-Month-Hour'!AL$294*'LBMP_by_Year-Month-Hour'!AL321,$B$27*'LBMP_by_Year-Month-Hour'!AL$326*'LBMP_by_Year-Month-Hour'!AL353,$B$28*'LBMP_by_Year-Month-Hour'!AL$358*'LBMP_by_Year-Month-Hour'!AL385,$B$29*'LBMP_by_Year-Month-Hour'!AL$390*'LBMP_by_Year-Month-Hour'!AL417,$B$30*'LBMP_by_Year-Month-Hour'!AL$422*'LBMP_by_Year-Month-Hour'!AL449,$B$31*'LBMP_by_Year-Month-Hour'!AL$454*'LBMP_by_Year-Month-Hour'!AL481,$B$32*'LBMP_by_Year-Month-Hour'!AL$486*'LBMP_by_Year-Month-Hour'!AL513,$B$33*'LBMP_by_Year-Month-Hour'!AL$518*'LBMP_by_Year-Month-Hour'!AL545,$B$34*'LBMP_by_Year-Month-Hour'!AL$550*'LBMP_by_Year-Month-Hour'!AL577,$B$35*'LBMP_by_Year-Month-Hour'!AL$582*'LBMP_by_Year-Month-Hour'!AL609)*AL42/$C$6/24</f>
        <v>0</v>
      </c>
    </row>
    <row r="105" spans="1:38">
      <c r="A105" s="94" t="s">
        <v>312</v>
      </c>
      <c r="B105">
        <f>SUM(B81:B104)</f>
        <v>165382.79013314354</v>
      </c>
      <c r="D105" t="s">
        <v>312</v>
      </c>
      <c r="E105">
        <f>SUM(E81:E104)</f>
        <v>0</v>
      </c>
      <c r="G105" t="s">
        <v>312</v>
      </c>
      <c r="H105">
        <f>SUM(H81:H104)</f>
        <v>0</v>
      </c>
      <c r="J105" t="s">
        <v>312</v>
      </c>
      <c r="K105">
        <f>SUM(K81:K104)</f>
        <v>0</v>
      </c>
      <c r="M105" t="s">
        <v>312</v>
      </c>
      <c r="N105">
        <f>SUM(N81:N104)</f>
        <v>0</v>
      </c>
      <c r="P105" t="s">
        <v>312</v>
      </c>
      <c r="Q105">
        <f>SUM(Q81:Q104)</f>
        <v>0</v>
      </c>
      <c r="S105" t="s">
        <v>312</v>
      </c>
      <c r="T105">
        <f>SUM(T81:T104)</f>
        <v>14582.077535081051</v>
      </c>
      <c r="V105" t="s">
        <v>312</v>
      </c>
      <c r="W105">
        <f>SUM(W81:W104)</f>
        <v>52700.264427570495</v>
      </c>
      <c r="Y105" t="s">
        <v>312</v>
      </c>
      <c r="Z105">
        <f>SUM(Z81:Z104)</f>
        <v>62669.159424504862</v>
      </c>
      <c r="AB105" t="s">
        <v>312</v>
      </c>
      <c r="AC105">
        <f>SUM(AC81:AC104)</f>
        <v>35431.28874598704</v>
      </c>
      <c r="AE105" t="s">
        <v>312</v>
      </c>
      <c r="AF105">
        <f>SUM(AF81:AF104)</f>
        <v>0</v>
      </c>
      <c r="AH105" t="s">
        <v>312</v>
      </c>
      <c r="AI105">
        <f>SUM(AI81:AI104)</f>
        <v>0</v>
      </c>
      <c r="AK105" t="s">
        <v>312</v>
      </c>
      <c r="AL105">
        <f>SUM(AL81:AL104)</f>
        <v>0</v>
      </c>
    </row>
  </sheetData>
  <mergeCells count="14">
    <mergeCell ref="A10:B11"/>
    <mergeCell ref="K16:K18"/>
    <mergeCell ref="N16:N18"/>
    <mergeCell ref="Q16:Q18"/>
    <mergeCell ref="B38:B40"/>
    <mergeCell ref="E16:E18"/>
    <mergeCell ref="H16:H18"/>
    <mergeCell ref="AL16:AL18"/>
    <mergeCell ref="T16:T18"/>
    <mergeCell ref="W16:W18"/>
    <mergeCell ref="Z16:Z18"/>
    <mergeCell ref="AC16:AC18"/>
    <mergeCell ref="AF16:AF18"/>
    <mergeCell ref="AI16:AI18"/>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L610"/>
  <sheetViews>
    <sheetView zoomScaleNormal="100" workbookViewId="0">
      <selection activeCell="E14" sqref="E14"/>
    </sheetView>
  </sheetViews>
  <sheetFormatPr baseColWidth="10" defaultColWidth="8.83203125" defaultRowHeight="15"/>
  <cols>
    <col min="1" max="1" width="11.6640625" customWidth="1"/>
    <col min="2" max="2" width="24.1640625" bestFit="1" customWidth="1"/>
    <col min="4" max="4" width="10.5" bestFit="1" customWidth="1"/>
    <col min="5" max="5" width="23.5" customWidth="1"/>
    <col min="7" max="7" width="10.5" bestFit="1" customWidth="1"/>
    <col min="8" max="8" width="24.1640625" bestFit="1" customWidth="1"/>
    <col min="9" max="9" width="7.5" customWidth="1"/>
    <col min="10" max="10" width="10.5" bestFit="1" customWidth="1"/>
    <col min="11" max="11" width="24.1640625" bestFit="1" customWidth="1"/>
    <col min="12" max="12" width="7.1640625" customWidth="1"/>
    <col min="13" max="13" width="10.5" bestFit="1" customWidth="1"/>
    <col min="14" max="14" width="24.1640625" bestFit="1" customWidth="1"/>
    <col min="16" max="16" width="10.5" bestFit="1" customWidth="1"/>
    <col min="17" max="17" width="24.1640625" bestFit="1" customWidth="1"/>
    <col min="19" max="19" width="10.5" bestFit="1" customWidth="1"/>
    <col min="20" max="20" width="24.1640625" bestFit="1" customWidth="1"/>
    <col min="22" max="22" width="10.5" bestFit="1" customWidth="1"/>
    <col min="23" max="23" width="24.1640625" bestFit="1" customWidth="1"/>
    <col min="25" max="25" width="10.5" bestFit="1" customWidth="1"/>
    <col min="26" max="26" width="24.1640625" bestFit="1" customWidth="1"/>
    <col min="28" max="28" width="10.83203125" bestFit="1" customWidth="1"/>
    <col min="29" max="29" width="24.1640625" bestFit="1" customWidth="1"/>
    <col min="31" max="31" width="10.5" bestFit="1" customWidth="1"/>
    <col min="32" max="32" width="24.1640625" bestFit="1" customWidth="1"/>
    <col min="34" max="34" width="10.5" bestFit="1" customWidth="1"/>
    <col min="35" max="35" width="24.1640625" bestFit="1" customWidth="1"/>
    <col min="37" max="37" width="10.5" bestFit="1" customWidth="1"/>
    <col min="38" max="38" width="24.1640625" bestFit="1" customWidth="1"/>
  </cols>
  <sheetData>
    <row r="1" spans="1:38">
      <c r="A1" s="96" t="s">
        <v>321</v>
      </c>
      <c r="E1" t="s">
        <v>322</v>
      </c>
    </row>
    <row r="2" spans="1:38">
      <c r="A2" t="s">
        <v>83</v>
      </c>
      <c r="C2" s="16" t="s">
        <v>262</v>
      </c>
      <c r="E2" t="s">
        <v>323</v>
      </c>
    </row>
    <row r="3" spans="1:38">
      <c r="A3" t="s">
        <v>324</v>
      </c>
      <c r="C3" s="16" t="s">
        <v>294</v>
      </c>
    </row>
    <row r="5" spans="1:38">
      <c r="A5" s="94">
        <v>2016</v>
      </c>
      <c r="B5" s="99" t="s">
        <v>325</v>
      </c>
      <c r="D5">
        <v>1</v>
      </c>
      <c r="E5" s="99" t="s">
        <v>316</v>
      </c>
      <c r="G5">
        <v>2</v>
      </c>
      <c r="H5" s="99" t="s">
        <v>316</v>
      </c>
      <c r="J5">
        <v>3</v>
      </c>
      <c r="K5" s="99" t="s">
        <v>316</v>
      </c>
      <c r="M5">
        <v>4</v>
      </c>
      <c r="N5" s="99" t="s">
        <v>316</v>
      </c>
      <c r="P5">
        <v>5</v>
      </c>
      <c r="Q5" s="99" t="s">
        <v>316</v>
      </c>
      <c r="S5">
        <v>6</v>
      </c>
      <c r="T5" s="99" t="s">
        <v>316</v>
      </c>
      <c r="V5">
        <v>7</v>
      </c>
      <c r="W5" s="99" t="s">
        <v>316</v>
      </c>
      <c r="Y5">
        <v>8</v>
      </c>
      <c r="Z5" s="99" t="s">
        <v>316</v>
      </c>
      <c r="AB5">
        <v>9</v>
      </c>
      <c r="AC5" s="99" t="s">
        <v>316</v>
      </c>
      <c r="AE5">
        <v>10</v>
      </c>
      <c r="AF5" s="99" t="s">
        <v>316</v>
      </c>
      <c r="AH5">
        <v>11</v>
      </c>
      <c r="AI5" s="99" t="s">
        <v>316</v>
      </c>
      <c r="AK5">
        <v>12</v>
      </c>
      <c r="AL5" s="99" t="s">
        <v>316</v>
      </c>
    </row>
    <row r="6" spans="1:38">
      <c r="A6" s="94" t="s">
        <v>308</v>
      </c>
      <c r="B6" s="58">
        <v>8784</v>
      </c>
      <c r="D6" s="94" t="s">
        <v>397</v>
      </c>
      <c r="E6" s="58">
        <v>744</v>
      </c>
      <c r="G6" s="94" t="s">
        <v>398</v>
      </c>
      <c r="H6" s="58">
        <v>696</v>
      </c>
      <c r="J6" s="94" t="s">
        <v>399</v>
      </c>
      <c r="K6" s="58">
        <v>743</v>
      </c>
      <c r="M6" s="94" t="s">
        <v>400</v>
      </c>
      <c r="N6" s="58">
        <v>720</v>
      </c>
      <c r="P6" s="94" t="s">
        <v>401</v>
      </c>
      <c r="Q6" s="58">
        <v>744</v>
      </c>
      <c r="S6" s="94" t="s">
        <v>402</v>
      </c>
      <c r="T6" s="58">
        <v>720</v>
      </c>
      <c r="V6" s="94" t="s">
        <v>403</v>
      </c>
      <c r="W6" s="58">
        <v>744</v>
      </c>
      <c r="Y6" s="94" t="s">
        <v>404</v>
      </c>
      <c r="Z6" s="58">
        <v>744</v>
      </c>
      <c r="AB6" s="94" t="s">
        <v>405</v>
      </c>
      <c r="AC6" s="58">
        <v>720</v>
      </c>
      <c r="AE6" s="94" t="s">
        <v>406</v>
      </c>
      <c r="AF6" s="58">
        <v>744</v>
      </c>
      <c r="AH6" s="94" t="s">
        <v>407</v>
      </c>
      <c r="AI6" s="58">
        <v>721</v>
      </c>
      <c r="AK6" s="94" t="s">
        <v>408</v>
      </c>
      <c r="AL6" s="58">
        <v>744</v>
      </c>
    </row>
    <row r="7" spans="1:38">
      <c r="A7" s="94" t="s">
        <v>326</v>
      </c>
      <c r="B7" s="58">
        <v>0</v>
      </c>
      <c r="D7" s="94" t="s">
        <v>326</v>
      </c>
      <c r="E7" s="58">
        <v>0</v>
      </c>
      <c r="G7" s="94" t="s">
        <v>326</v>
      </c>
      <c r="H7" s="58">
        <v>744</v>
      </c>
      <c r="J7" s="94" t="s">
        <v>326</v>
      </c>
      <c r="K7" s="58">
        <v>1440</v>
      </c>
      <c r="M7" s="94" t="s">
        <v>326</v>
      </c>
      <c r="N7" s="58">
        <v>2183</v>
      </c>
      <c r="P7" s="94" t="s">
        <v>326</v>
      </c>
      <c r="Q7" s="58">
        <v>2903</v>
      </c>
      <c r="S7" s="94" t="s">
        <v>326</v>
      </c>
      <c r="T7" s="58">
        <v>3647</v>
      </c>
      <c r="V7" s="94" t="s">
        <v>326</v>
      </c>
      <c r="W7" s="58">
        <v>4367</v>
      </c>
      <c r="Y7" s="94" t="s">
        <v>326</v>
      </c>
      <c r="Z7" s="58">
        <v>5111</v>
      </c>
      <c r="AB7" s="94" t="s">
        <v>326</v>
      </c>
      <c r="AC7" s="58">
        <v>5855</v>
      </c>
      <c r="AE7" s="94" t="s">
        <v>326</v>
      </c>
      <c r="AF7" s="58">
        <v>6575</v>
      </c>
      <c r="AH7" s="94" t="s">
        <v>326</v>
      </c>
      <c r="AI7" s="58">
        <v>7319</v>
      </c>
      <c r="AK7" s="94" t="s">
        <v>326</v>
      </c>
      <c r="AL7" s="58">
        <v>8040</v>
      </c>
    </row>
    <row r="8" spans="1:38">
      <c r="A8" s="94" t="s">
        <v>327</v>
      </c>
      <c r="B8" s="58">
        <v>8784</v>
      </c>
      <c r="D8" s="94" t="s">
        <v>327</v>
      </c>
      <c r="E8" s="58">
        <v>744</v>
      </c>
      <c r="G8" s="94" t="s">
        <v>327</v>
      </c>
      <c r="H8" s="58">
        <v>1440</v>
      </c>
      <c r="J8" s="94" t="s">
        <v>327</v>
      </c>
      <c r="K8" s="58">
        <v>2183</v>
      </c>
      <c r="M8" s="94" t="s">
        <v>327</v>
      </c>
      <c r="N8" s="58">
        <v>2903</v>
      </c>
      <c r="P8" s="94" t="s">
        <v>327</v>
      </c>
      <c r="Q8" s="58">
        <v>3647</v>
      </c>
      <c r="S8" s="94" t="s">
        <v>327</v>
      </c>
      <c r="T8" s="58">
        <v>4367</v>
      </c>
      <c r="V8" s="94" t="s">
        <v>327</v>
      </c>
      <c r="W8" s="58">
        <v>5111</v>
      </c>
      <c r="Y8" s="94" t="s">
        <v>327</v>
      </c>
      <c r="Z8" s="58">
        <v>5855</v>
      </c>
      <c r="AB8" s="94" t="s">
        <v>327</v>
      </c>
      <c r="AC8" s="58">
        <v>6575</v>
      </c>
      <c r="AE8" s="94" t="s">
        <v>327</v>
      </c>
      <c r="AF8" s="58">
        <v>7319</v>
      </c>
      <c r="AH8" s="94" t="s">
        <v>327</v>
      </c>
      <c r="AI8" s="58">
        <v>8040</v>
      </c>
      <c r="AK8" s="94" t="s">
        <v>327</v>
      </c>
      <c r="AL8" s="58">
        <v>8784</v>
      </c>
    </row>
    <row r="9" spans="1:38">
      <c r="A9" t="s">
        <v>293</v>
      </c>
      <c r="B9" s="16" t="s">
        <v>294</v>
      </c>
      <c r="D9" t="s">
        <v>293</v>
      </c>
      <c r="E9" s="16" t="s">
        <v>294</v>
      </c>
      <c r="G9" t="s">
        <v>293</v>
      </c>
      <c r="H9" s="16" t="s">
        <v>294</v>
      </c>
      <c r="J9" t="s">
        <v>293</v>
      </c>
      <c r="K9" s="16" t="s">
        <v>294</v>
      </c>
      <c r="M9" t="s">
        <v>293</v>
      </c>
      <c r="N9" s="16" t="s">
        <v>294</v>
      </c>
      <c r="P9" t="s">
        <v>293</v>
      </c>
      <c r="Q9" s="16" t="s">
        <v>294</v>
      </c>
      <c r="S9" t="s">
        <v>293</v>
      </c>
      <c r="T9" s="16" t="s">
        <v>294</v>
      </c>
      <c r="V9" t="s">
        <v>293</v>
      </c>
      <c r="W9" s="16" t="s">
        <v>294</v>
      </c>
      <c r="Y9" t="s">
        <v>293</v>
      </c>
      <c r="Z9" s="16" t="s">
        <v>294</v>
      </c>
      <c r="AB9" t="s">
        <v>293</v>
      </c>
      <c r="AC9" s="16" t="s">
        <v>294</v>
      </c>
      <c r="AE9" t="s">
        <v>293</v>
      </c>
      <c r="AF9" s="16" t="s">
        <v>294</v>
      </c>
      <c r="AH9" t="s">
        <v>293</v>
      </c>
      <c r="AI9" s="16" t="s">
        <v>294</v>
      </c>
      <c r="AK9" t="s">
        <v>293</v>
      </c>
      <c r="AL9" s="16" t="s">
        <v>294</v>
      </c>
    </row>
    <row r="10" spans="1:38">
      <c r="A10">
        <v>0</v>
      </c>
      <c r="B10">
        <v>22.929136377049176</v>
      </c>
      <c r="D10">
        <v>0</v>
      </c>
      <c r="E10">
        <v>29.751610000000003</v>
      </c>
      <c r="G10">
        <v>0</v>
      </c>
      <c r="H10">
        <v>28.941127724137935</v>
      </c>
      <c r="J10">
        <v>0</v>
      </c>
      <c r="K10">
        <v>21.81035683870968</v>
      </c>
      <c r="M10">
        <v>0</v>
      </c>
      <c r="N10">
        <v>23.31092993333333</v>
      </c>
      <c r="P10">
        <v>0</v>
      </c>
      <c r="Q10">
        <v>21.427285354838713</v>
      </c>
      <c r="S10">
        <v>0</v>
      </c>
      <c r="T10">
        <v>20.346971833333335</v>
      </c>
      <c r="V10">
        <v>0</v>
      </c>
      <c r="W10">
        <v>21.979262806451612</v>
      </c>
      <c r="Y10">
        <v>0</v>
      </c>
      <c r="Z10">
        <v>22.441973129032259</v>
      </c>
      <c r="AB10">
        <v>0</v>
      </c>
      <c r="AC10">
        <v>20.641533866666659</v>
      </c>
      <c r="AE10">
        <v>0</v>
      </c>
      <c r="AF10">
        <v>20.535005741935485</v>
      </c>
      <c r="AH10">
        <v>0</v>
      </c>
      <c r="AI10">
        <v>20.439161500000004</v>
      </c>
      <c r="AK10">
        <v>0</v>
      </c>
      <c r="AL10">
        <v>23.687193096774198</v>
      </c>
    </row>
    <row r="11" spans="1:38">
      <c r="A11">
        <v>1</v>
      </c>
      <c r="B11">
        <v>22.071486229508192</v>
      </c>
      <c r="D11">
        <v>1</v>
      </c>
      <c r="E11">
        <v>29.97725803225806</v>
      </c>
      <c r="G11">
        <v>1</v>
      </c>
      <c r="H11">
        <v>28.252137344827588</v>
      </c>
      <c r="J11">
        <v>1</v>
      </c>
      <c r="K11">
        <v>20.535467193548392</v>
      </c>
      <c r="M11">
        <v>1</v>
      </c>
      <c r="N11">
        <v>23.022927366666671</v>
      </c>
      <c r="P11">
        <v>1</v>
      </c>
      <c r="Q11">
        <v>19.941538419354838</v>
      </c>
      <c r="S11">
        <v>1</v>
      </c>
      <c r="T11">
        <v>19.544011466666671</v>
      </c>
      <c r="V11">
        <v>1</v>
      </c>
      <c r="W11">
        <v>21.335557580645162</v>
      </c>
      <c r="Y11">
        <v>1</v>
      </c>
      <c r="Z11">
        <v>21.206451064516131</v>
      </c>
      <c r="AB11">
        <v>1</v>
      </c>
      <c r="AC11">
        <v>19.240444166666666</v>
      </c>
      <c r="AE11">
        <v>1</v>
      </c>
      <c r="AF11">
        <v>19.289427419354837</v>
      </c>
      <c r="AH11">
        <v>1</v>
      </c>
      <c r="AI11">
        <v>19.032681966666665</v>
      </c>
      <c r="AK11">
        <v>1</v>
      </c>
      <c r="AL11">
        <v>23.638494741935478</v>
      </c>
    </row>
    <row r="12" spans="1:38">
      <c r="A12">
        <v>2</v>
      </c>
      <c r="B12">
        <v>21.708872278688517</v>
      </c>
      <c r="D12">
        <v>2</v>
      </c>
      <c r="E12">
        <v>33.033008290322577</v>
      </c>
      <c r="G12">
        <v>2</v>
      </c>
      <c r="H12">
        <v>28.692919275862064</v>
      </c>
      <c r="J12">
        <v>2</v>
      </c>
      <c r="K12">
        <v>20.086296193548389</v>
      </c>
      <c r="M12">
        <v>2</v>
      </c>
      <c r="N12">
        <v>22.403088633333333</v>
      </c>
      <c r="P12">
        <v>2</v>
      </c>
      <c r="Q12">
        <v>19.065708612903226</v>
      </c>
      <c r="S12">
        <v>2</v>
      </c>
      <c r="T12">
        <v>18.45051143333334</v>
      </c>
      <c r="V12">
        <v>2</v>
      </c>
      <c r="W12">
        <v>20.525851161290319</v>
      </c>
      <c r="Y12">
        <v>2</v>
      </c>
      <c r="Z12">
        <v>20.235922387096775</v>
      </c>
      <c r="AB12">
        <v>2</v>
      </c>
      <c r="AC12">
        <v>17.771423766666668</v>
      </c>
      <c r="AE12">
        <v>2</v>
      </c>
      <c r="AF12">
        <v>18.58090309677419</v>
      </c>
      <c r="AH12">
        <v>2</v>
      </c>
      <c r="AI12">
        <v>17.837857233333335</v>
      </c>
      <c r="AK12">
        <v>2</v>
      </c>
      <c r="AL12">
        <v>23.93896067741936</v>
      </c>
    </row>
    <row r="13" spans="1:38">
      <c r="A13">
        <v>3</v>
      </c>
      <c r="B13">
        <v>21.347347784153015</v>
      </c>
      <c r="D13">
        <v>3</v>
      </c>
      <c r="E13">
        <v>33.727589258064519</v>
      </c>
      <c r="G13">
        <v>3</v>
      </c>
      <c r="H13">
        <v>29.247452999999997</v>
      </c>
      <c r="J13">
        <v>3</v>
      </c>
      <c r="K13">
        <v>20.052776645161295</v>
      </c>
      <c r="M13">
        <v>3</v>
      </c>
      <c r="N13">
        <v>22.039413</v>
      </c>
      <c r="P13">
        <v>3</v>
      </c>
      <c r="Q13">
        <v>18.16410990322581</v>
      </c>
      <c r="S13">
        <v>3</v>
      </c>
      <c r="T13">
        <v>17.3075665</v>
      </c>
      <c r="V13">
        <v>3</v>
      </c>
      <c r="W13">
        <v>19.584311129032255</v>
      </c>
      <c r="Y13">
        <v>3</v>
      </c>
      <c r="Z13">
        <v>19.448496935483867</v>
      </c>
      <c r="AB13">
        <v>3</v>
      </c>
      <c r="AC13">
        <v>16.903865333333332</v>
      </c>
      <c r="AE13">
        <v>3</v>
      </c>
      <c r="AF13">
        <v>18.064931903225798</v>
      </c>
      <c r="AH13">
        <v>3</v>
      </c>
      <c r="AI13">
        <v>17.773144666666671</v>
      </c>
      <c r="AK13">
        <v>3</v>
      </c>
      <c r="AL13">
        <v>23.997573483870966</v>
      </c>
    </row>
    <row r="14" spans="1:38">
      <c r="A14">
        <v>4</v>
      </c>
      <c r="B14">
        <v>21.494711887978156</v>
      </c>
      <c r="D14">
        <v>4</v>
      </c>
      <c r="E14">
        <v>33.922210870967746</v>
      </c>
      <c r="G14">
        <v>4</v>
      </c>
      <c r="H14">
        <v>29.683544206896549</v>
      </c>
      <c r="J14">
        <v>4</v>
      </c>
      <c r="K14">
        <v>20.421247870967736</v>
      </c>
      <c r="M14">
        <v>4</v>
      </c>
      <c r="N14">
        <v>21.962269766666669</v>
      </c>
      <c r="P14">
        <v>4</v>
      </c>
      <c r="Q14">
        <v>18.348780129032257</v>
      </c>
      <c r="S14">
        <v>4</v>
      </c>
      <c r="T14">
        <v>17.493647133333333</v>
      </c>
      <c r="V14">
        <v>4</v>
      </c>
      <c r="W14">
        <v>19.154996161290327</v>
      </c>
      <c r="Y14">
        <v>4</v>
      </c>
      <c r="Z14">
        <v>19.010529741935475</v>
      </c>
      <c r="AB14">
        <v>4</v>
      </c>
      <c r="AC14">
        <v>16.643925799999998</v>
      </c>
      <c r="AE14">
        <v>4</v>
      </c>
      <c r="AF14">
        <v>18.486075419354837</v>
      </c>
      <c r="AH14">
        <v>4</v>
      </c>
      <c r="AI14">
        <v>18.486755733333325</v>
      </c>
      <c r="AK14">
        <v>4</v>
      </c>
      <c r="AL14">
        <v>24.483379677419357</v>
      </c>
    </row>
    <row r="15" spans="1:38">
      <c r="A15">
        <v>5</v>
      </c>
      <c r="B15">
        <v>22.989483046448097</v>
      </c>
      <c r="D15">
        <v>5</v>
      </c>
      <c r="E15">
        <v>35.211180709677407</v>
      </c>
      <c r="G15">
        <v>5</v>
      </c>
      <c r="H15">
        <v>31.472807517241378</v>
      </c>
      <c r="J15">
        <v>5</v>
      </c>
      <c r="K15">
        <v>21.945831548387098</v>
      </c>
      <c r="M15">
        <v>5</v>
      </c>
      <c r="N15">
        <v>22.437054066666672</v>
      </c>
      <c r="P15">
        <v>5</v>
      </c>
      <c r="Q15">
        <v>19.826432903225808</v>
      </c>
      <c r="S15">
        <v>5</v>
      </c>
      <c r="T15">
        <v>18.486111233333336</v>
      </c>
      <c r="V15">
        <v>5</v>
      </c>
      <c r="W15">
        <v>20.304023451612903</v>
      </c>
      <c r="Y15">
        <v>5</v>
      </c>
      <c r="Z15">
        <v>20.119035451612906</v>
      </c>
      <c r="AB15">
        <v>5</v>
      </c>
      <c r="AC15">
        <v>19.422311766666663</v>
      </c>
      <c r="AE15">
        <v>5</v>
      </c>
      <c r="AF15">
        <v>20.513926580645162</v>
      </c>
      <c r="AH15">
        <v>5</v>
      </c>
      <c r="AI15">
        <v>20.787376566666673</v>
      </c>
      <c r="AK15">
        <v>5</v>
      </c>
      <c r="AL15">
        <v>25.54581993548387</v>
      </c>
    </row>
    <row r="16" spans="1:38">
      <c r="A16">
        <v>6</v>
      </c>
      <c r="B16">
        <v>25.639101939890693</v>
      </c>
      <c r="D16">
        <v>6</v>
      </c>
      <c r="E16">
        <v>41.380799387096779</v>
      </c>
      <c r="G16">
        <v>6</v>
      </c>
      <c r="H16">
        <v>35.889955241379312</v>
      </c>
      <c r="J16">
        <v>6</v>
      </c>
      <c r="K16">
        <v>25.043785354838715</v>
      </c>
      <c r="M16">
        <v>6</v>
      </c>
      <c r="N16">
        <v>23.724328466666659</v>
      </c>
      <c r="P16">
        <v>6</v>
      </c>
      <c r="Q16">
        <v>22.113066903225803</v>
      </c>
      <c r="S16">
        <v>6</v>
      </c>
      <c r="T16">
        <v>20.230430700000003</v>
      </c>
      <c r="V16">
        <v>6</v>
      </c>
      <c r="W16">
        <v>22.591730193548393</v>
      </c>
      <c r="Y16">
        <v>6</v>
      </c>
      <c r="Z16">
        <v>22.366404451612901</v>
      </c>
      <c r="AB16">
        <v>6</v>
      </c>
      <c r="AC16">
        <v>21.436174733333328</v>
      </c>
      <c r="AE16">
        <v>6</v>
      </c>
      <c r="AF16">
        <v>22.708951129032254</v>
      </c>
      <c r="AH16">
        <v>6</v>
      </c>
      <c r="AI16">
        <v>23.726064266666665</v>
      </c>
      <c r="AK16">
        <v>6</v>
      </c>
      <c r="AL16">
        <v>26.685348483870968</v>
      </c>
    </row>
    <row r="17" spans="1:38">
      <c r="A17">
        <v>7</v>
      </c>
      <c r="B17">
        <v>27.988207382513668</v>
      </c>
      <c r="D17">
        <v>7</v>
      </c>
      <c r="E17">
        <v>44.725033516129045</v>
      </c>
      <c r="G17">
        <v>7</v>
      </c>
      <c r="H17">
        <v>39.507766034482756</v>
      </c>
      <c r="J17">
        <v>7</v>
      </c>
      <c r="K17">
        <v>26.503607354838707</v>
      </c>
      <c r="M17">
        <v>7</v>
      </c>
      <c r="N17">
        <v>24.837682666666669</v>
      </c>
      <c r="P17">
        <v>7</v>
      </c>
      <c r="Q17">
        <v>24.353872774193544</v>
      </c>
      <c r="S17">
        <v>7</v>
      </c>
      <c r="T17">
        <v>22.579299699999996</v>
      </c>
      <c r="V17">
        <v>7</v>
      </c>
      <c r="W17">
        <v>25.28727570967742</v>
      </c>
      <c r="Y17">
        <v>7</v>
      </c>
      <c r="Z17">
        <v>25.197733290322581</v>
      </c>
      <c r="AB17">
        <v>7</v>
      </c>
      <c r="AC17">
        <v>24.17124703333333</v>
      </c>
      <c r="AE17">
        <v>7</v>
      </c>
      <c r="AF17">
        <v>25.241867838709673</v>
      </c>
      <c r="AH17">
        <v>7</v>
      </c>
      <c r="AI17">
        <v>25.336375166666663</v>
      </c>
      <c r="AK17">
        <v>7</v>
      </c>
      <c r="AL17">
        <v>28.375143387096767</v>
      </c>
    </row>
    <row r="18" spans="1:38">
      <c r="A18">
        <v>8</v>
      </c>
      <c r="B18">
        <v>28.5730318989071</v>
      </c>
      <c r="D18">
        <v>8</v>
      </c>
      <c r="E18">
        <v>43.107150290322586</v>
      </c>
      <c r="G18">
        <v>8</v>
      </c>
      <c r="H18">
        <v>38.702360344827589</v>
      </c>
      <c r="J18">
        <v>8</v>
      </c>
      <c r="K18">
        <v>26.965411806451613</v>
      </c>
      <c r="M18">
        <v>8</v>
      </c>
      <c r="N18">
        <v>25.872929266666667</v>
      </c>
      <c r="P18">
        <v>8</v>
      </c>
      <c r="Q18">
        <v>25.426182064516137</v>
      </c>
      <c r="S18">
        <v>8</v>
      </c>
      <c r="T18">
        <v>23.287333233333335</v>
      </c>
      <c r="V18">
        <v>8</v>
      </c>
      <c r="W18">
        <v>27.307433870967738</v>
      </c>
      <c r="Y18">
        <v>8</v>
      </c>
      <c r="Z18">
        <v>26.84346129032258</v>
      </c>
      <c r="AB18">
        <v>8</v>
      </c>
      <c r="AC18">
        <v>25.653985533333337</v>
      </c>
      <c r="AE18">
        <v>8</v>
      </c>
      <c r="AF18">
        <v>26.244018774193545</v>
      </c>
      <c r="AH18">
        <v>8</v>
      </c>
      <c r="AI18">
        <v>25.485507866666669</v>
      </c>
      <c r="AK18">
        <v>8</v>
      </c>
      <c r="AL18">
        <v>28.182746677419356</v>
      </c>
    </row>
    <row r="19" spans="1:38">
      <c r="A19">
        <v>9</v>
      </c>
      <c r="B19">
        <v>29.341993948087456</v>
      </c>
      <c r="D19">
        <v>9</v>
      </c>
      <c r="E19">
        <v>41.748112193548394</v>
      </c>
      <c r="G19">
        <v>9</v>
      </c>
      <c r="H19">
        <v>39.253645758620685</v>
      </c>
      <c r="J19">
        <v>9</v>
      </c>
      <c r="K19">
        <v>27.189664129032259</v>
      </c>
      <c r="M19">
        <v>9</v>
      </c>
      <c r="N19">
        <v>26.672077233333333</v>
      </c>
      <c r="P19">
        <v>9</v>
      </c>
      <c r="Q19">
        <v>26.839290451612904</v>
      </c>
      <c r="S19">
        <v>9</v>
      </c>
      <c r="T19">
        <v>24.711563266666662</v>
      </c>
      <c r="V19">
        <v>9</v>
      </c>
      <c r="W19">
        <v>28.796780000000005</v>
      </c>
      <c r="Y19">
        <v>9</v>
      </c>
      <c r="Z19">
        <v>29.049184548387096</v>
      </c>
      <c r="AB19">
        <v>9</v>
      </c>
      <c r="AC19">
        <v>26.762339733333327</v>
      </c>
      <c r="AE19">
        <v>9</v>
      </c>
      <c r="AF19">
        <v>27.30020341935484</v>
      </c>
      <c r="AH19">
        <v>9</v>
      </c>
      <c r="AI19">
        <v>25.50333346666666</v>
      </c>
      <c r="AK19">
        <v>9</v>
      </c>
      <c r="AL19">
        <v>28.474657096774187</v>
      </c>
    </row>
    <row r="20" spans="1:38">
      <c r="A20">
        <v>10</v>
      </c>
      <c r="B20">
        <v>29.697345122950821</v>
      </c>
      <c r="D20">
        <v>10</v>
      </c>
      <c r="E20">
        <v>41.202859580645175</v>
      </c>
      <c r="G20">
        <v>10</v>
      </c>
      <c r="H20">
        <v>38.566221689655173</v>
      </c>
      <c r="J20">
        <v>10</v>
      </c>
      <c r="K20">
        <v>27.588938548387102</v>
      </c>
      <c r="M20">
        <v>10</v>
      </c>
      <c r="N20">
        <v>27.236491866666668</v>
      </c>
      <c r="P20">
        <v>10</v>
      </c>
      <c r="Q20">
        <v>27.386336225806449</v>
      </c>
      <c r="S20">
        <v>10</v>
      </c>
      <c r="T20">
        <v>25.46464953333334</v>
      </c>
      <c r="V20">
        <v>10</v>
      </c>
      <c r="W20">
        <v>29.452835774193549</v>
      </c>
      <c r="Y20">
        <v>10</v>
      </c>
      <c r="Z20">
        <v>30.473761677419358</v>
      </c>
      <c r="AB20">
        <v>10</v>
      </c>
      <c r="AC20">
        <v>27.450761166666663</v>
      </c>
      <c r="AE20">
        <v>10</v>
      </c>
      <c r="AF20">
        <v>27.776749258064516</v>
      </c>
      <c r="AH20">
        <v>10</v>
      </c>
      <c r="AI20">
        <v>25.595290299999995</v>
      </c>
      <c r="AK20">
        <v>10</v>
      </c>
      <c r="AL20">
        <v>28.32471570967742</v>
      </c>
    </row>
    <row r="21" spans="1:38">
      <c r="A21">
        <v>11</v>
      </c>
      <c r="B21">
        <v>29.856597491803267</v>
      </c>
      <c r="D21">
        <v>11</v>
      </c>
      <c r="E21">
        <v>40.212925677419364</v>
      </c>
      <c r="G21">
        <v>11</v>
      </c>
      <c r="H21">
        <v>37.932332655172424</v>
      </c>
      <c r="J21">
        <v>11</v>
      </c>
      <c r="K21">
        <v>27.469059677419349</v>
      </c>
      <c r="M21">
        <v>11</v>
      </c>
      <c r="N21">
        <v>27.286665166666662</v>
      </c>
      <c r="P21">
        <v>11</v>
      </c>
      <c r="Q21">
        <v>27.568736774193553</v>
      </c>
      <c r="S21">
        <v>11</v>
      </c>
      <c r="T21">
        <v>26.563984066666663</v>
      </c>
      <c r="V21">
        <v>11</v>
      </c>
      <c r="W21">
        <v>30.408919193548385</v>
      </c>
      <c r="Y21">
        <v>11</v>
      </c>
      <c r="Z21">
        <v>31.604986354838715</v>
      </c>
      <c r="AB21">
        <v>11</v>
      </c>
      <c r="AC21">
        <v>28.133477666666661</v>
      </c>
      <c r="AE21">
        <v>11</v>
      </c>
      <c r="AF21">
        <v>27.931953677419362</v>
      </c>
      <c r="AH21">
        <v>11</v>
      </c>
      <c r="AI21">
        <v>25.509880066666661</v>
      </c>
      <c r="AK21">
        <v>11</v>
      </c>
      <c r="AL21">
        <v>27.792348516129028</v>
      </c>
    </row>
    <row r="22" spans="1:38">
      <c r="A22">
        <v>12</v>
      </c>
      <c r="B22">
        <v>29.775746224043719</v>
      </c>
      <c r="D22">
        <v>12</v>
      </c>
      <c r="E22">
        <v>39.672632774193545</v>
      </c>
      <c r="G22">
        <v>12</v>
      </c>
      <c r="H22">
        <v>38.178855034482758</v>
      </c>
      <c r="J22">
        <v>12</v>
      </c>
      <c r="K22">
        <v>26.606230032258068</v>
      </c>
      <c r="M22">
        <v>12</v>
      </c>
      <c r="N22">
        <v>27.145077400000002</v>
      </c>
      <c r="P22">
        <v>12</v>
      </c>
      <c r="Q22">
        <v>27.566405838709677</v>
      </c>
      <c r="S22">
        <v>12</v>
      </c>
      <c r="T22">
        <v>26.261293033333335</v>
      </c>
      <c r="V22">
        <v>12</v>
      </c>
      <c r="W22">
        <v>31.047467548387093</v>
      </c>
      <c r="Y22">
        <v>12</v>
      </c>
      <c r="Z22">
        <v>32.092442451612904</v>
      </c>
      <c r="AB22">
        <v>12</v>
      </c>
      <c r="AC22">
        <v>28.397370500000005</v>
      </c>
      <c r="AE22">
        <v>12</v>
      </c>
      <c r="AF22">
        <v>27.9081424516129</v>
      </c>
      <c r="AH22">
        <v>12</v>
      </c>
      <c r="AI22">
        <v>25.245538933333339</v>
      </c>
      <c r="AK22">
        <v>12</v>
      </c>
      <c r="AL22">
        <v>27.340805548387092</v>
      </c>
    </row>
    <row r="23" spans="1:38">
      <c r="A23">
        <v>13</v>
      </c>
      <c r="B23">
        <v>29.720305163934427</v>
      </c>
      <c r="D23">
        <v>13</v>
      </c>
      <c r="E23">
        <v>39.312608483870967</v>
      </c>
      <c r="G23">
        <v>13</v>
      </c>
      <c r="H23">
        <v>37.825818275862076</v>
      </c>
      <c r="J23">
        <v>13</v>
      </c>
      <c r="K23">
        <v>26.168019516129036</v>
      </c>
      <c r="M23">
        <v>13</v>
      </c>
      <c r="N23">
        <v>26.954509833333336</v>
      </c>
      <c r="P23">
        <v>13</v>
      </c>
      <c r="Q23">
        <v>27.454523935483873</v>
      </c>
      <c r="S23">
        <v>13</v>
      </c>
      <c r="T23">
        <v>25.979298233333338</v>
      </c>
      <c r="V23">
        <v>13</v>
      </c>
      <c r="W23">
        <v>31.38144787096774</v>
      </c>
      <c r="Y23">
        <v>13</v>
      </c>
      <c r="Z23">
        <v>33.353567774193543</v>
      </c>
      <c r="AB23">
        <v>13</v>
      </c>
      <c r="AC23">
        <v>28.698258733333329</v>
      </c>
      <c r="AE23">
        <v>13</v>
      </c>
      <c r="AF23">
        <v>27.796916354838704</v>
      </c>
      <c r="AH23">
        <v>13</v>
      </c>
      <c r="AI23">
        <v>25.088443333333331</v>
      </c>
      <c r="AK23">
        <v>13</v>
      </c>
      <c r="AL23">
        <v>26.760904967741936</v>
      </c>
    </row>
    <row r="24" spans="1:38">
      <c r="A24">
        <v>14</v>
      </c>
      <c r="B24">
        <v>29.473968704918047</v>
      </c>
      <c r="D24">
        <v>14</v>
      </c>
      <c r="E24">
        <v>38.446054096774198</v>
      </c>
      <c r="G24">
        <v>14</v>
      </c>
      <c r="H24">
        <v>36.112757551724144</v>
      </c>
      <c r="J24">
        <v>14</v>
      </c>
      <c r="K24">
        <v>25.452298032258071</v>
      </c>
      <c r="M24">
        <v>14</v>
      </c>
      <c r="N24">
        <v>26.770406600000005</v>
      </c>
      <c r="P24">
        <v>14</v>
      </c>
      <c r="Q24">
        <v>27.109367935483874</v>
      </c>
      <c r="S24">
        <v>14</v>
      </c>
      <c r="T24">
        <v>26.41883776666667</v>
      </c>
      <c r="V24">
        <v>14</v>
      </c>
      <c r="W24">
        <v>31.933331129032254</v>
      </c>
      <c r="Y24">
        <v>14</v>
      </c>
      <c r="Z24">
        <v>34.241011258064525</v>
      </c>
      <c r="AB24">
        <v>14</v>
      </c>
      <c r="AC24">
        <v>28.744548133333335</v>
      </c>
      <c r="AE24">
        <v>14</v>
      </c>
      <c r="AF24">
        <v>27.535628806451619</v>
      </c>
      <c r="AH24">
        <v>14</v>
      </c>
      <c r="AI24">
        <v>24.864845466666665</v>
      </c>
      <c r="AK24">
        <v>14</v>
      </c>
      <c r="AL24">
        <v>26.12887125806451</v>
      </c>
    </row>
    <row r="25" spans="1:38">
      <c r="A25">
        <v>15</v>
      </c>
      <c r="B25">
        <v>29.433101060109276</v>
      </c>
      <c r="D25">
        <v>15</v>
      </c>
      <c r="E25">
        <v>39.282232129032266</v>
      </c>
      <c r="G25">
        <v>15</v>
      </c>
      <c r="H25">
        <v>35.312805241379309</v>
      </c>
      <c r="J25">
        <v>15</v>
      </c>
      <c r="K25">
        <v>25.1912925483871</v>
      </c>
      <c r="M25">
        <v>15</v>
      </c>
      <c r="N25">
        <v>26.493082866666672</v>
      </c>
      <c r="P25">
        <v>15</v>
      </c>
      <c r="Q25">
        <v>26.760234806451617</v>
      </c>
      <c r="S25">
        <v>15</v>
      </c>
      <c r="T25">
        <v>26.250845366666663</v>
      </c>
      <c r="V25">
        <v>15</v>
      </c>
      <c r="W25">
        <v>32.223108677419361</v>
      </c>
      <c r="Y25">
        <v>15</v>
      </c>
      <c r="Z25">
        <v>33.941143903225814</v>
      </c>
      <c r="AB25">
        <v>15</v>
      </c>
      <c r="AC25">
        <v>28.715274733333338</v>
      </c>
      <c r="AE25">
        <v>15</v>
      </c>
      <c r="AF25">
        <v>27.321702838709676</v>
      </c>
      <c r="AH25">
        <v>15</v>
      </c>
      <c r="AI25">
        <v>24.845942200000003</v>
      </c>
      <c r="AK25">
        <v>15</v>
      </c>
      <c r="AL25">
        <v>26.870261903225806</v>
      </c>
    </row>
    <row r="26" spans="1:38">
      <c r="A26">
        <v>16</v>
      </c>
      <c r="B26">
        <v>30.122100718579233</v>
      </c>
      <c r="D26">
        <v>16</v>
      </c>
      <c r="E26">
        <v>40.786434419354848</v>
      </c>
      <c r="G26">
        <v>16</v>
      </c>
      <c r="H26">
        <v>36.059638551724142</v>
      </c>
      <c r="J26">
        <v>16</v>
      </c>
      <c r="K26">
        <v>25.561957258064513</v>
      </c>
      <c r="M26">
        <v>16</v>
      </c>
      <c r="N26">
        <v>26.557976299999996</v>
      </c>
      <c r="P26">
        <v>16</v>
      </c>
      <c r="Q26">
        <v>26.96198941935484</v>
      </c>
      <c r="S26">
        <v>16</v>
      </c>
      <c r="T26">
        <v>26.164388499999994</v>
      </c>
      <c r="V26">
        <v>16</v>
      </c>
      <c r="W26">
        <v>32.79169303225806</v>
      </c>
      <c r="Y26">
        <v>16</v>
      </c>
      <c r="Z26">
        <v>35.576661677419359</v>
      </c>
      <c r="AB26">
        <v>16</v>
      </c>
      <c r="AC26">
        <v>28.972671800000001</v>
      </c>
      <c r="AE26">
        <v>16</v>
      </c>
      <c r="AF26">
        <v>27.651247483870971</v>
      </c>
      <c r="AH26">
        <v>16</v>
      </c>
      <c r="AI26">
        <v>25.396392499999997</v>
      </c>
      <c r="AK26">
        <v>16</v>
      </c>
      <c r="AL26">
        <v>28.935064193548392</v>
      </c>
    </row>
    <row r="27" spans="1:38">
      <c r="A27">
        <v>17</v>
      </c>
      <c r="B27">
        <v>30.519524587431693</v>
      </c>
      <c r="D27">
        <v>17</v>
      </c>
      <c r="E27">
        <v>41.911222225806434</v>
      </c>
      <c r="G27">
        <v>17</v>
      </c>
      <c r="H27">
        <v>36.936301517241375</v>
      </c>
      <c r="J27">
        <v>17</v>
      </c>
      <c r="K27">
        <v>26.047800129032254</v>
      </c>
      <c r="M27">
        <v>17</v>
      </c>
      <c r="N27">
        <v>26.585696066666671</v>
      </c>
      <c r="P27">
        <v>17</v>
      </c>
      <c r="Q27">
        <v>26.924744516129035</v>
      </c>
      <c r="S27">
        <v>17</v>
      </c>
      <c r="T27">
        <v>25.902763933333336</v>
      </c>
      <c r="V27">
        <v>17</v>
      </c>
      <c r="W27">
        <v>32.119220483870961</v>
      </c>
      <c r="Y27">
        <v>17</v>
      </c>
      <c r="Z27">
        <v>34.338068548387092</v>
      </c>
      <c r="AB27">
        <v>17</v>
      </c>
      <c r="AC27">
        <v>28.469945966666668</v>
      </c>
      <c r="AE27">
        <v>17</v>
      </c>
      <c r="AF27">
        <v>28.194673451612903</v>
      </c>
      <c r="AH27">
        <v>17</v>
      </c>
      <c r="AI27">
        <v>26.40805193333334</v>
      </c>
      <c r="AK27">
        <v>17</v>
      </c>
      <c r="AL27">
        <v>32.335222838709676</v>
      </c>
    </row>
    <row r="28" spans="1:38">
      <c r="A28">
        <v>18</v>
      </c>
      <c r="B28">
        <v>30.388937948087431</v>
      </c>
      <c r="D28">
        <v>18</v>
      </c>
      <c r="E28">
        <v>42.786059354838706</v>
      </c>
      <c r="G28">
        <v>18</v>
      </c>
      <c r="H28">
        <v>38.750355965517244</v>
      </c>
      <c r="J28">
        <v>18</v>
      </c>
      <c r="K28">
        <v>26.940106387096776</v>
      </c>
      <c r="M28">
        <v>18</v>
      </c>
      <c r="N28">
        <v>26.84060573333333</v>
      </c>
      <c r="P28">
        <v>18</v>
      </c>
      <c r="Q28">
        <v>26.158169677419359</v>
      </c>
      <c r="S28">
        <v>18</v>
      </c>
      <c r="T28">
        <v>25.270926866666674</v>
      </c>
      <c r="V28">
        <v>18</v>
      </c>
      <c r="W28">
        <v>30.585094161290318</v>
      </c>
      <c r="Y28">
        <v>18</v>
      </c>
      <c r="Z28">
        <v>32.101965064516136</v>
      </c>
      <c r="AB28">
        <v>18</v>
      </c>
      <c r="AC28">
        <v>27.818282299999996</v>
      </c>
      <c r="AE28">
        <v>18</v>
      </c>
      <c r="AF28">
        <v>29.046923580645164</v>
      </c>
      <c r="AH28">
        <v>18</v>
      </c>
      <c r="AI28">
        <v>26.429485133333326</v>
      </c>
      <c r="AK28">
        <v>18</v>
      </c>
      <c r="AL28">
        <v>31.988519354838711</v>
      </c>
    </row>
    <row r="29" spans="1:38">
      <c r="A29">
        <v>19</v>
      </c>
      <c r="B29">
        <v>30.117187207650243</v>
      </c>
      <c r="D29">
        <v>19</v>
      </c>
      <c r="E29">
        <v>43.03511896774193</v>
      </c>
      <c r="G29">
        <v>19</v>
      </c>
      <c r="H29">
        <v>38.800100862068959</v>
      </c>
      <c r="J29">
        <v>19</v>
      </c>
      <c r="K29">
        <v>27.455270064516132</v>
      </c>
      <c r="M29">
        <v>19</v>
      </c>
      <c r="N29">
        <v>27.141219499999995</v>
      </c>
      <c r="P29">
        <v>19</v>
      </c>
      <c r="Q29">
        <v>25.850738516129031</v>
      </c>
      <c r="S29">
        <v>19</v>
      </c>
      <c r="T29">
        <v>25.301166833333323</v>
      </c>
      <c r="V29">
        <v>19</v>
      </c>
      <c r="W29">
        <v>29.340075064516125</v>
      </c>
      <c r="Y29">
        <v>19</v>
      </c>
      <c r="Z29">
        <v>30.591293774193542</v>
      </c>
      <c r="AB29">
        <v>19</v>
      </c>
      <c r="AC29">
        <v>27.900718233333333</v>
      </c>
      <c r="AE29">
        <v>19</v>
      </c>
      <c r="AF29">
        <v>29.061828903225802</v>
      </c>
      <c r="AH29">
        <v>19</v>
      </c>
      <c r="AI29">
        <v>25.94687983333333</v>
      </c>
      <c r="AK29">
        <v>19</v>
      </c>
      <c r="AL29">
        <v>31.084644419354834</v>
      </c>
    </row>
    <row r="30" spans="1:38">
      <c r="A30">
        <v>20</v>
      </c>
      <c r="B30">
        <v>29.725427926229511</v>
      </c>
      <c r="D30">
        <v>20</v>
      </c>
      <c r="E30">
        <v>42.119828516129033</v>
      </c>
      <c r="G30">
        <v>20</v>
      </c>
      <c r="H30">
        <v>38.523095241379309</v>
      </c>
      <c r="J30">
        <v>20</v>
      </c>
      <c r="K30">
        <v>27.306871032258066</v>
      </c>
      <c r="M30">
        <v>20</v>
      </c>
      <c r="N30">
        <v>27.498008299999999</v>
      </c>
      <c r="P30">
        <v>20</v>
      </c>
      <c r="Q30">
        <v>26.534373290322588</v>
      </c>
      <c r="S30">
        <v>20</v>
      </c>
      <c r="T30">
        <v>25.119282933333334</v>
      </c>
      <c r="V30">
        <v>20</v>
      </c>
      <c r="W30">
        <v>28.885968419354842</v>
      </c>
      <c r="Y30">
        <v>20</v>
      </c>
      <c r="Z30">
        <v>30.256457096774188</v>
      </c>
      <c r="AB30">
        <v>20</v>
      </c>
      <c r="AC30">
        <v>27.65899116666667</v>
      </c>
      <c r="AE30">
        <v>20</v>
      </c>
      <c r="AF30">
        <v>28.041631838709673</v>
      </c>
      <c r="AH30">
        <v>20</v>
      </c>
      <c r="AI30">
        <v>25.164087800000001</v>
      </c>
      <c r="AK30">
        <v>20</v>
      </c>
      <c r="AL30">
        <v>29.729894096774188</v>
      </c>
    </row>
    <row r="31" spans="1:38">
      <c r="A31">
        <v>21</v>
      </c>
      <c r="B31">
        <v>28.879765254098356</v>
      </c>
      <c r="D31">
        <v>21</v>
      </c>
      <c r="E31">
        <v>42.35177509677419</v>
      </c>
      <c r="G31">
        <v>21</v>
      </c>
      <c r="H31">
        <v>37.549667517241382</v>
      </c>
      <c r="J31">
        <v>21</v>
      </c>
      <c r="K31">
        <v>26.246357741935487</v>
      </c>
      <c r="M31">
        <v>21</v>
      </c>
      <c r="N31">
        <v>26.389439066666668</v>
      </c>
      <c r="P31">
        <v>21</v>
      </c>
      <c r="Q31">
        <v>26.430947774193545</v>
      </c>
      <c r="S31">
        <v>21</v>
      </c>
      <c r="T31">
        <v>25.065828266666664</v>
      </c>
      <c r="V31">
        <v>21</v>
      </c>
      <c r="W31">
        <v>28.421097000000007</v>
      </c>
      <c r="Y31">
        <v>21</v>
      </c>
      <c r="Z31">
        <v>28.812420741935483</v>
      </c>
      <c r="AB31">
        <v>21</v>
      </c>
      <c r="AC31">
        <v>26.453162866666663</v>
      </c>
      <c r="AE31">
        <v>21</v>
      </c>
      <c r="AF31">
        <v>26.556981032258062</v>
      </c>
      <c r="AH31">
        <v>21</v>
      </c>
      <c r="AI31">
        <v>24.403664866666663</v>
      </c>
      <c r="AK31">
        <v>21</v>
      </c>
      <c r="AL31">
        <v>28.009158451612898</v>
      </c>
    </row>
    <row r="32" spans="1:38">
      <c r="A32">
        <v>22</v>
      </c>
      <c r="B32">
        <v>26.738214915300542</v>
      </c>
      <c r="D32">
        <v>22</v>
      </c>
      <c r="E32">
        <v>39.333252645161295</v>
      </c>
      <c r="G32">
        <v>22</v>
      </c>
      <c r="H32">
        <v>33.642386482758617</v>
      </c>
      <c r="J32">
        <v>22</v>
      </c>
      <c r="K32">
        <v>24.81448538709677</v>
      </c>
      <c r="M32">
        <v>22</v>
      </c>
      <c r="N32">
        <v>24.846009233333334</v>
      </c>
      <c r="P32">
        <v>22</v>
      </c>
      <c r="Q32">
        <v>25.146374290322576</v>
      </c>
      <c r="S32">
        <v>22</v>
      </c>
      <c r="T32">
        <v>24.244118766666666</v>
      </c>
      <c r="V32">
        <v>22</v>
      </c>
      <c r="W32">
        <v>25.981625354838709</v>
      </c>
      <c r="Y32">
        <v>22</v>
      </c>
      <c r="Z32">
        <v>26.028632935483866</v>
      </c>
      <c r="AB32">
        <v>22</v>
      </c>
      <c r="AC32">
        <v>23.882707133333334</v>
      </c>
      <c r="AE32">
        <v>22</v>
      </c>
      <c r="AF32">
        <v>23.822941161290323</v>
      </c>
      <c r="AH32">
        <v>22</v>
      </c>
      <c r="AI32">
        <v>23.351842166666668</v>
      </c>
      <c r="AK32">
        <v>22</v>
      </c>
      <c r="AL32">
        <v>25.866789258064514</v>
      </c>
    </row>
    <row r="33" spans="1:38">
      <c r="A33">
        <v>23</v>
      </c>
      <c r="B33">
        <v>24.355759975409832</v>
      </c>
      <c r="D33">
        <v>23</v>
      </c>
      <c r="E33">
        <v>33.364037225806449</v>
      </c>
      <c r="G33">
        <v>23</v>
      </c>
      <c r="H33">
        <v>30.85449465517241</v>
      </c>
      <c r="J33">
        <v>23</v>
      </c>
      <c r="K33">
        <v>23.138142666666667</v>
      </c>
      <c r="M33">
        <v>23</v>
      </c>
      <c r="N33">
        <v>23.758760433333332</v>
      </c>
      <c r="P33">
        <v>23</v>
      </c>
      <c r="Q33">
        <v>22.766301000000002</v>
      </c>
      <c r="S33">
        <v>23</v>
      </c>
      <c r="T33">
        <v>21.881811966666668</v>
      </c>
      <c r="V33">
        <v>23</v>
      </c>
      <c r="W33">
        <v>23.193840419354835</v>
      </c>
      <c r="Y33">
        <v>23</v>
      </c>
      <c r="Z33">
        <v>23.888727161290326</v>
      </c>
      <c r="AB33">
        <v>23</v>
      </c>
      <c r="AC33">
        <v>21.253152933333336</v>
      </c>
      <c r="AE33">
        <v>23</v>
      </c>
      <c r="AF33">
        <v>21.974466258064506</v>
      </c>
      <c r="AH33">
        <v>23</v>
      </c>
      <c r="AI33">
        <v>21.788126645161288</v>
      </c>
      <c r="AK33">
        <v>23</v>
      </c>
      <c r="AL33">
        <v>24.58810664516129</v>
      </c>
    </row>
    <row r="34" spans="1:38">
      <c r="A34" t="s">
        <v>328</v>
      </c>
      <c r="B34">
        <v>27.203639794740436</v>
      </c>
      <c r="D34" t="s">
        <v>328</v>
      </c>
      <c r="E34">
        <v>38.766708072580649</v>
      </c>
      <c r="G34" t="s">
        <v>328</v>
      </c>
      <c r="H34">
        <v>35.195356153735631</v>
      </c>
      <c r="J34" t="s">
        <v>328</v>
      </c>
      <c r="K34">
        <v>24.855886414874551</v>
      </c>
      <c r="M34" t="s">
        <v>328</v>
      </c>
      <c r="N34">
        <v>25.324443698611116</v>
      </c>
      <c r="P34" t="s">
        <v>328</v>
      </c>
      <c r="Q34">
        <v>24.421896313172038</v>
      </c>
      <c r="S34" t="s">
        <v>328</v>
      </c>
      <c r="T34">
        <v>23.263610106944444</v>
      </c>
      <c r="V34" t="s">
        <v>328</v>
      </c>
      <c r="W34">
        <v>26.859706091397854</v>
      </c>
      <c r="Y34" t="s">
        <v>328</v>
      </c>
      <c r="Z34">
        <v>27.634180529569893</v>
      </c>
      <c r="AB34" t="s">
        <v>328</v>
      </c>
      <c r="AC34">
        <v>24.633190627777779</v>
      </c>
      <c r="AE34" t="s">
        <v>328</v>
      </c>
      <c r="AF34">
        <v>24.899462434139778</v>
      </c>
      <c r="AH34" t="s">
        <v>328</v>
      </c>
      <c r="AI34">
        <v>23.518613733826168</v>
      </c>
      <c r="AK34" t="s">
        <v>328</v>
      </c>
      <c r="AL34">
        <v>27.19852601747311</v>
      </c>
    </row>
    <row r="37" spans="1:38">
      <c r="A37" s="94">
        <v>2017</v>
      </c>
      <c r="B37" s="99" t="s">
        <v>325</v>
      </c>
      <c r="D37">
        <v>1</v>
      </c>
      <c r="E37" s="99" t="s">
        <v>316</v>
      </c>
      <c r="G37">
        <v>2</v>
      </c>
      <c r="H37" s="99" t="s">
        <v>316</v>
      </c>
      <c r="J37">
        <v>3</v>
      </c>
      <c r="K37" s="99" t="s">
        <v>316</v>
      </c>
      <c r="M37">
        <v>4</v>
      </c>
      <c r="N37" s="99" t="s">
        <v>316</v>
      </c>
      <c r="P37">
        <v>5</v>
      </c>
      <c r="Q37" s="99" t="s">
        <v>316</v>
      </c>
      <c r="S37">
        <v>6</v>
      </c>
      <c r="T37" s="99" t="s">
        <v>316</v>
      </c>
      <c r="V37">
        <v>7</v>
      </c>
      <c r="W37" s="99" t="s">
        <v>316</v>
      </c>
      <c r="Y37">
        <v>8</v>
      </c>
      <c r="Z37" s="99" t="s">
        <v>316</v>
      </c>
      <c r="AB37">
        <v>9</v>
      </c>
      <c r="AC37" s="99" t="s">
        <v>316</v>
      </c>
      <c r="AE37">
        <v>10</v>
      </c>
      <c r="AF37" s="99" t="s">
        <v>316</v>
      </c>
      <c r="AH37">
        <v>11</v>
      </c>
      <c r="AI37" s="99" t="s">
        <v>316</v>
      </c>
      <c r="AK37">
        <v>12</v>
      </c>
      <c r="AL37" s="99" t="s">
        <v>316</v>
      </c>
    </row>
    <row r="38" spans="1:38">
      <c r="A38" s="94" t="s">
        <v>308</v>
      </c>
      <c r="B38" s="58">
        <v>8760</v>
      </c>
      <c r="D38" s="94" t="s">
        <v>397</v>
      </c>
      <c r="E38" s="58">
        <v>744</v>
      </c>
      <c r="G38" s="94" t="s">
        <v>398</v>
      </c>
      <c r="H38" s="58">
        <v>672</v>
      </c>
      <c r="J38" s="94" t="s">
        <v>399</v>
      </c>
      <c r="K38" s="58">
        <v>743</v>
      </c>
      <c r="M38" s="94" t="s">
        <v>400</v>
      </c>
      <c r="N38" s="58">
        <v>720</v>
      </c>
      <c r="P38" s="94" t="s">
        <v>401</v>
      </c>
      <c r="Q38" s="58">
        <v>744</v>
      </c>
      <c r="S38" s="94" t="s">
        <v>402</v>
      </c>
      <c r="T38" s="58">
        <v>720</v>
      </c>
      <c r="V38" s="94" t="s">
        <v>403</v>
      </c>
      <c r="W38" s="58">
        <v>744</v>
      </c>
      <c r="Y38" s="94" t="s">
        <v>404</v>
      </c>
      <c r="Z38" s="58">
        <v>744</v>
      </c>
      <c r="AB38" s="94" t="s">
        <v>405</v>
      </c>
      <c r="AC38" s="58">
        <v>720</v>
      </c>
      <c r="AE38" s="94" t="s">
        <v>406</v>
      </c>
      <c r="AF38" s="58">
        <v>744</v>
      </c>
      <c r="AH38" s="94" t="s">
        <v>407</v>
      </c>
      <c r="AI38" s="58">
        <v>721</v>
      </c>
      <c r="AK38" s="94" t="s">
        <v>408</v>
      </c>
      <c r="AL38" s="58">
        <v>744</v>
      </c>
    </row>
    <row r="39" spans="1:38">
      <c r="A39" s="94" t="s">
        <v>326</v>
      </c>
      <c r="B39" s="58">
        <v>0</v>
      </c>
      <c r="D39" s="94" t="s">
        <v>326</v>
      </c>
      <c r="E39" s="58">
        <v>0</v>
      </c>
      <c r="G39" s="94" t="s">
        <v>326</v>
      </c>
      <c r="H39" s="58">
        <v>744</v>
      </c>
      <c r="J39" s="94" t="s">
        <v>326</v>
      </c>
      <c r="K39" s="58">
        <v>1416</v>
      </c>
      <c r="M39" s="94" t="s">
        <v>326</v>
      </c>
      <c r="N39" s="58">
        <v>2159</v>
      </c>
      <c r="P39" s="94" t="s">
        <v>326</v>
      </c>
      <c r="Q39" s="58">
        <v>2879</v>
      </c>
      <c r="S39" s="94" t="s">
        <v>326</v>
      </c>
      <c r="T39" s="58">
        <v>3623</v>
      </c>
      <c r="V39" s="94" t="s">
        <v>326</v>
      </c>
      <c r="W39" s="58">
        <v>4343</v>
      </c>
      <c r="Y39" s="94" t="s">
        <v>326</v>
      </c>
      <c r="Z39" s="58">
        <v>5087</v>
      </c>
      <c r="AB39" s="94" t="s">
        <v>326</v>
      </c>
      <c r="AC39" s="58">
        <v>5831</v>
      </c>
      <c r="AE39" s="94" t="s">
        <v>326</v>
      </c>
      <c r="AF39" s="58">
        <v>6551</v>
      </c>
      <c r="AH39" s="94" t="s">
        <v>326</v>
      </c>
      <c r="AI39" s="58">
        <v>7295</v>
      </c>
      <c r="AK39" s="94" t="s">
        <v>326</v>
      </c>
      <c r="AL39" s="58">
        <v>8016</v>
      </c>
    </row>
    <row r="40" spans="1:38">
      <c r="A40" s="94" t="s">
        <v>327</v>
      </c>
      <c r="B40" s="58">
        <v>8760</v>
      </c>
      <c r="D40" s="94" t="s">
        <v>327</v>
      </c>
      <c r="E40" s="58">
        <v>744</v>
      </c>
      <c r="G40" s="94" t="s">
        <v>327</v>
      </c>
      <c r="H40" s="58">
        <v>1416</v>
      </c>
      <c r="J40" s="94" t="s">
        <v>327</v>
      </c>
      <c r="K40" s="58">
        <v>2159</v>
      </c>
      <c r="M40" s="94" t="s">
        <v>327</v>
      </c>
      <c r="N40" s="58">
        <v>2879</v>
      </c>
      <c r="P40" s="94" t="s">
        <v>327</v>
      </c>
      <c r="Q40" s="58">
        <v>3623</v>
      </c>
      <c r="S40" s="94" t="s">
        <v>327</v>
      </c>
      <c r="T40" s="58">
        <v>4343</v>
      </c>
      <c r="V40" s="94" t="s">
        <v>327</v>
      </c>
      <c r="W40" s="58">
        <v>5087</v>
      </c>
      <c r="Y40" s="94" t="s">
        <v>327</v>
      </c>
      <c r="Z40" s="58">
        <v>5831</v>
      </c>
      <c r="AB40" s="94" t="s">
        <v>327</v>
      </c>
      <c r="AC40" s="58">
        <v>6551</v>
      </c>
      <c r="AE40" s="94" t="s">
        <v>327</v>
      </c>
      <c r="AF40" s="58">
        <v>7295</v>
      </c>
      <c r="AH40" s="94" t="s">
        <v>327</v>
      </c>
      <c r="AI40" s="58">
        <v>8016</v>
      </c>
      <c r="AK40" s="94" t="s">
        <v>327</v>
      </c>
      <c r="AL40" s="58">
        <v>8760</v>
      </c>
    </row>
    <row r="41" spans="1:38">
      <c r="A41" t="s">
        <v>293</v>
      </c>
      <c r="B41" s="16" t="s">
        <v>294</v>
      </c>
      <c r="D41" t="s">
        <v>293</v>
      </c>
      <c r="E41" s="16" t="s">
        <v>294</v>
      </c>
      <c r="G41" t="s">
        <v>293</v>
      </c>
      <c r="H41" s="16" t="s">
        <v>294</v>
      </c>
      <c r="J41" t="s">
        <v>293</v>
      </c>
      <c r="K41" s="16" t="s">
        <v>294</v>
      </c>
      <c r="M41" t="s">
        <v>293</v>
      </c>
      <c r="N41" s="16" t="s">
        <v>294</v>
      </c>
      <c r="P41" t="s">
        <v>293</v>
      </c>
      <c r="Q41" s="16" t="s">
        <v>294</v>
      </c>
      <c r="S41" t="s">
        <v>293</v>
      </c>
      <c r="T41" s="16" t="s">
        <v>294</v>
      </c>
      <c r="V41" t="s">
        <v>293</v>
      </c>
      <c r="W41" s="16" t="s">
        <v>294</v>
      </c>
      <c r="Y41" t="s">
        <v>293</v>
      </c>
      <c r="Z41" s="16" t="s">
        <v>294</v>
      </c>
      <c r="AB41" t="s">
        <v>293</v>
      </c>
      <c r="AC41" s="16" t="s">
        <v>294</v>
      </c>
      <c r="AE41" t="s">
        <v>293</v>
      </c>
      <c r="AF41" s="16" t="s">
        <v>294</v>
      </c>
      <c r="AH41" t="s">
        <v>293</v>
      </c>
      <c r="AI41" s="16" t="s">
        <v>294</v>
      </c>
      <c r="AK41" t="s">
        <v>293</v>
      </c>
      <c r="AL41" s="16" t="s">
        <v>294</v>
      </c>
    </row>
    <row r="42" spans="1:38">
      <c r="A42">
        <v>0</v>
      </c>
      <c r="B42">
        <v>31.397830569863032</v>
      </c>
      <c r="D42">
        <v>0</v>
      </c>
      <c r="E42">
        <v>39.555059806451624</v>
      </c>
      <c r="G42">
        <v>0</v>
      </c>
      <c r="H42">
        <v>37.604830214285712</v>
      </c>
      <c r="J42">
        <v>0</v>
      </c>
      <c r="K42">
        <v>30.648948903225811</v>
      </c>
      <c r="M42">
        <v>0</v>
      </c>
      <c r="N42">
        <v>29.419104533333332</v>
      </c>
      <c r="P42">
        <v>0</v>
      </c>
      <c r="Q42">
        <v>29.099889258064511</v>
      </c>
      <c r="S42">
        <v>0</v>
      </c>
      <c r="T42">
        <v>30.432927066666657</v>
      </c>
      <c r="V42">
        <v>0</v>
      </c>
      <c r="W42">
        <v>31.994300032258057</v>
      </c>
      <c r="Y42">
        <v>0</v>
      </c>
      <c r="Z42">
        <v>31.30656429032258</v>
      </c>
      <c r="AB42">
        <v>0</v>
      </c>
      <c r="AC42">
        <v>28.23021296666667</v>
      </c>
      <c r="AE42">
        <v>0</v>
      </c>
      <c r="AF42">
        <v>25.825235935483871</v>
      </c>
      <c r="AH42">
        <v>0</v>
      </c>
      <c r="AI42">
        <v>27.285363999999998</v>
      </c>
      <c r="AK42">
        <v>0</v>
      </c>
      <c r="AL42">
        <v>35.642409999999998</v>
      </c>
    </row>
    <row r="43" spans="1:38">
      <c r="A43">
        <v>1</v>
      </c>
      <c r="B43">
        <v>30.335215912328753</v>
      </c>
      <c r="D43">
        <v>1</v>
      </c>
      <c r="E43">
        <v>41.050443741935474</v>
      </c>
      <c r="G43">
        <v>1</v>
      </c>
      <c r="H43">
        <v>35.500482535714283</v>
      </c>
      <c r="J43">
        <v>1</v>
      </c>
      <c r="K43">
        <v>30.158296096774194</v>
      </c>
      <c r="M43">
        <v>1</v>
      </c>
      <c r="N43">
        <v>28.818365066666669</v>
      </c>
      <c r="P43">
        <v>1</v>
      </c>
      <c r="Q43">
        <v>27.226122290322575</v>
      </c>
      <c r="S43">
        <v>1</v>
      </c>
      <c r="T43">
        <v>28.789143033333342</v>
      </c>
      <c r="V43">
        <v>1</v>
      </c>
      <c r="W43">
        <v>30.577365806451613</v>
      </c>
      <c r="Y43">
        <v>1</v>
      </c>
      <c r="Z43">
        <v>29.859033419354841</v>
      </c>
      <c r="AB43">
        <v>1</v>
      </c>
      <c r="AC43">
        <v>26.433118366666672</v>
      </c>
      <c r="AE43">
        <v>1</v>
      </c>
      <c r="AF43">
        <v>24.637821612903231</v>
      </c>
      <c r="AH43">
        <v>1</v>
      </c>
      <c r="AI43">
        <v>26.264429533333331</v>
      </c>
      <c r="AK43">
        <v>1</v>
      </c>
      <c r="AL43">
        <v>34.851840161290319</v>
      </c>
    </row>
    <row r="44" spans="1:38">
      <c r="A44">
        <v>2</v>
      </c>
      <c r="B44">
        <v>29.970442178082202</v>
      </c>
      <c r="D44">
        <v>2</v>
      </c>
      <c r="E44">
        <v>41.639402774193556</v>
      </c>
      <c r="G44">
        <v>2</v>
      </c>
      <c r="H44">
        <v>38.91258071428571</v>
      </c>
      <c r="J44">
        <v>2</v>
      </c>
      <c r="K44">
        <v>30.080712387096774</v>
      </c>
      <c r="M44">
        <v>2</v>
      </c>
      <c r="N44">
        <v>28.167094099999996</v>
      </c>
      <c r="P44">
        <v>2</v>
      </c>
      <c r="Q44">
        <v>26.288374516129036</v>
      </c>
      <c r="S44">
        <v>2</v>
      </c>
      <c r="T44">
        <v>27.849514366666668</v>
      </c>
      <c r="V44">
        <v>2</v>
      </c>
      <c r="W44">
        <v>29.315943000000001</v>
      </c>
      <c r="Y44">
        <v>2</v>
      </c>
      <c r="Z44">
        <v>28.844200580645165</v>
      </c>
      <c r="AB44">
        <v>2</v>
      </c>
      <c r="AC44">
        <v>25.528989799999994</v>
      </c>
      <c r="AE44">
        <v>2</v>
      </c>
      <c r="AF44">
        <v>23.544174483870965</v>
      </c>
      <c r="AH44">
        <v>2</v>
      </c>
      <c r="AI44">
        <v>25.722648633333339</v>
      </c>
      <c r="AK44">
        <v>2</v>
      </c>
      <c r="AL44">
        <v>34.210151225806456</v>
      </c>
    </row>
    <row r="45" spans="1:38">
      <c r="A45">
        <v>3</v>
      </c>
      <c r="B45">
        <v>29.491257978082142</v>
      </c>
      <c r="D45">
        <v>3</v>
      </c>
      <c r="E45">
        <v>41.626877032258079</v>
      </c>
      <c r="G45">
        <v>3</v>
      </c>
      <c r="H45">
        <v>39.190374249999991</v>
      </c>
      <c r="J45">
        <v>3</v>
      </c>
      <c r="K45">
        <v>30.295508870967744</v>
      </c>
      <c r="M45">
        <v>3</v>
      </c>
      <c r="N45">
        <v>27.44919586666667</v>
      </c>
      <c r="P45">
        <v>3</v>
      </c>
      <c r="Q45">
        <v>25.683160000000004</v>
      </c>
      <c r="S45">
        <v>3</v>
      </c>
      <c r="T45">
        <v>27.153610466666674</v>
      </c>
      <c r="V45">
        <v>3</v>
      </c>
      <c r="W45">
        <v>28.663275516129033</v>
      </c>
      <c r="Y45">
        <v>3</v>
      </c>
      <c r="Z45">
        <v>27.823850548387099</v>
      </c>
      <c r="AB45">
        <v>3</v>
      </c>
      <c r="AC45">
        <v>24.599532033333329</v>
      </c>
      <c r="AE45">
        <v>3</v>
      </c>
      <c r="AF45">
        <v>22.618374161290323</v>
      </c>
      <c r="AH45">
        <v>3</v>
      </c>
      <c r="AI45">
        <v>25.407906733333341</v>
      </c>
      <c r="AK45">
        <v>3</v>
      </c>
      <c r="AL45">
        <v>33.891254838709678</v>
      </c>
    </row>
    <row r="46" spans="1:38">
      <c r="A46">
        <v>4</v>
      </c>
      <c r="B46">
        <v>29.762326008219151</v>
      </c>
      <c r="D46">
        <v>4</v>
      </c>
      <c r="E46">
        <v>42.586194580645149</v>
      </c>
      <c r="G46">
        <v>4</v>
      </c>
      <c r="H46">
        <v>40.293530142857151</v>
      </c>
      <c r="J46">
        <v>4</v>
      </c>
      <c r="K46">
        <v>30.431110548387093</v>
      </c>
      <c r="M46">
        <v>4</v>
      </c>
      <c r="N46">
        <v>27.31409973333334</v>
      </c>
      <c r="P46">
        <v>4</v>
      </c>
      <c r="Q46">
        <v>25.867462612903221</v>
      </c>
      <c r="S46">
        <v>4</v>
      </c>
      <c r="T46">
        <v>26.909799833333334</v>
      </c>
      <c r="V46">
        <v>4</v>
      </c>
      <c r="W46">
        <v>28.501499838709677</v>
      </c>
      <c r="Y46">
        <v>4</v>
      </c>
      <c r="Z46">
        <v>27.430806483870967</v>
      </c>
      <c r="AB46">
        <v>4</v>
      </c>
      <c r="AC46">
        <v>24.926523599999996</v>
      </c>
      <c r="AE46">
        <v>4</v>
      </c>
      <c r="AF46">
        <v>22.872951483870967</v>
      </c>
      <c r="AH46">
        <v>4</v>
      </c>
      <c r="AI46">
        <v>26.114830400000002</v>
      </c>
      <c r="AK46">
        <v>4</v>
      </c>
      <c r="AL46">
        <v>34.473604838709676</v>
      </c>
    </row>
    <row r="47" spans="1:38">
      <c r="A47">
        <v>5</v>
      </c>
      <c r="B47">
        <v>31.580746065753456</v>
      </c>
      <c r="D47">
        <v>5</v>
      </c>
      <c r="E47">
        <v>46.453994774193553</v>
      </c>
      <c r="G47">
        <v>5</v>
      </c>
      <c r="H47">
        <v>42.649435571428576</v>
      </c>
      <c r="J47">
        <v>5</v>
      </c>
      <c r="K47">
        <v>31.806318677419348</v>
      </c>
      <c r="M47">
        <v>5</v>
      </c>
      <c r="N47">
        <v>28.525861299999995</v>
      </c>
      <c r="P47">
        <v>5</v>
      </c>
      <c r="Q47">
        <v>27.176025677419361</v>
      </c>
      <c r="S47">
        <v>5</v>
      </c>
      <c r="T47">
        <v>27.731377833333333</v>
      </c>
      <c r="V47">
        <v>5</v>
      </c>
      <c r="W47">
        <v>29.236390709677419</v>
      </c>
      <c r="Y47">
        <v>5</v>
      </c>
      <c r="Z47">
        <v>28.36829435483871</v>
      </c>
      <c r="AB47">
        <v>5</v>
      </c>
      <c r="AC47">
        <v>26.992175366666668</v>
      </c>
      <c r="AE47">
        <v>5</v>
      </c>
      <c r="AF47">
        <v>26.138781483870968</v>
      </c>
      <c r="AH47">
        <v>5</v>
      </c>
      <c r="AI47">
        <v>28.078852233333333</v>
      </c>
      <c r="AK47">
        <v>5</v>
      </c>
      <c r="AL47">
        <v>36.398907741935481</v>
      </c>
    </row>
    <row r="48" spans="1:38">
      <c r="A48">
        <v>6</v>
      </c>
      <c r="B48">
        <v>34.188871476712343</v>
      </c>
      <c r="D48">
        <v>6</v>
      </c>
      <c r="E48">
        <v>54.787502096774197</v>
      </c>
      <c r="G48">
        <v>6</v>
      </c>
      <c r="H48">
        <v>47.41377275</v>
      </c>
      <c r="J48">
        <v>6</v>
      </c>
      <c r="K48">
        <v>32.626086193548389</v>
      </c>
      <c r="M48">
        <v>6</v>
      </c>
      <c r="N48">
        <v>29.411685266666669</v>
      </c>
      <c r="P48">
        <v>6</v>
      </c>
      <c r="Q48">
        <v>28.77529377419355</v>
      </c>
      <c r="S48">
        <v>6</v>
      </c>
      <c r="T48">
        <v>30.261016766666668</v>
      </c>
      <c r="V48">
        <v>6</v>
      </c>
      <c r="W48">
        <v>30.877050225806446</v>
      </c>
      <c r="Y48">
        <v>6</v>
      </c>
      <c r="Z48">
        <v>30.727058387096776</v>
      </c>
      <c r="AB48">
        <v>6</v>
      </c>
      <c r="AC48">
        <v>29.503702100000002</v>
      </c>
      <c r="AE48">
        <v>6</v>
      </c>
      <c r="AF48">
        <v>28.943732612903222</v>
      </c>
      <c r="AH48">
        <v>6</v>
      </c>
      <c r="AI48">
        <v>29.897725600000001</v>
      </c>
      <c r="AK48">
        <v>6</v>
      </c>
      <c r="AL48">
        <v>37.751294774193546</v>
      </c>
    </row>
    <row r="49" spans="1:38">
      <c r="A49">
        <v>7</v>
      </c>
      <c r="B49">
        <v>35.957319021917804</v>
      </c>
      <c r="D49">
        <v>7</v>
      </c>
      <c r="E49">
        <v>58.047799612903226</v>
      </c>
      <c r="G49">
        <v>7</v>
      </c>
      <c r="H49">
        <v>49.450932714285706</v>
      </c>
      <c r="J49">
        <v>7</v>
      </c>
      <c r="K49">
        <v>32.933135741935473</v>
      </c>
      <c r="M49">
        <v>7</v>
      </c>
      <c r="N49">
        <v>30.390036833333333</v>
      </c>
      <c r="P49">
        <v>7</v>
      </c>
      <c r="Q49">
        <v>30.672470354838705</v>
      </c>
      <c r="S49">
        <v>7</v>
      </c>
      <c r="T49">
        <v>31.776967800000001</v>
      </c>
      <c r="V49">
        <v>7</v>
      </c>
      <c r="W49">
        <v>33.016772483870973</v>
      </c>
      <c r="Y49">
        <v>7</v>
      </c>
      <c r="Z49">
        <v>33.463485387096782</v>
      </c>
      <c r="AB49">
        <v>7</v>
      </c>
      <c r="AC49">
        <v>31.463218200000007</v>
      </c>
      <c r="AE49">
        <v>7</v>
      </c>
      <c r="AF49">
        <v>31.547699000000005</v>
      </c>
      <c r="AH49">
        <v>7</v>
      </c>
      <c r="AI49">
        <v>31.181080000000001</v>
      </c>
      <c r="AK49">
        <v>7</v>
      </c>
      <c r="AL49">
        <v>38.236580709677419</v>
      </c>
    </row>
    <row r="50" spans="1:38">
      <c r="A50">
        <v>8</v>
      </c>
      <c r="B50">
        <v>36.575546934246617</v>
      </c>
      <c r="D50">
        <v>8</v>
      </c>
      <c r="E50">
        <v>56.855224677419358</v>
      </c>
      <c r="G50">
        <v>8</v>
      </c>
      <c r="H50">
        <v>47.376690821428568</v>
      </c>
      <c r="J50">
        <v>8</v>
      </c>
      <c r="K50">
        <v>33.425213322580646</v>
      </c>
      <c r="M50">
        <v>8</v>
      </c>
      <c r="N50">
        <v>31.5804331</v>
      </c>
      <c r="P50">
        <v>8</v>
      </c>
      <c r="Q50">
        <v>32.143730774193543</v>
      </c>
      <c r="S50">
        <v>8</v>
      </c>
      <c r="T50">
        <v>32.388034500000003</v>
      </c>
      <c r="V50">
        <v>8</v>
      </c>
      <c r="W50">
        <v>35.087629225806459</v>
      </c>
      <c r="Y50">
        <v>8</v>
      </c>
      <c r="Z50">
        <v>35.527051419354848</v>
      </c>
      <c r="AB50">
        <v>8</v>
      </c>
      <c r="AC50">
        <v>33.413592166666675</v>
      </c>
      <c r="AE50">
        <v>8</v>
      </c>
      <c r="AF50">
        <v>32.852387677419358</v>
      </c>
      <c r="AH50">
        <v>8</v>
      </c>
      <c r="AI50">
        <v>30.302387633333336</v>
      </c>
      <c r="AK50">
        <v>8</v>
      </c>
      <c r="AL50">
        <v>38.398887612903231</v>
      </c>
    </row>
    <row r="51" spans="1:38">
      <c r="A51">
        <v>9</v>
      </c>
      <c r="B51">
        <v>37.164215542465747</v>
      </c>
      <c r="D51">
        <v>9</v>
      </c>
      <c r="E51">
        <v>54.052377354838704</v>
      </c>
      <c r="G51">
        <v>9</v>
      </c>
      <c r="H51">
        <v>46.480508821428565</v>
      </c>
      <c r="J51">
        <v>9</v>
      </c>
      <c r="K51">
        <v>33.464127064516134</v>
      </c>
      <c r="M51">
        <v>9</v>
      </c>
      <c r="N51">
        <v>32.536545300000007</v>
      </c>
      <c r="P51">
        <v>9</v>
      </c>
      <c r="Q51">
        <v>33.554582129032262</v>
      </c>
      <c r="S51">
        <v>9</v>
      </c>
      <c r="T51">
        <v>33.446385599999999</v>
      </c>
      <c r="V51">
        <v>9</v>
      </c>
      <c r="W51">
        <v>37.039691935483866</v>
      </c>
      <c r="Y51">
        <v>9</v>
      </c>
      <c r="Z51">
        <v>38.085218774193542</v>
      </c>
      <c r="AB51">
        <v>9</v>
      </c>
      <c r="AC51">
        <v>34.967784533333329</v>
      </c>
      <c r="AE51">
        <v>9</v>
      </c>
      <c r="AF51">
        <v>34.098994000000005</v>
      </c>
      <c r="AH51">
        <v>9</v>
      </c>
      <c r="AI51">
        <v>30.542152399999999</v>
      </c>
      <c r="AK51">
        <v>9</v>
      </c>
      <c r="AL51">
        <v>38.050118129032249</v>
      </c>
    </row>
    <row r="52" spans="1:38">
      <c r="A52">
        <v>10</v>
      </c>
      <c r="B52">
        <v>37.577160424657535</v>
      </c>
      <c r="D52">
        <v>10</v>
      </c>
      <c r="E52">
        <v>52.195015290322587</v>
      </c>
      <c r="G52">
        <v>10</v>
      </c>
      <c r="H52">
        <v>45.24846735714285</v>
      </c>
      <c r="J52">
        <v>10</v>
      </c>
      <c r="K52">
        <v>32.908129612903224</v>
      </c>
      <c r="M52">
        <v>10</v>
      </c>
      <c r="N52">
        <v>33.3483436</v>
      </c>
      <c r="P52">
        <v>10</v>
      </c>
      <c r="Q52">
        <v>34.573169</v>
      </c>
      <c r="S52">
        <v>10</v>
      </c>
      <c r="T52">
        <v>34.613304733333329</v>
      </c>
      <c r="V52">
        <v>10</v>
      </c>
      <c r="W52">
        <v>38.886883322580637</v>
      </c>
      <c r="Y52">
        <v>10</v>
      </c>
      <c r="Z52">
        <v>40.61009067741935</v>
      </c>
      <c r="AB52">
        <v>10</v>
      </c>
      <c r="AC52">
        <v>36.099020866666663</v>
      </c>
      <c r="AE52">
        <v>10</v>
      </c>
      <c r="AF52">
        <v>34.749413322580651</v>
      </c>
      <c r="AH52">
        <v>10</v>
      </c>
      <c r="AI52">
        <v>29.980773633333332</v>
      </c>
      <c r="AK52">
        <v>10</v>
      </c>
      <c r="AL52">
        <v>37.930949870967751</v>
      </c>
    </row>
    <row r="53" spans="1:38">
      <c r="A53">
        <v>11</v>
      </c>
      <c r="B53">
        <v>37.650669775342493</v>
      </c>
      <c r="D53">
        <v>11</v>
      </c>
      <c r="E53">
        <v>49.651744290322576</v>
      </c>
      <c r="G53">
        <v>11</v>
      </c>
      <c r="H53">
        <v>43.523378999999998</v>
      </c>
      <c r="J53">
        <v>11</v>
      </c>
      <c r="K53">
        <v>31.817358548387094</v>
      </c>
      <c r="M53">
        <v>11</v>
      </c>
      <c r="N53">
        <v>33.336552400000002</v>
      </c>
      <c r="P53">
        <v>11</v>
      </c>
      <c r="Q53">
        <v>34.867448354838714</v>
      </c>
      <c r="S53">
        <v>11</v>
      </c>
      <c r="T53">
        <v>36.033609500000011</v>
      </c>
      <c r="V53">
        <v>11</v>
      </c>
      <c r="W53">
        <v>40.773363935483864</v>
      </c>
      <c r="Y53">
        <v>11</v>
      </c>
      <c r="Z53">
        <v>42.520013645161292</v>
      </c>
      <c r="AB53">
        <v>11</v>
      </c>
      <c r="AC53">
        <v>36.842310600000005</v>
      </c>
      <c r="AE53">
        <v>11</v>
      </c>
      <c r="AF53">
        <v>34.842330064516133</v>
      </c>
      <c r="AH53">
        <v>11</v>
      </c>
      <c r="AI53">
        <v>29.693039333333335</v>
      </c>
      <c r="AK53">
        <v>11</v>
      </c>
      <c r="AL53">
        <v>38.00111216129033</v>
      </c>
    </row>
    <row r="54" spans="1:38">
      <c r="A54">
        <v>12</v>
      </c>
      <c r="B54">
        <v>37.584475654794524</v>
      </c>
      <c r="D54">
        <v>12</v>
      </c>
      <c r="E54">
        <v>47.799556193548376</v>
      </c>
      <c r="G54">
        <v>12</v>
      </c>
      <c r="H54">
        <v>42.792242392857133</v>
      </c>
      <c r="J54">
        <v>12</v>
      </c>
      <c r="K54">
        <v>31.657793967741938</v>
      </c>
      <c r="M54">
        <v>12</v>
      </c>
      <c r="N54">
        <v>32.80845080000001</v>
      </c>
      <c r="P54">
        <v>12</v>
      </c>
      <c r="Q54">
        <v>34.543256806451616</v>
      </c>
      <c r="S54">
        <v>12</v>
      </c>
      <c r="T54">
        <v>36.739491800000003</v>
      </c>
      <c r="V54">
        <v>12</v>
      </c>
      <c r="W54">
        <v>41.821501322580652</v>
      </c>
      <c r="Y54">
        <v>12</v>
      </c>
      <c r="Z54">
        <v>43.884301935483862</v>
      </c>
      <c r="AB54">
        <v>12</v>
      </c>
      <c r="AC54">
        <v>37.287570466666672</v>
      </c>
      <c r="AE54">
        <v>12</v>
      </c>
      <c r="AF54">
        <v>34.707240935483867</v>
      </c>
      <c r="AH54">
        <v>12</v>
      </c>
      <c r="AI54">
        <v>29.438028466666665</v>
      </c>
      <c r="AK54">
        <v>12</v>
      </c>
      <c r="AL54">
        <v>37.584561129032259</v>
      </c>
    </row>
    <row r="55" spans="1:38">
      <c r="A55">
        <v>13</v>
      </c>
      <c r="B55">
        <v>37.350166756164427</v>
      </c>
      <c r="D55">
        <v>13</v>
      </c>
      <c r="E55">
        <v>46.444248516129036</v>
      </c>
      <c r="G55">
        <v>13</v>
      </c>
      <c r="H55">
        <v>41.671358071428571</v>
      </c>
      <c r="J55">
        <v>13</v>
      </c>
      <c r="K55">
        <v>30.60224370967742</v>
      </c>
      <c r="M55">
        <v>13</v>
      </c>
      <c r="N55">
        <v>32.316204766666665</v>
      </c>
      <c r="P55">
        <v>13</v>
      </c>
      <c r="Q55">
        <v>33.977326838709672</v>
      </c>
      <c r="S55">
        <v>13</v>
      </c>
      <c r="T55">
        <v>36.464024333333334</v>
      </c>
      <c r="V55">
        <v>13</v>
      </c>
      <c r="W55">
        <v>42.592937290322588</v>
      </c>
      <c r="Y55">
        <v>13</v>
      </c>
      <c r="Z55">
        <v>45.5277168064516</v>
      </c>
      <c r="AB55">
        <v>13</v>
      </c>
      <c r="AC55">
        <v>37.656008433333334</v>
      </c>
      <c r="AE55">
        <v>13</v>
      </c>
      <c r="AF55">
        <v>34.409272483870964</v>
      </c>
      <c r="AH55">
        <v>13</v>
      </c>
      <c r="AI55">
        <v>29.38302426666667</v>
      </c>
      <c r="AK55">
        <v>13</v>
      </c>
      <c r="AL55">
        <v>37.137705516129017</v>
      </c>
    </row>
    <row r="56" spans="1:38">
      <c r="A56">
        <v>14</v>
      </c>
      <c r="B56">
        <v>37.145658473972603</v>
      </c>
      <c r="D56">
        <v>14</v>
      </c>
      <c r="E56">
        <v>46.479194645161293</v>
      </c>
      <c r="G56">
        <v>14</v>
      </c>
      <c r="H56">
        <v>40.508302321428573</v>
      </c>
      <c r="J56">
        <v>14</v>
      </c>
      <c r="K56">
        <v>29.937438870967743</v>
      </c>
      <c r="M56">
        <v>14</v>
      </c>
      <c r="N56">
        <v>31.866457166666667</v>
      </c>
      <c r="P56">
        <v>14</v>
      </c>
      <c r="Q56">
        <v>33.522697999999998</v>
      </c>
      <c r="S56">
        <v>14</v>
      </c>
      <c r="T56">
        <v>36.472578466666683</v>
      </c>
      <c r="V56">
        <v>14</v>
      </c>
      <c r="W56">
        <v>43.108982225806436</v>
      </c>
      <c r="Y56">
        <v>14</v>
      </c>
      <c r="Z56">
        <v>45.975334290322586</v>
      </c>
      <c r="AB56">
        <v>14</v>
      </c>
      <c r="AC56">
        <v>37.549981899999999</v>
      </c>
      <c r="AE56">
        <v>14</v>
      </c>
      <c r="AF56">
        <v>34.056453870967744</v>
      </c>
      <c r="AH56">
        <v>14</v>
      </c>
      <c r="AI56">
        <v>29.345475166666663</v>
      </c>
      <c r="AK56">
        <v>14</v>
      </c>
      <c r="AL56">
        <v>36.819836709677425</v>
      </c>
    </row>
    <row r="57" spans="1:38">
      <c r="A57">
        <v>15</v>
      </c>
      <c r="B57">
        <v>37.251440786301337</v>
      </c>
      <c r="D57">
        <v>15</v>
      </c>
      <c r="E57">
        <v>48.751276741935499</v>
      </c>
      <c r="G57">
        <v>15</v>
      </c>
      <c r="H57">
        <v>39.73608896428572</v>
      </c>
      <c r="J57">
        <v>15</v>
      </c>
      <c r="K57">
        <v>29.839151741935481</v>
      </c>
      <c r="M57">
        <v>15</v>
      </c>
      <c r="N57">
        <v>31.415482699999998</v>
      </c>
      <c r="P57">
        <v>15</v>
      </c>
      <c r="Q57">
        <v>33.006586774193551</v>
      </c>
      <c r="S57">
        <v>15</v>
      </c>
      <c r="T57">
        <v>36.409930033333332</v>
      </c>
      <c r="V57">
        <v>15</v>
      </c>
      <c r="W57">
        <v>43.416782354838709</v>
      </c>
      <c r="Y57">
        <v>15</v>
      </c>
      <c r="Z57">
        <v>46.350710645161293</v>
      </c>
      <c r="AB57">
        <v>15</v>
      </c>
      <c r="AC57">
        <v>37.394940033333334</v>
      </c>
      <c r="AE57">
        <v>15</v>
      </c>
      <c r="AF57">
        <v>33.857688322580643</v>
      </c>
      <c r="AH57">
        <v>15</v>
      </c>
      <c r="AI57">
        <v>29.165225100000008</v>
      </c>
      <c r="AK57">
        <v>15</v>
      </c>
      <c r="AL57">
        <v>37.44225696774194</v>
      </c>
    </row>
    <row r="58" spans="1:38">
      <c r="A58">
        <v>16</v>
      </c>
      <c r="B58">
        <v>38.236460394520549</v>
      </c>
      <c r="D58">
        <v>16</v>
      </c>
      <c r="E58">
        <v>52.278883032258065</v>
      </c>
      <c r="G58">
        <v>16</v>
      </c>
      <c r="H58">
        <v>41.274671428571416</v>
      </c>
      <c r="J58">
        <v>16</v>
      </c>
      <c r="K58">
        <v>30.250190193548384</v>
      </c>
      <c r="M58">
        <v>16</v>
      </c>
      <c r="N58">
        <v>32.474272833333337</v>
      </c>
      <c r="P58">
        <v>16</v>
      </c>
      <c r="Q58">
        <v>33.238880806451618</v>
      </c>
      <c r="S58">
        <v>16</v>
      </c>
      <c r="T58">
        <v>36.339961600000002</v>
      </c>
      <c r="V58">
        <v>16</v>
      </c>
      <c r="W58">
        <v>44.639570645161285</v>
      </c>
      <c r="Y58">
        <v>16</v>
      </c>
      <c r="Z58">
        <v>47.563713225806453</v>
      </c>
      <c r="AB58">
        <v>16</v>
      </c>
      <c r="AC58">
        <v>37.861260833333333</v>
      </c>
      <c r="AE58">
        <v>16</v>
      </c>
      <c r="AF58">
        <v>34.573382870967741</v>
      </c>
      <c r="AH58">
        <v>16</v>
      </c>
      <c r="AI58">
        <v>29.747500033333335</v>
      </c>
      <c r="AK58">
        <v>16</v>
      </c>
      <c r="AL58">
        <v>38.35626261290323</v>
      </c>
    </row>
    <row r="59" spans="1:38">
      <c r="A59">
        <v>17</v>
      </c>
      <c r="B59">
        <v>39.155473109589032</v>
      </c>
      <c r="D59">
        <v>17</v>
      </c>
      <c r="E59">
        <v>54.96052661290323</v>
      </c>
      <c r="G59">
        <v>17</v>
      </c>
      <c r="H59">
        <v>42.445519821428569</v>
      </c>
      <c r="J59">
        <v>17</v>
      </c>
      <c r="K59">
        <v>30.010605225806447</v>
      </c>
      <c r="M59">
        <v>17</v>
      </c>
      <c r="N59">
        <v>32.952415000000002</v>
      </c>
      <c r="P59">
        <v>17</v>
      </c>
      <c r="Q59">
        <v>33.550318677419355</v>
      </c>
      <c r="S59">
        <v>17</v>
      </c>
      <c r="T59">
        <v>36.283560566666665</v>
      </c>
      <c r="V59">
        <v>17</v>
      </c>
      <c r="W59">
        <v>44.280929870967746</v>
      </c>
      <c r="Y59">
        <v>17</v>
      </c>
      <c r="Z59">
        <v>46.346797419354836</v>
      </c>
      <c r="AB59">
        <v>17</v>
      </c>
      <c r="AC59">
        <v>37.81235423333333</v>
      </c>
      <c r="AE59">
        <v>17</v>
      </c>
      <c r="AF59">
        <v>36.15449490322581</v>
      </c>
      <c r="AH59">
        <v>17</v>
      </c>
      <c r="AI59">
        <v>32.392797733333325</v>
      </c>
      <c r="AK59">
        <v>17</v>
      </c>
      <c r="AL59">
        <v>42.439530645161291</v>
      </c>
    </row>
    <row r="60" spans="1:38">
      <c r="A60">
        <v>18</v>
      </c>
      <c r="B60">
        <v>39.138038580821927</v>
      </c>
      <c r="D60">
        <v>18</v>
      </c>
      <c r="E60">
        <v>56.992940903225801</v>
      </c>
      <c r="G60">
        <v>18</v>
      </c>
      <c r="H60">
        <v>44.317501464285719</v>
      </c>
      <c r="J60">
        <v>18</v>
      </c>
      <c r="K60">
        <v>33.314413483870965</v>
      </c>
      <c r="M60">
        <v>18</v>
      </c>
      <c r="N60">
        <v>33.303620866666662</v>
      </c>
      <c r="P60">
        <v>18</v>
      </c>
      <c r="Q60">
        <v>32.806598999999999</v>
      </c>
      <c r="S60">
        <v>18</v>
      </c>
      <c r="T60">
        <v>35.167848400000011</v>
      </c>
      <c r="V60">
        <v>18</v>
      </c>
      <c r="W60">
        <v>41.863290225806445</v>
      </c>
      <c r="Y60">
        <v>18</v>
      </c>
      <c r="Z60">
        <v>42.677521483870969</v>
      </c>
      <c r="AB60">
        <v>18</v>
      </c>
      <c r="AC60">
        <v>36.380756333333331</v>
      </c>
      <c r="AE60">
        <v>18</v>
      </c>
      <c r="AF60">
        <v>37.767448032258052</v>
      </c>
      <c r="AH60">
        <v>18</v>
      </c>
      <c r="AI60">
        <v>32.2054106</v>
      </c>
      <c r="AK60">
        <v>18</v>
      </c>
      <c r="AL60">
        <v>42.731495096774189</v>
      </c>
    </row>
    <row r="61" spans="1:38">
      <c r="A61">
        <v>19</v>
      </c>
      <c r="B61">
        <v>38.549866468493185</v>
      </c>
      <c r="D61">
        <v>19</v>
      </c>
      <c r="E61">
        <v>56.389939354838717</v>
      </c>
      <c r="G61">
        <v>19</v>
      </c>
      <c r="H61">
        <v>44.009364285714284</v>
      </c>
      <c r="J61">
        <v>19</v>
      </c>
      <c r="K61">
        <v>34.346466225806459</v>
      </c>
      <c r="M61">
        <v>19</v>
      </c>
      <c r="N61">
        <v>33.776487866666663</v>
      </c>
      <c r="P61">
        <v>19</v>
      </c>
      <c r="Q61">
        <v>32.482588870967739</v>
      </c>
      <c r="S61">
        <v>19</v>
      </c>
      <c r="T61">
        <v>34.227372100000004</v>
      </c>
      <c r="V61">
        <v>19</v>
      </c>
      <c r="W61">
        <v>39.86873896774194</v>
      </c>
      <c r="Y61">
        <v>19</v>
      </c>
      <c r="Z61">
        <v>40.553521225806456</v>
      </c>
      <c r="AB61">
        <v>19</v>
      </c>
      <c r="AC61">
        <v>36.90277003333334</v>
      </c>
      <c r="AE61">
        <v>19</v>
      </c>
      <c r="AF61">
        <v>37.719576677419361</v>
      </c>
      <c r="AH61">
        <v>19</v>
      </c>
      <c r="AI61">
        <v>31.112531033333337</v>
      </c>
      <c r="AK61">
        <v>19</v>
      </c>
      <c r="AL61">
        <v>41.150918032258069</v>
      </c>
    </row>
    <row r="62" spans="1:38">
      <c r="A62">
        <v>20</v>
      </c>
      <c r="B62">
        <v>37.766612336986306</v>
      </c>
      <c r="D62">
        <v>20</v>
      </c>
      <c r="E62">
        <v>53.091230870967742</v>
      </c>
      <c r="G62">
        <v>20</v>
      </c>
      <c r="H62">
        <v>43.93834260714285</v>
      </c>
      <c r="J62">
        <v>20</v>
      </c>
      <c r="K62">
        <v>33.216091387096775</v>
      </c>
      <c r="M62">
        <v>20</v>
      </c>
      <c r="N62">
        <v>33.946681533333333</v>
      </c>
      <c r="P62">
        <v>20</v>
      </c>
      <c r="Q62">
        <v>34.160531516129041</v>
      </c>
      <c r="S62">
        <v>20</v>
      </c>
      <c r="T62">
        <v>33.621702799999994</v>
      </c>
      <c r="V62">
        <v>20</v>
      </c>
      <c r="W62">
        <v>39.240289290322579</v>
      </c>
      <c r="Y62">
        <v>20</v>
      </c>
      <c r="Z62">
        <v>40.43277987096775</v>
      </c>
      <c r="AB62">
        <v>20</v>
      </c>
      <c r="AC62">
        <v>36.594651299999995</v>
      </c>
      <c r="AE62">
        <v>20</v>
      </c>
      <c r="AF62">
        <v>36.323751580645165</v>
      </c>
      <c r="AH62">
        <v>20</v>
      </c>
      <c r="AI62">
        <v>29.875397166666666</v>
      </c>
      <c r="AK62">
        <v>20</v>
      </c>
      <c r="AL62">
        <v>38.805871483870966</v>
      </c>
    </row>
    <row r="63" spans="1:38">
      <c r="A63">
        <v>21</v>
      </c>
      <c r="B63">
        <v>36.526374775342454</v>
      </c>
      <c r="D63">
        <v>21</v>
      </c>
      <c r="E63">
        <v>52.537719387096772</v>
      </c>
      <c r="G63">
        <v>21</v>
      </c>
      <c r="H63">
        <v>44.844166142857148</v>
      </c>
      <c r="J63">
        <v>21</v>
      </c>
      <c r="K63">
        <v>31.704985193548385</v>
      </c>
      <c r="M63">
        <v>21</v>
      </c>
      <c r="N63">
        <v>32.461736000000002</v>
      </c>
      <c r="P63">
        <v>21</v>
      </c>
      <c r="Q63">
        <v>33.768217806451624</v>
      </c>
      <c r="S63">
        <v>21</v>
      </c>
      <c r="T63">
        <v>33.811447666666666</v>
      </c>
      <c r="V63">
        <v>21</v>
      </c>
      <c r="W63">
        <v>38.473544645161297</v>
      </c>
      <c r="Y63">
        <v>21</v>
      </c>
      <c r="Z63">
        <v>38.516940483870961</v>
      </c>
      <c r="AB63">
        <v>21</v>
      </c>
      <c r="AC63">
        <v>34.079554866666662</v>
      </c>
      <c r="AE63">
        <v>21</v>
      </c>
      <c r="AF63">
        <v>33.362562838709685</v>
      </c>
      <c r="AH63">
        <v>21</v>
      </c>
      <c r="AI63">
        <v>28.616578866666668</v>
      </c>
      <c r="AK63">
        <v>21</v>
      </c>
      <c r="AL63">
        <v>36.391210903225804</v>
      </c>
    </row>
    <row r="64" spans="1:38">
      <c r="A64">
        <v>22</v>
      </c>
      <c r="B64">
        <v>34.403197726027386</v>
      </c>
      <c r="D64">
        <v>22</v>
      </c>
      <c r="E64">
        <v>49.614005225806459</v>
      </c>
      <c r="G64">
        <v>22</v>
      </c>
      <c r="H64">
        <v>43.912802607142858</v>
      </c>
      <c r="J64">
        <v>22</v>
      </c>
      <c r="K64">
        <v>30.32951019354838</v>
      </c>
      <c r="M64">
        <v>22</v>
      </c>
      <c r="N64">
        <v>30.721659699999996</v>
      </c>
      <c r="P64">
        <v>22</v>
      </c>
      <c r="Q64">
        <v>30.722504870967743</v>
      </c>
      <c r="S64">
        <v>22</v>
      </c>
      <c r="T64">
        <v>31.846684400000001</v>
      </c>
      <c r="V64">
        <v>22</v>
      </c>
      <c r="W64">
        <v>35.563835096774199</v>
      </c>
      <c r="Y64">
        <v>22</v>
      </c>
      <c r="Z64">
        <v>34.880303193548386</v>
      </c>
      <c r="AB64">
        <v>22</v>
      </c>
      <c r="AC64">
        <v>30.545031633333334</v>
      </c>
      <c r="AE64">
        <v>22</v>
      </c>
      <c r="AF64">
        <v>29.232332322580643</v>
      </c>
      <c r="AH64">
        <v>22</v>
      </c>
      <c r="AI64">
        <v>29.160863666666664</v>
      </c>
      <c r="AK64">
        <v>22</v>
      </c>
      <c r="AL64">
        <v>36.734332161290325</v>
      </c>
    </row>
    <row r="65" spans="1:38">
      <c r="A65">
        <v>23</v>
      </c>
      <c r="B65">
        <v>32.750328276712331</v>
      </c>
      <c r="D65">
        <v>23</v>
      </c>
      <c r="E65">
        <v>45.901524225806448</v>
      </c>
      <c r="G65">
        <v>23</v>
      </c>
      <c r="H65">
        <v>40.477814821428574</v>
      </c>
      <c r="J65">
        <v>23</v>
      </c>
      <c r="K65">
        <v>31.441139799999995</v>
      </c>
      <c r="M65">
        <v>23</v>
      </c>
      <c r="N65">
        <v>29.757744666666671</v>
      </c>
      <c r="P65">
        <v>23</v>
      </c>
      <c r="Q65">
        <v>29.523524161290329</v>
      </c>
      <c r="S65">
        <v>23</v>
      </c>
      <c r="T65">
        <v>30.208248599999994</v>
      </c>
      <c r="V65">
        <v>23</v>
      </c>
      <c r="W65">
        <v>33.074850258064522</v>
      </c>
      <c r="Y65">
        <v>23</v>
      </c>
      <c r="Z65">
        <v>32.338401612903219</v>
      </c>
      <c r="AB65">
        <v>23</v>
      </c>
      <c r="AC65">
        <v>29.159005633333329</v>
      </c>
      <c r="AE65">
        <v>23</v>
      </c>
      <c r="AF65">
        <v>27.243058387096774</v>
      </c>
      <c r="AH65">
        <v>23</v>
      </c>
      <c r="AI65">
        <v>28.259158064516129</v>
      </c>
      <c r="AK65">
        <v>23</v>
      </c>
      <c r="AL65">
        <v>36.030671838709679</v>
      </c>
    </row>
    <row r="66" spans="1:38">
      <c r="A66" t="s">
        <v>328</v>
      </c>
      <c r="B66">
        <v>35.312903967808225</v>
      </c>
      <c r="D66" t="s">
        <v>328</v>
      </c>
      <c r="E66">
        <v>49.572611739247314</v>
      </c>
      <c r="G66" t="s">
        <v>328</v>
      </c>
      <c r="H66">
        <v>42.648881659226184</v>
      </c>
      <c r="J66" t="s">
        <v>328</v>
      </c>
      <c r="K66">
        <v>31.551873998387094</v>
      </c>
      <c r="M66" t="s">
        <v>328</v>
      </c>
      <c r="N66">
        <v>31.170772124999999</v>
      </c>
      <c r="P66" t="s">
        <v>328</v>
      </c>
      <c r="Q66">
        <v>31.301281786290321</v>
      </c>
      <c r="S66" t="s">
        <v>328</v>
      </c>
      <c r="T66">
        <v>32.707439261111112</v>
      </c>
      <c r="V66" t="s">
        <v>328</v>
      </c>
      <c r="W66">
        <v>36.746475759408604</v>
      </c>
      <c r="Y66" t="s">
        <v>328</v>
      </c>
      <c r="Z66">
        <v>37.483904590053761</v>
      </c>
      <c r="AB66" t="s">
        <v>328</v>
      </c>
      <c r="AC66">
        <v>32.842669429166662</v>
      </c>
      <c r="AE66" t="s">
        <v>328</v>
      </c>
      <c r="AF66">
        <v>31.336631627688167</v>
      </c>
      <c r="AH66" t="s">
        <v>328</v>
      </c>
      <c r="AI66">
        <v>29.132215845743726</v>
      </c>
      <c r="AK66" t="s">
        <v>328</v>
      </c>
      <c r="AL66">
        <v>37.477573548387113</v>
      </c>
    </row>
    <row r="69" spans="1:38">
      <c r="A69" s="94">
        <v>2018</v>
      </c>
      <c r="B69" s="99" t="s">
        <v>325</v>
      </c>
      <c r="D69">
        <v>1</v>
      </c>
      <c r="E69" s="99" t="s">
        <v>316</v>
      </c>
      <c r="G69">
        <v>2</v>
      </c>
      <c r="H69" s="99" t="s">
        <v>316</v>
      </c>
      <c r="J69">
        <v>3</v>
      </c>
      <c r="K69" s="99" t="s">
        <v>316</v>
      </c>
      <c r="M69">
        <v>4</v>
      </c>
      <c r="N69" s="99" t="s">
        <v>316</v>
      </c>
      <c r="P69">
        <v>5</v>
      </c>
      <c r="Q69" s="99" t="s">
        <v>316</v>
      </c>
      <c r="S69">
        <v>6</v>
      </c>
      <c r="T69" s="99" t="s">
        <v>316</v>
      </c>
      <c r="V69">
        <v>7</v>
      </c>
      <c r="W69" s="99" t="s">
        <v>316</v>
      </c>
      <c r="Y69">
        <v>8</v>
      </c>
      <c r="Z69" s="99" t="s">
        <v>316</v>
      </c>
      <c r="AB69">
        <v>9</v>
      </c>
      <c r="AC69" s="99" t="s">
        <v>316</v>
      </c>
      <c r="AE69">
        <v>10</v>
      </c>
      <c r="AF69" s="99" t="s">
        <v>316</v>
      </c>
      <c r="AH69">
        <v>11</v>
      </c>
      <c r="AI69" s="99" t="s">
        <v>316</v>
      </c>
      <c r="AK69">
        <v>12</v>
      </c>
      <c r="AL69" s="99" t="s">
        <v>316</v>
      </c>
    </row>
    <row r="70" spans="1:38">
      <c r="A70" s="94" t="s">
        <v>308</v>
      </c>
      <c r="B70" s="58">
        <v>8760</v>
      </c>
      <c r="D70" s="94" t="s">
        <v>397</v>
      </c>
      <c r="E70" s="58">
        <v>744</v>
      </c>
      <c r="G70" s="94" t="s">
        <v>398</v>
      </c>
      <c r="H70" s="58">
        <v>672</v>
      </c>
      <c r="J70" s="94" t="s">
        <v>399</v>
      </c>
      <c r="K70" s="58">
        <v>743</v>
      </c>
      <c r="M70" s="94" t="s">
        <v>400</v>
      </c>
      <c r="N70" s="58">
        <v>720</v>
      </c>
      <c r="P70" s="94" t="s">
        <v>401</v>
      </c>
      <c r="Q70" s="58">
        <v>744</v>
      </c>
      <c r="S70" s="94" t="s">
        <v>402</v>
      </c>
      <c r="T70" s="58">
        <v>720</v>
      </c>
      <c r="V70" s="94" t="s">
        <v>403</v>
      </c>
      <c r="W70" s="58">
        <v>744</v>
      </c>
      <c r="Y70" s="94" t="s">
        <v>404</v>
      </c>
      <c r="Z70" s="58">
        <v>744</v>
      </c>
      <c r="AB70" s="94" t="s">
        <v>405</v>
      </c>
      <c r="AC70" s="58">
        <v>720</v>
      </c>
      <c r="AE70" s="94" t="s">
        <v>406</v>
      </c>
      <c r="AF70" s="58">
        <v>744</v>
      </c>
      <c r="AH70" s="94" t="s">
        <v>407</v>
      </c>
      <c r="AI70" s="58">
        <v>721</v>
      </c>
      <c r="AK70" s="94" t="s">
        <v>408</v>
      </c>
      <c r="AL70" s="58">
        <v>744</v>
      </c>
    </row>
    <row r="71" spans="1:38">
      <c r="A71" s="94" t="s">
        <v>326</v>
      </c>
      <c r="B71" s="58">
        <v>0</v>
      </c>
      <c r="D71" s="94" t="s">
        <v>326</v>
      </c>
      <c r="E71" s="58">
        <v>0</v>
      </c>
      <c r="G71" s="94" t="s">
        <v>326</v>
      </c>
      <c r="H71" s="58">
        <v>744</v>
      </c>
      <c r="J71" s="94" t="s">
        <v>326</v>
      </c>
      <c r="K71" s="58">
        <v>1416</v>
      </c>
      <c r="M71" s="94" t="s">
        <v>326</v>
      </c>
      <c r="N71" s="58">
        <v>2159</v>
      </c>
      <c r="P71" s="94" t="s">
        <v>326</v>
      </c>
      <c r="Q71" s="58">
        <v>2879</v>
      </c>
      <c r="S71" s="94" t="s">
        <v>326</v>
      </c>
      <c r="T71" s="58">
        <v>3623</v>
      </c>
      <c r="V71" s="94" t="s">
        <v>326</v>
      </c>
      <c r="W71" s="58">
        <v>4343</v>
      </c>
      <c r="Y71" s="94" t="s">
        <v>326</v>
      </c>
      <c r="Z71" s="58">
        <v>5087</v>
      </c>
      <c r="AB71" s="94" t="s">
        <v>326</v>
      </c>
      <c r="AC71" s="58">
        <v>5831</v>
      </c>
      <c r="AE71" s="94" t="s">
        <v>326</v>
      </c>
      <c r="AF71" s="58">
        <v>6551</v>
      </c>
      <c r="AH71" s="94" t="s">
        <v>326</v>
      </c>
      <c r="AI71" s="58">
        <v>7295</v>
      </c>
      <c r="AK71" s="94" t="s">
        <v>326</v>
      </c>
      <c r="AL71" s="58">
        <v>8016</v>
      </c>
    </row>
    <row r="72" spans="1:38">
      <c r="A72" s="94" t="s">
        <v>327</v>
      </c>
      <c r="B72" s="58">
        <v>8760</v>
      </c>
      <c r="D72" s="94" t="s">
        <v>327</v>
      </c>
      <c r="E72" s="58">
        <v>744</v>
      </c>
      <c r="G72" s="94" t="s">
        <v>327</v>
      </c>
      <c r="H72" s="58">
        <v>1416</v>
      </c>
      <c r="J72" s="94" t="s">
        <v>327</v>
      </c>
      <c r="K72" s="58">
        <v>2159</v>
      </c>
      <c r="M72" s="94" t="s">
        <v>327</v>
      </c>
      <c r="N72" s="58">
        <v>2879</v>
      </c>
      <c r="P72" s="94" t="s">
        <v>327</v>
      </c>
      <c r="Q72" s="58">
        <v>3623</v>
      </c>
      <c r="S72" s="94" t="s">
        <v>327</v>
      </c>
      <c r="T72" s="58">
        <v>4343</v>
      </c>
      <c r="V72" s="94" t="s">
        <v>327</v>
      </c>
      <c r="W72" s="58">
        <v>5087</v>
      </c>
      <c r="Y72" s="94" t="s">
        <v>327</v>
      </c>
      <c r="Z72" s="58">
        <v>5831</v>
      </c>
      <c r="AB72" s="94" t="s">
        <v>327</v>
      </c>
      <c r="AC72" s="58">
        <v>6551</v>
      </c>
      <c r="AE72" s="94" t="s">
        <v>327</v>
      </c>
      <c r="AF72" s="58">
        <v>7295</v>
      </c>
      <c r="AH72" s="94" t="s">
        <v>327</v>
      </c>
      <c r="AI72" s="58">
        <v>8016</v>
      </c>
      <c r="AK72" s="94" t="s">
        <v>327</v>
      </c>
      <c r="AL72" s="58">
        <v>8760</v>
      </c>
    </row>
    <row r="73" spans="1:38">
      <c r="A73" t="s">
        <v>293</v>
      </c>
      <c r="B73" s="16" t="s">
        <v>294</v>
      </c>
      <c r="D73" t="s">
        <v>293</v>
      </c>
      <c r="E73" s="16" t="s">
        <v>294</v>
      </c>
      <c r="G73" t="s">
        <v>293</v>
      </c>
      <c r="H73" s="16" t="s">
        <v>294</v>
      </c>
      <c r="J73" t="s">
        <v>293</v>
      </c>
      <c r="K73" s="16" t="s">
        <v>294</v>
      </c>
      <c r="M73" t="s">
        <v>293</v>
      </c>
      <c r="N73" s="16" t="s">
        <v>294</v>
      </c>
      <c r="P73" t="s">
        <v>293</v>
      </c>
      <c r="Q73" s="16" t="s">
        <v>294</v>
      </c>
      <c r="S73" t="s">
        <v>293</v>
      </c>
      <c r="T73" s="16" t="s">
        <v>294</v>
      </c>
      <c r="V73" t="s">
        <v>293</v>
      </c>
      <c r="W73" s="16" t="s">
        <v>294</v>
      </c>
      <c r="Y73" t="s">
        <v>293</v>
      </c>
      <c r="Z73" s="16" t="s">
        <v>294</v>
      </c>
      <c r="AB73" t="s">
        <v>293</v>
      </c>
      <c r="AC73" s="16" t="s">
        <v>294</v>
      </c>
      <c r="AE73" t="s">
        <v>293</v>
      </c>
      <c r="AF73" s="16" t="s">
        <v>294</v>
      </c>
      <c r="AH73" t="s">
        <v>293</v>
      </c>
      <c r="AI73" s="16" t="s">
        <v>294</v>
      </c>
      <c r="AK73" t="s">
        <v>293</v>
      </c>
      <c r="AL73" s="16" t="s">
        <v>294</v>
      </c>
    </row>
    <row r="74" spans="1:38">
      <c r="A74">
        <v>0</v>
      </c>
      <c r="B74">
        <v>32.733909084931511</v>
      </c>
      <c r="D74">
        <v>0</v>
      </c>
      <c r="E74">
        <v>44.443713451612901</v>
      </c>
      <c r="G74">
        <v>0</v>
      </c>
      <c r="H74">
        <v>40.615852035714283</v>
      </c>
      <c r="J74">
        <v>0</v>
      </c>
      <c r="K74">
        <v>33.83142161290322</v>
      </c>
      <c r="M74">
        <v>0</v>
      </c>
      <c r="N74">
        <v>29.849923233333335</v>
      </c>
      <c r="P74">
        <v>0</v>
      </c>
      <c r="Q74">
        <v>29.880317322580645</v>
      </c>
      <c r="S74">
        <v>0</v>
      </c>
      <c r="T74">
        <v>30.439434666666664</v>
      </c>
      <c r="V74">
        <v>0</v>
      </c>
      <c r="W74">
        <v>32.536857290322587</v>
      </c>
      <c r="Y74">
        <v>0</v>
      </c>
      <c r="Z74">
        <v>30.868125612903221</v>
      </c>
      <c r="AB74">
        <v>0</v>
      </c>
      <c r="AC74">
        <v>28.071205499999998</v>
      </c>
      <c r="AE74">
        <v>0</v>
      </c>
      <c r="AF74">
        <v>26.029450838709671</v>
      </c>
      <c r="AH74">
        <v>0</v>
      </c>
      <c r="AI74">
        <v>27.81747866666667</v>
      </c>
      <c r="AK74">
        <v>0</v>
      </c>
      <c r="AL74">
        <v>38.709846032258064</v>
      </c>
    </row>
    <row r="75" spans="1:38">
      <c r="A75">
        <v>1</v>
      </c>
      <c r="B75">
        <v>31.521735520547949</v>
      </c>
      <c r="D75">
        <v>1</v>
      </c>
      <c r="E75">
        <v>42.837951064516119</v>
      </c>
      <c r="G75">
        <v>1</v>
      </c>
      <c r="H75">
        <v>40.04489075</v>
      </c>
      <c r="J75">
        <v>1</v>
      </c>
      <c r="K75">
        <v>33.031453806451609</v>
      </c>
      <c r="M75">
        <v>1</v>
      </c>
      <c r="N75">
        <v>28.94165366666666</v>
      </c>
      <c r="P75">
        <v>1</v>
      </c>
      <c r="Q75">
        <v>27.837852387096778</v>
      </c>
      <c r="S75">
        <v>1</v>
      </c>
      <c r="T75">
        <v>29.186615733333337</v>
      </c>
      <c r="V75">
        <v>1</v>
      </c>
      <c r="W75">
        <v>31.33588667741936</v>
      </c>
      <c r="Y75">
        <v>1</v>
      </c>
      <c r="Z75">
        <v>29.733634580645155</v>
      </c>
      <c r="AB75">
        <v>1</v>
      </c>
      <c r="AC75">
        <v>26.788597633333335</v>
      </c>
      <c r="AE75">
        <v>1</v>
      </c>
      <c r="AF75">
        <v>24.587127903225813</v>
      </c>
      <c r="AH75">
        <v>1</v>
      </c>
      <c r="AI75">
        <v>26.790106166666661</v>
      </c>
      <c r="AK75">
        <v>1</v>
      </c>
      <c r="AL75">
        <v>37.506007387096773</v>
      </c>
    </row>
    <row r="76" spans="1:38">
      <c r="A76">
        <v>2</v>
      </c>
      <c r="B76">
        <v>30.861717221917814</v>
      </c>
      <c r="D76">
        <v>2</v>
      </c>
      <c r="E76">
        <v>44.45501793548388</v>
      </c>
      <c r="G76">
        <v>2</v>
      </c>
      <c r="H76">
        <v>39.878009000000006</v>
      </c>
      <c r="J76">
        <v>2</v>
      </c>
      <c r="K76">
        <v>32.730764483870956</v>
      </c>
      <c r="M76">
        <v>2</v>
      </c>
      <c r="N76">
        <v>28.25973436666666</v>
      </c>
      <c r="P76">
        <v>2</v>
      </c>
      <c r="Q76">
        <v>26.56456619354838</v>
      </c>
      <c r="S76">
        <v>2</v>
      </c>
      <c r="T76">
        <v>28.379109233333335</v>
      </c>
      <c r="V76">
        <v>2</v>
      </c>
      <c r="W76">
        <v>30.477965838709682</v>
      </c>
      <c r="Y76">
        <v>2</v>
      </c>
      <c r="Z76">
        <v>28.985910967741933</v>
      </c>
      <c r="AB76">
        <v>2</v>
      </c>
      <c r="AC76">
        <v>25.57691496666666</v>
      </c>
      <c r="AE76">
        <v>2</v>
      </c>
      <c r="AF76">
        <v>23.264399032258069</v>
      </c>
      <c r="AH76">
        <v>2</v>
      </c>
      <c r="AI76">
        <v>25.3423771</v>
      </c>
      <c r="AK76">
        <v>2</v>
      </c>
      <c r="AL76">
        <v>36.785842129032261</v>
      </c>
    </row>
    <row r="77" spans="1:38">
      <c r="A77">
        <v>3</v>
      </c>
      <c r="B77">
        <v>30.359916671232849</v>
      </c>
      <c r="D77">
        <v>3</v>
      </c>
      <c r="E77">
        <v>44.660872806451614</v>
      </c>
      <c r="G77">
        <v>3</v>
      </c>
      <c r="H77">
        <v>40.014531392857144</v>
      </c>
      <c r="J77">
        <v>3</v>
      </c>
      <c r="K77">
        <v>32.672317935483868</v>
      </c>
      <c r="M77">
        <v>3</v>
      </c>
      <c r="N77">
        <v>27.404732666666671</v>
      </c>
      <c r="P77">
        <v>3</v>
      </c>
      <c r="Q77">
        <v>25.957167258064509</v>
      </c>
      <c r="S77">
        <v>3</v>
      </c>
      <c r="T77">
        <v>27.719872499999997</v>
      </c>
      <c r="V77">
        <v>3</v>
      </c>
      <c r="W77">
        <v>29.819216322580655</v>
      </c>
      <c r="Y77">
        <v>3</v>
      </c>
      <c r="Z77">
        <v>28.312833225806443</v>
      </c>
      <c r="AB77">
        <v>3</v>
      </c>
      <c r="AC77">
        <v>24.296188833333336</v>
      </c>
      <c r="AE77">
        <v>3</v>
      </c>
      <c r="AF77">
        <v>22.152593</v>
      </c>
      <c r="AH77">
        <v>3</v>
      </c>
      <c r="AI77">
        <v>25.042238233333332</v>
      </c>
      <c r="AK77">
        <v>3</v>
      </c>
      <c r="AL77">
        <v>36.653120064516123</v>
      </c>
    </row>
    <row r="78" spans="1:38">
      <c r="A78">
        <v>4</v>
      </c>
      <c r="B78">
        <v>30.728067304109569</v>
      </c>
      <c r="D78">
        <v>4</v>
      </c>
      <c r="E78">
        <v>45.991747999999994</v>
      </c>
      <c r="G78">
        <v>4</v>
      </c>
      <c r="H78">
        <v>41.018656392857132</v>
      </c>
      <c r="J78">
        <v>4</v>
      </c>
      <c r="K78">
        <v>32.923539258064515</v>
      </c>
      <c r="M78">
        <v>4</v>
      </c>
      <c r="N78">
        <v>27.099867133333337</v>
      </c>
      <c r="P78">
        <v>4</v>
      </c>
      <c r="Q78">
        <v>26.385898516129036</v>
      </c>
      <c r="S78">
        <v>4</v>
      </c>
      <c r="T78">
        <v>27.843707233333337</v>
      </c>
      <c r="V78">
        <v>4</v>
      </c>
      <c r="W78">
        <v>29.616133741935482</v>
      </c>
      <c r="Y78">
        <v>4</v>
      </c>
      <c r="Z78">
        <v>27.937973000000003</v>
      </c>
      <c r="AB78">
        <v>4</v>
      </c>
      <c r="AC78">
        <v>23.943327766666666</v>
      </c>
      <c r="AE78">
        <v>4</v>
      </c>
      <c r="AF78">
        <v>22.904908709677418</v>
      </c>
      <c r="AH78">
        <v>4</v>
      </c>
      <c r="AI78">
        <v>26.22679213333333</v>
      </c>
      <c r="AK78">
        <v>4</v>
      </c>
      <c r="AL78">
        <v>37.265971645161279</v>
      </c>
    </row>
    <row r="79" spans="1:38">
      <c r="A79">
        <v>5</v>
      </c>
      <c r="B79">
        <v>33.008690994520521</v>
      </c>
      <c r="D79">
        <v>5</v>
      </c>
      <c r="E79">
        <v>52.25901577419355</v>
      </c>
      <c r="G79">
        <v>5</v>
      </c>
      <c r="H79">
        <v>44.018532214285713</v>
      </c>
      <c r="J79">
        <v>5</v>
      </c>
      <c r="K79">
        <v>34.798142032258056</v>
      </c>
      <c r="M79">
        <v>5</v>
      </c>
      <c r="N79">
        <v>28.217615333333324</v>
      </c>
      <c r="P79">
        <v>5</v>
      </c>
      <c r="Q79">
        <v>28.0174834516129</v>
      </c>
      <c r="S79">
        <v>5</v>
      </c>
      <c r="T79">
        <v>27.959190066666672</v>
      </c>
      <c r="V79">
        <v>5</v>
      </c>
      <c r="W79">
        <v>30.114408064516134</v>
      </c>
      <c r="Y79">
        <v>5</v>
      </c>
      <c r="Z79">
        <v>28.50699916129032</v>
      </c>
      <c r="AB79">
        <v>5</v>
      </c>
      <c r="AC79">
        <v>26.950537999999998</v>
      </c>
      <c r="AE79">
        <v>5</v>
      </c>
      <c r="AF79">
        <v>27.444434935483873</v>
      </c>
      <c r="AH79">
        <v>5</v>
      </c>
      <c r="AI79">
        <v>28.798418533333336</v>
      </c>
      <c r="AK79">
        <v>5</v>
      </c>
      <c r="AL79">
        <v>39.436305387096773</v>
      </c>
    </row>
    <row r="80" spans="1:38">
      <c r="A80">
        <v>6</v>
      </c>
      <c r="B80">
        <v>35.616676128767118</v>
      </c>
      <c r="D80">
        <v>6</v>
      </c>
      <c r="E80">
        <v>60.344621999999994</v>
      </c>
      <c r="G80">
        <v>6</v>
      </c>
      <c r="H80">
        <v>49.343556892857144</v>
      </c>
      <c r="J80">
        <v>6</v>
      </c>
      <c r="K80">
        <v>36.061610290322584</v>
      </c>
      <c r="M80">
        <v>6</v>
      </c>
      <c r="N80">
        <v>29.177318666666661</v>
      </c>
      <c r="P80">
        <v>6</v>
      </c>
      <c r="Q80">
        <v>29.964496161290324</v>
      </c>
      <c r="S80">
        <v>6</v>
      </c>
      <c r="T80">
        <v>30.237932066666666</v>
      </c>
      <c r="V80">
        <v>6</v>
      </c>
      <c r="W80">
        <v>31.738787483870961</v>
      </c>
      <c r="Y80">
        <v>6</v>
      </c>
      <c r="Z80">
        <v>30.715856903225806</v>
      </c>
      <c r="AB80">
        <v>6</v>
      </c>
      <c r="AC80">
        <v>28.980887400000004</v>
      </c>
      <c r="AE80">
        <v>6</v>
      </c>
      <c r="AF80">
        <v>30.253271290322576</v>
      </c>
      <c r="AH80">
        <v>6</v>
      </c>
      <c r="AI80">
        <v>30.647489499999995</v>
      </c>
      <c r="AK80">
        <v>6</v>
      </c>
      <c r="AL80">
        <v>40.507109580645157</v>
      </c>
    </row>
    <row r="81" spans="1:38">
      <c r="A81">
        <v>7</v>
      </c>
      <c r="B81">
        <v>37.312693545205498</v>
      </c>
      <c r="D81">
        <v>7</v>
      </c>
      <c r="E81">
        <v>63.725946548387093</v>
      </c>
      <c r="G81">
        <v>7</v>
      </c>
      <c r="H81">
        <v>52.312646428571441</v>
      </c>
      <c r="J81">
        <v>7</v>
      </c>
      <c r="K81">
        <v>37.155480741935477</v>
      </c>
      <c r="M81">
        <v>7</v>
      </c>
      <c r="N81">
        <v>30.659333399999994</v>
      </c>
      <c r="P81">
        <v>7</v>
      </c>
      <c r="Q81">
        <v>31.049558322580641</v>
      </c>
      <c r="S81">
        <v>7</v>
      </c>
      <c r="T81">
        <v>31.349779000000009</v>
      </c>
      <c r="V81">
        <v>7</v>
      </c>
      <c r="W81">
        <v>33.374237967741934</v>
      </c>
      <c r="Y81">
        <v>7</v>
      </c>
      <c r="Z81">
        <v>33.035288935483869</v>
      </c>
      <c r="AB81">
        <v>7</v>
      </c>
      <c r="AC81">
        <v>30.611024566666671</v>
      </c>
      <c r="AE81">
        <v>7</v>
      </c>
      <c r="AF81">
        <v>32.281977258064515</v>
      </c>
      <c r="AH81">
        <v>7</v>
      </c>
      <c r="AI81">
        <v>31.809469333333329</v>
      </c>
      <c r="AK81">
        <v>7</v>
      </c>
      <c r="AL81">
        <v>41.0385055483871</v>
      </c>
    </row>
    <row r="82" spans="1:38">
      <c r="A82">
        <v>8</v>
      </c>
      <c r="B82">
        <v>37.88042201369867</v>
      </c>
      <c r="D82">
        <v>8</v>
      </c>
      <c r="E82">
        <v>62.764954967741943</v>
      </c>
      <c r="G82">
        <v>8</v>
      </c>
      <c r="H82">
        <v>51.43433378571428</v>
      </c>
      <c r="J82">
        <v>8</v>
      </c>
      <c r="K82">
        <v>37.362141032258066</v>
      </c>
      <c r="M82">
        <v>8</v>
      </c>
      <c r="N82">
        <v>31.573454766666668</v>
      </c>
      <c r="P82">
        <v>8</v>
      </c>
      <c r="Q82">
        <v>32.424172193548387</v>
      </c>
      <c r="S82">
        <v>8</v>
      </c>
      <c r="T82">
        <v>31.479933733333333</v>
      </c>
      <c r="V82">
        <v>8</v>
      </c>
      <c r="W82">
        <v>34.653774161290329</v>
      </c>
      <c r="Y82">
        <v>8</v>
      </c>
      <c r="Z82">
        <v>35.18684170967741</v>
      </c>
      <c r="AB82">
        <v>8</v>
      </c>
      <c r="AC82">
        <v>31.834378600000012</v>
      </c>
      <c r="AE82">
        <v>8</v>
      </c>
      <c r="AF82">
        <v>33.899824774193547</v>
      </c>
      <c r="AH82">
        <v>8</v>
      </c>
      <c r="AI82">
        <v>31.309978866666665</v>
      </c>
      <c r="AK82">
        <v>8</v>
      </c>
      <c r="AL82">
        <v>41.136043096774195</v>
      </c>
    </row>
    <row r="83" spans="1:38">
      <c r="A83">
        <v>9</v>
      </c>
      <c r="B83">
        <v>38.400956553424628</v>
      </c>
      <c r="D83">
        <v>9</v>
      </c>
      <c r="E83">
        <v>59.649817870967738</v>
      </c>
      <c r="G83">
        <v>9</v>
      </c>
      <c r="H83">
        <v>50.816497178571431</v>
      </c>
      <c r="J83">
        <v>9</v>
      </c>
      <c r="K83">
        <v>37.902692161290311</v>
      </c>
      <c r="M83">
        <v>9</v>
      </c>
      <c r="N83">
        <v>32.733849400000004</v>
      </c>
      <c r="P83">
        <v>9</v>
      </c>
      <c r="Q83">
        <v>33.13155706451613</v>
      </c>
      <c r="S83">
        <v>9</v>
      </c>
      <c r="T83">
        <v>32.395881633333332</v>
      </c>
      <c r="V83">
        <v>9</v>
      </c>
      <c r="W83">
        <v>36.426157290322578</v>
      </c>
      <c r="Y83">
        <v>9</v>
      </c>
      <c r="Z83">
        <v>37.631720838709668</v>
      </c>
      <c r="AB83">
        <v>9</v>
      </c>
      <c r="AC83">
        <v>33.517010766666672</v>
      </c>
      <c r="AE83">
        <v>9</v>
      </c>
      <c r="AF83">
        <v>34.898263935483868</v>
      </c>
      <c r="AH83">
        <v>9</v>
      </c>
      <c r="AI83">
        <v>31.603560433333335</v>
      </c>
      <c r="AK83">
        <v>9</v>
      </c>
      <c r="AL83">
        <v>40.552634516129025</v>
      </c>
    </row>
    <row r="84" spans="1:38">
      <c r="A84">
        <v>10</v>
      </c>
      <c r="B84">
        <v>38.804635380821892</v>
      </c>
      <c r="D84">
        <v>10</v>
      </c>
      <c r="E84">
        <v>57.506322193548378</v>
      </c>
      <c r="G84">
        <v>10</v>
      </c>
      <c r="H84">
        <v>50.402991749999991</v>
      </c>
      <c r="J84">
        <v>10</v>
      </c>
      <c r="K84">
        <v>37.878369483870962</v>
      </c>
      <c r="M84">
        <v>10</v>
      </c>
      <c r="N84">
        <v>33.409534999999984</v>
      </c>
      <c r="P84">
        <v>10</v>
      </c>
      <c r="Q84">
        <v>34.052814516129033</v>
      </c>
      <c r="S84">
        <v>10</v>
      </c>
      <c r="T84">
        <v>33.732018966666672</v>
      </c>
      <c r="V84">
        <v>10</v>
      </c>
      <c r="W84">
        <v>37.542061419354837</v>
      </c>
      <c r="Y84">
        <v>10</v>
      </c>
      <c r="Z84">
        <v>39.46470648387097</v>
      </c>
      <c r="AB84">
        <v>10</v>
      </c>
      <c r="AC84">
        <v>34.515152599999993</v>
      </c>
      <c r="AE84">
        <v>10</v>
      </c>
      <c r="AF84">
        <v>35.161331774193542</v>
      </c>
      <c r="AH84">
        <v>10</v>
      </c>
      <c r="AI84">
        <v>31.732525933333324</v>
      </c>
      <c r="AK84">
        <v>10</v>
      </c>
      <c r="AL84">
        <v>40.676044774193564</v>
      </c>
    </row>
    <row r="85" spans="1:38">
      <c r="A85">
        <v>11</v>
      </c>
      <c r="B85">
        <v>38.842926871232869</v>
      </c>
      <c r="D85">
        <v>11</v>
      </c>
      <c r="E85">
        <v>55.231210387096787</v>
      </c>
      <c r="G85">
        <v>11</v>
      </c>
      <c r="H85">
        <v>48.752860357142858</v>
      </c>
      <c r="J85">
        <v>11</v>
      </c>
      <c r="K85">
        <v>37.564860903225792</v>
      </c>
      <c r="M85">
        <v>11</v>
      </c>
      <c r="N85">
        <v>33.505568966666665</v>
      </c>
      <c r="P85">
        <v>11</v>
      </c>
      <c r="Q85">
        <v>33.748588322580652</v>
      </c>
      <c r="S85">
        <v>11</v>
      </c>
      <c r="T85">
        <v>34.741316166666664</v>
      </c>
      <c r="V85">
        <v>11</v>
      </c>
      <c r="W85">
        <v>39.255186161290332</v>
      </c>
      <c r="Y85">
        <v>11</v>
      </c>
      <c r="Z85">
        <v>41.389505161290323</v>
      </c>
      <c r="AB85">
        <v>11</v>
      </c>
      <c r="AC85">
        <v>35.093219533333333</v>
      </c>
      <c r="AE85">
        <v>11</v>
      </c>
      <c r="AF85">
        <v>34.755791709677425</v>
      </c>
      <c r="AH85">
        <v>11</v>
      </c>
      <c r="AI85">
        <v>31.735179566666673</v>
      </c>
      <c r="AK85">
        <v>11</v>
      </c>
      <c r="AL85">
        <v>40.646137709677411</v>
      </c>
    </row>
    <row r="86" spans="1:38">
      <c r="A86">
        <v>12</v>
      </c>
      <c r="B86">
        <v>38.563509745205536</v>
      </c>
      <c r="D86">
        <v>12</v>
      </c>
      <c r="E86">
        <v>52.891200612903219</v>
      </c>
      <c r="G86">
        <v>12</v>
      </c>
      <c r="H86">
        <v>47.451168571428575</v>
      </c>
      <c r="J86">
        <v>12</v>
      </c>
      <c r="K86">
        <v>36.399505580645155</v>
      </c>
      <c r="M86">
        <v>12</v>
      </c>
      <c r="N86">
        <v>33.3312101</v>
      </c>
      <c r="P86">
        <v>12</v>
      </c>
      <c r="Q86">
        <v>33.130474709677422</v>
      </c>
      <c r="S86">
        <v>12</v>
      </c>
      <c r="T86">
        <v>35.02354196666667</v>
      </c>
      <c r="V86">
        <v>12</v>
      </c>
      <c r="W86">
        <v>40.337274451612899</v>
      </c>
      <c r="Y86">
        <v>12</v>
      </c>
      <c r="Z86">
        <v>42.705703999999997</v>
      </c>
      <c r="AB86">
        <v>12</v>
      </c>
      <c r="AC86">
        <v>35.770157099999999</v>
      </c>
      <c r="AE86">
        <v>12</v>
      </c>
      <c r="AF86">
        <v>34.405681483870971</v>
      </c>
      <c r="AH86">
        <v>12</v>
      </c>
      <c r="AI86">
        <v>31.185086466666665</v>
      </c>
      <c r="AK86">
        <v>12</v>
      </c>
      <c r="AL86">
        <v>40.380109741935485</v>
      </c>
    </row>
    <row r="87" spans="1:38">
      <c r="A87">
        <v>13</v>
      </c>
      <c r="B87">
        <v>38.568348786301371</v>
      </c>
      <c r="D87">
        <v>13</v>
      </c>
      <c r="E87">
        <v>51.481343548387102</v>
      </c>
      <c r="G87">
        <v>13</v>
      </c>
      <c r="H87">
        <v>46.830073607142864</v>
      </c>
      <c r="J87">
        <v>13</v>
      </c>
      <c r="K87">
        <v>36.040240903225815</v>
      </c>
      <c r="M87">
        <v>13</v>
      </c>
      <c r="N87">
        <v>33.063913266666667</v>
      </c>
      <c r="P87">
        <v>13</v>
      </c>
      <c r="Q87">
        <v>33.018472838709684</v>
      </c>
      <c r="S87">
        <v>13</v>
      </c>
      <c r="T87">
        <v>35.273905333333339</v>
      </c>
      <c r="V87">
        <v>13</v>
      </c>
      <c r="W87">
        <v>41.379038096774195</v>
      </c>
      <c r="Y87">
        <v>13</v>
      </c>
      <c r="Z87">
        <v>44.465045741935484</v>
      </c>
      <c r="AB87">
        <v>13</v>
      </c>
      <c r="AC87">
        <v>36.310293533333336</v>
      </c>
      <c r="AE87">
        <v>13</v>
      </c>
      <c r="AF87">
        <v>33.926517419354845</v>
      </c>
      <c r="AH87">
        <v>13</v>
      </c>
      <c r="AI87">
        <v>31.098184100000005</v>
      </c>
      <c r="AK87">
        <v>13</v>
      </c>
      <c r="AL87">
        <v>40.135030451612899</v>
      </c>
    </row>
    <row r="88" spans="1:38">
      <c r="A88">
        <v>14</v>
      </c>
      <c r="B88">
        <v>38.451106471232862</v>
      </c>
      <c r="D88">
        <v>14</v>
      </c>
      <c r="E88">
        <v>51.574376838709675</v>
      </c>
      <c r="G88">
        <v>14</v>
      </c>
      <c r="H88">
        <v>45.376660749999999</v>
      </c>
      <c r="J88">
        <v>14</v>
      </c>
      <c r="K88">
        <v>35.503259290322589</v>
      </c>
      <c r="M88">
        <v>14</v>
      </c>
      <c r="N88">
        <v>32.87160273333334</v>
      </c>
      <c r="P88">
        <v>14</v>
      </c>
      <c r="Q88">
        <v>33.204175677419364</v>
      </c>
      <c r="S88">
        <v>14</v>
      </c>
      <c r="T88">
        <v>35.583953700000002</v>
      </c>
      <c r="V88">
        <v>14</v>
      </c>
      <c r="W88">
        <v>41.932564741935487</v>
      </c>
      <c r="Y88">
        <v>14</v>
      </c>
      <c r="Z88">
        <v>45.097238967741937</v>
      </c>
      <c r="AB88">
        <v>14</v>
      </c>
      <c r="AC88">
        <v>36.294061900000003</v>
      </c>
      <c r="AE88">
        <v>14</v>
      </c>
      <c r="AF88">
        <v>33.530183483870964</v>
      </c>
      <c r="AH88">
        <v>14</v>
      </c>
      <c r="AI88">
        <v>30.690777166666667</v>
      </c>
      <c r="AK88">
        <v>14</v>
      </c>
      <c r="AL88">
        <v>39.832249258064515</v>
      </c>
    </row>
    <row r="89" spans="1:38">
      <c r="A89">
        <v>15</v>
      </c>
      <c r="B89">
        <v>38.569947112328784</v>
      </c>
      <c r="D89">
        <v>15</v>
      </c>
      <c r="E89">
        <v>54.188351225806443</v>
      </c>
      <c r="G89">
        <v>15</v>
      </c>
      <c r="H89">
        <v>45.211755428571443</v>
      </c>
      <c r="J89">
        <v>15</v>
      </c>
      <c r="K89">
        <v>35.019705516129029</v>
      </c>
      <c r="M89">
        <v>15</v>
      </c>
      <c r="N89">
        <v>32.467120599999994</v>
      </c>
      <c r="P89">
        <v>15</v>
      </c>
      <c r="Q89">
        <v>32.617859225806463</v>
      </c>
      <c r="S89">
        <v>15</v>
      </c>
      <c r="T89">
        <v>35.539849866666671</v>
      </c>
      <c r="V89">
        <v>15</v>
      </c>
      <c r="W89">
        <v>42.093209258064526</v>
      </c>
      <c r="Y89">
        <v>15</v>
      </c>
      <c r="Z89">
        <v>45.508718387096756</v>
      </c>
      <c r="AB89">
        <v>15</v>
      </c>
      <c r="AC89">
        <v>36.146160166666661</v>
      </c>
      <c r="AE89">
        <v>15</v>
      </c>
      <c r="AF89">
        <v>33.428760548387103</v>
      </c>
      <c r="AH89">
        <v>15</v>
      </c>
      <c r="AI89">
        <v>30.714027366666667</v>
      </c>
      <c r="AK89">
        <v>15</v>
      </c>
      <c r="AL89">
        <v>39.920389516129028</v>
      </c>
    </row>
    <row r="90" spans="1:38">
      <c r="A90">
        <v>16</v>
      </c>
      <c r="B90">
        <v>39.549457808219174</v>
      </c>
      <c r="D90">
        <v>16</v>
      </c>
      <c r="E90">
        <v>58.425396548387099</v>
      </c>
      <c r="G90">
        <v>16</v>
      </c>
      <c r="H90">
        <v>46.325818571428577</v>
      </c>
      <c r="J90">
        <v>16</v>
      </c>
      <c r="K90">
        <v>35.667221258064522</v>
      </c>
      <c r="M90">
        <v>16</v>
      </c>
      <c r="N90">
        <v>32.985779599999994</v>
      </c>
      <c r="P90">
        <v>16</v>
      </c>
      <c r="Q90">
        <v>32.604883419354834</v>
      </c>
      <c r="S90">
        <v>16</v>
      </c>
      <c r="T90">
        <v>35.517610833333336</v>
      </c>
      <c r="V90">
        <v>16</v>
      </c>
      <c r="W90">
        <v>42.87483725806451</v>
      </c>
      <c r="Y90">
        <v>16</v>
      </c>
      <c r="Z90">
        <v>45.807164838709667</v>
      </c>
      <c r="AB90">
        <v>16</v>
      </c>
      <c r="AC90">
        <v>37.252089466666675</v>
      </c>
      <c r="AE90">
        <v>16</v>
      </c>
      <c r="AF90">
        <v>34.083670354838716</v>
      </c>
      <c r="AH90">
        <v>16</v>
      </c>
      <c r="AI90">
        <v>31.995942100000004</v>
      </c>
      <c r="AK90">
        <v>16</v>
      </c>
      <c r="AL90">
        <v>41.049294709677412</v>
      </c>
    </row>
    <row r="91" spans="1:38">
      <c r="A91">
        <v>17</v>
      </c>
      <c r="B91">
        <v>40.850554778082213</v>
      </c>
      <c r="D91">
        <v>17</v>
      </c>
      <c r="E91">
        <v>64.895480612903242</v>
      </c>
      <c r="G91">
        <v>17</v>
      </c>
      <c r="H91">
        <v>46.735072464285729</v>
      </c>
      <c r="J91">
        <v>17</v>
      </c>
      <c r="K91">
        <v>36.207175225806452</v>
      </c>
      <c r="M91">
        <v>17</v>
      </c>
      <c r="N91">
        <v>32.851368300000004</v>
      </c>
      <c r="P91">
        <v>17</v>
      </c>
      <c r="Q91">
        <v>32.705328096774196</v>
      </c>
      <c r="S91">
        <v>17</v>
      </c>
      <c r="T91">
        <v>35.097032099999993</v>
      </c>
      <c r="V91">
        <v>17</v>
      </c>
      <c r="W91">
        <v>43.125212354838702</v>
      </c>
      <c r="Y91">
        <v>17</v>
      </c>
      <c r="Z91">
        <v>44.589856903225801</v>
      </c>
      <c r="AB91">
        <v>17</v>
      </c>
      <c r="AC91">
        <v>37.00748123333333</v>
      </c>
      <c r="AE91">
        <v>17</v>
      </c>
      <c r="AF91">
        <v>35.71553541935485</v>
      </c>
      <c r="AH91">
        <v>17</v>
      </c>
      <c r="AI91">
        <v>35.529734433333324</v>
      </c>
      <c r="AK91">
        <v>17</v>
      </c>
      <c r="AL91">
        <v>45.577604387096784</v>
      </c>
    </row>
    <row r="92" spans="1:38">
      <c r="A92">
        <v>18</v>
      </c>
      <c r="B92">
        <v>41.093842542465758</v>
      </c>
      <c r="D92">
        <v>18</v>
      </c>
      <c r="E92">
        <v>66.118519064516121</v>
      </c>
      <c r="G92">
        <v>18</v>
      </c>
      <c r="H92">
        <v>50.933853178571432</v>
      </c>
      <c r="J92">
        <v>18</v>
      </c>
      <c r="K92">
        <v>38.731736806451607</v>
      </c>
      <c r="M92">
        <v>18</v>
      </c>
      <c r="N92">
        <v>33.07980846666667</v>
      </c>
      <c r="P92">
        <v>18</v>
      </c>
      <c r="Q92">
        <v>32.093153935483876</v>
      </c>
      <c r="S92">
        <v>18</v>
      </c>
      <c r="T92">
        <v>33.810472866666672</v>
      </c>
      <c r="V92">
        <v>18</v>
      </c>
      <c r="W92">
        <v>41.630951032258061</v>
      </c>
      <c r="Y92">
        <v>18</v>
      </c>
      <c r="Z92">
        <v>42.089110935483873</v>
      </c>
      <c r="AB92">
        <v>18</v>
      </c>
      <c r="AC92">
        <v>36.318380366666673</v>
      </c>
      <c r="AE92">
        <v>18</v>
      </c>
      <c r="AF92">
        <v>37.881414290322574</v>
      </c>
      <c r="AH92">
        <v>18</v>
      </c>
      <c r="AI92">
        <v>35.2243523</v>
      </c>
      <c r="AK92">
        <v>18</v>
      </c>
      <c r="AL92">
        <v>45.329766161290316</v>
      </c>
    </row>
    <row r="93" spans="1:38">
      <c r="A93">
        <v>19</v>
      </c>
      <c r="B93">
        <v>40.406672372602692</v>
      </c>
      <c r="D93">
        <v>19</v>
      </c>
      <c r="E93">
        <v>63.486381161290339</v>
      </c>
      <c r="G93">
        <v>19</v>
      </c>
      <c r="H93">
        <v>51.105153892857118</v>
      </c>
      <c r="J93">
        <v>19</v>
      </c>
      <c r="K93">
        <v>39.110231806451615</v>
      </c>
      <c r="M93">
        <v>19</v>
      </c>
      <c r="N93">
        <v>33.382770233333339</v>
      </c>
      <c r="P93">
        <v>19</v>
      </c>
      <c r="Q93">
        <v>31.754485322580649</v>
      </c>
      <c r="S93">
        <v>19</v>
      </c>
      <c r="T93">
        <v>32.798607799999999</v>
      </c>
      <c r="V93">
        <v>19</v>
      </c>
      <c r="W93">
        <v>39.855948419354846</v>
      </c>
      <c r="Y93">
        <v>19</v>
      </c>
      <c r="Z93">
        <v>40.16930683870968</v>
      </c>
      <c r="AB93">
        <v>19</v>
      </c>
      <c r="AC93">
        <v>37.18400616666667</v>
      </c>
      <c r="AE93">
        <v>19</v>
      </c>
      <c r="AF93">
        <v>38.185643967741932</v>
      </c>
      <c r="AH93">
        <v>19</v>
      </c>
      <c r="AI93">
        <v>34.011588733333333</v>
      </c>
      <c r="AK93">
        <v>19</v>
      </c>
      <c r="AL93">
        <v>44.089032129032255</v>
      </c>
    </row>
    <row r="94" spans="1:38">
      <c r="A94">
        <v>20</v>
      </c>
      <c r="B94">
        <v>39.407612684931536</v>
      </c>
      <c r="D94">
        <v>20</v>
      </c>
      <c r="E94">
        <v>58.312359225806468</v>
      </c>
      <c r="G94">
        <v>20</v>
      </c>
      <c r="H94">
        <v>50.631063499999996</v>
      </c>
      <c r="J94">
        <v>20</v>
      </c>
      <c r="K94">
        <v>37.919336451612899</v>
      </c>
      <c r="M94">
        <v>20</v>
      </c>
      <c r="N94">
        <v>34.651290866666663</v>
      </c>
      <c r="P94">
        <v>20</v>
      </c>
      <c r="Q94">
        <v>33.670650903225805</v>
      </c>
      <c r="S94">
        <v>20</v>
      </c>
      <c r="T94">
        <v>32.678760833333335</v>
      </c>
      <c r="V94">
        <v>20</v>
      </c>
      <c r="W94">
        <v>39.005607322580651</v>
      </c>
      <c r="Y94">
        <v>20</v>
      </c>
      <c r="Z94">
        <v>40.138171032258064</v>
      </c>
      <c r="AB94">
        <v>20</v>
      </c>
      <c r="AC94">
        <v>36.022234033333334</v>
      </c>
      <c r="AE94">
        <v>20</v>
      </c>
      <c r="AF94">
        <v>36.07476029032258</v>
      </c>
      <c r="AH94">
        <v>20</v>
      </c>
      <c r="AI94">
        <v>32.39316456666667</v>
      </c>
      <c r="AK94">
        <v>20</v>
      </c>
      <c r="AL94">
        <v>41.774125838709672</v>
      </c>
    </row>
    <row r="95" spans="1:38">
      <c r="A95">
        <v>21</v>
      </c>
      <c r="B95">
        <v>38.087709994520559</v>
      </c>
      <c r="D95">
        <v>21</v>
      </c>
      <c r="E95">
        <v>57.59192703225807</v>
      </c>
      <c r="G95">
        <v>21</v>
      </c>
      <c r="H95">
        <v>48.623965357142858</v>
      </c>
      <c r="J95">
        <v>21</v>
      </c>
      <c r="K95">
        <v>36.417348580645168</v>
      </c>
      <c r="M95">
        <v>21</v>
      </c>
      <c r="N95">
        <v>33.294075333333332</v>
      </c>
      <c r="P95">
        <v>21</v>
      </c>
      <c r="Q95">
        <v>33.656273354838703</v>
      </c>
      <c r="S95">
        <v>21</v>
      </c>
      <c r="T95">
        <v>33.125845633333327</v>
      </c>
      <c r="V95">
        <v>21</v>
      </c>
      <c r="W95">
        <v>38.522075258064518</v>
      </c>
      <c r="Y95">
        <v>21</v>
      </c>
      <c r="Z95">
        <v>38.354096354838717</v>
      </c>
      <c r="AB95">
        <v>21</v>
      </c>
      <c r="AC95">
        <v>33.4518384</v>
      </c>
      <c r="AE95">
        <v>21</v>
      </c>
      <c r="AF95">
        <v>33.208114870967748</v>
      </c>
      <c r="AH95">
        <v>21</v>
      </c>
      <c r="AI95">
        <v>30.345614666666663</v>
      </c>
      <c r="AK95">
        <v>21</v>
      </c>
      <c r="AL95">
        <v>40.766999935483874</v>
      </c>
    </row>
    <row r="96" spans="1:38">
      <c r="A96">
        <v>22</v>
      </c>
      <c r="B96">
        <v>35.714829449315062</v>
      </c>
      <c r="D96">
        <v>22</v>
      </c>
      <c r="E96">
        <v>54.688765806451613</v>
      </c>
      <c r="G96">
        <v>22</v>
      </c>
      <c r="H96">
        <v>47.715420571428574</v>
      </c>
      <c r="J96">
        <v>22</v>
      </c>
      <c r="K96">
        <v>35.077288193548384</v>
      </c>
      <c r="M96">
        <v>22</v>
      </c>
      <c r="N96">
        <v>30.449550533333333</v>
      </c>
      <c r="P96">
        <v>22</v>
      </c>
      <c r="Q96">
        <v>30.93871974193549</v>
      </c>
      <c r="S96">
        <v>22</v>
      </c>
      <c r="T96">
        <v>31.080567200000001</v>
      </c>
      <c r="V96">
        <v>22</v>
      </c>
      <c r="W96">
        <v>35.047467161290321</v>
      </c>
      <c r="Y96">
        <v>22</v>
      </c>
      <c r="Z96">
        <v>34.303642064516126</v>
      </c>
      <c r="AB96">
        <v>22</v>
      </c>
      <c r="AC96">
        <v>29.644641666666669</v>
      </c>
      <c r="AE96">
        <v>22</v>
      </c>
      <c r="AF96">
        <v>29.754228064516131</v>
      </c>
      <c r="AH96">
        <v>22</v>
      </c>
      <c r="AI96">
        <v>29.663026533333333</v>
      </c>
      <c r="AK96">
        <v>22</v>
      </c>
      <c r="AL96">
        <v>40.665611387096774</v>
      </c>
    </row>
    <row r="97" spans="1:38">
      <c r="A97">
        <v>23</v>
      </c>
      <c r="B97">
        <v>33.619445271232877</v>
      </c>
      <c r="D97">
        <v>23</v>
      </c>
      <c r="E97">
        <v>50.239377451612903</v>
      </c>
      <c r="G97">
        <v>23</v>
      </c>
      <c r="H97">
        <v>43.622448607142857</v>
      </c>
      <c r="J97">
        <v>23</v>
      </c>
      <c r="K97">
        <v>34.681884133333334</v>
      </c>
      <c r="M97">
        <v>23</v>
      </c>
      <c r="N97">
        <v>29.790552300000005</v>
      </c>
      <c r="P97">
        <v>23</v>
      </c>
      <c r="Q97">
        <v>29.095822838709676</v>
      </c>
      <c r="S97">
        <v>23</v>
      </c>
      <c r="T97">
        <v>29.974400833333334</v>
      </c>
      <c r="V97">
        <v>23</v>
      </c>
      <c r="W97">
        <v>32.672525645161294</v>
      </c>
      <c r="Y97">
        <v>23</v>
      </c>
      <c r="Z97">
        <v>30.92037574193548</v>
      </c>
      <c r="AB97">
        <v>23</v>
      </c>
      <c r="AC97">
        <v>27.375369200000005</v>
      </c>
      <c r="AE97">
        <v>23</v>
      </c>
      <c r="AF97">
        <v>27.59817138709677</v>
      </c>
      <c r="AH97">
        <v>23</v>
      </c>
      <c r="AI97">
        <v>28.545415193548383</v>
      </c>
      <c r="AK97">
        <v>23</v>
      </c>
      <c r="AL97">
        <v>39.47678816129033</v>
      </c>
    </row>
    <row r="98" spans="1:38">
      <c r="A98" t="s">
        <v>328</v>
      </c>
      <c r="B98">
        <v>36.623141012785382</v>
      </c>
      <c r="D98" t="s">
        <v>328</v>
      </c>
      <c r="E98">
        <v>54.906861338709682</v>
      </c>
      <c r="G98" t="s">
        <v>328</v>
      </c>
      <c r="H98">
        <v>46.633992194940468</v>
      </c>
      <c r="J98" t="s">
        <v>328</v>
      </c>
      <c r="K98">
        <v>35.861988645340503</v>
      </c>
      <c r="M98" t="s">
        <v>328</v>
      </c>
      <c r="N98">
        <v>31.377151205555553</v>
      </c>
      <c r="P98" t="s">
        <v>328</v>
      </c>
      <c r="Q98">
        <v>31.146032157258066</v>
      </c>
      <c r="S98" t="s">
        <v>328</v>
      </c>
      <c r="T98">
        <v>32.123722498611116</v>
      </c>
      <c r="V98" t="s">
        <v>328</v>
      </c>
      <c r="W98">
        <v>36.473640975806454</v>
      </c>
      <c r="Y98" t="s">
        <v>328</v>
      </c>
      <c r="Z98">
        <v>36.913242849462357</v>
      </c>
      <c r="AB98" t="s">
        <v>328</v>
      </c>
      <c r="AC98">
        <v>32.039798308333339</v>
      </c>
      <c r="AE98" t="s">
        <v>328</v>
      </c>
      <c r="AF98">
        <v>31.476085697580647</v>
      </c>
      <c r="AH98" t="s">
        <v>328</v>
      </c>
      <c r="AI98">
        <v>30.427188670564515</v>
      </c>
      <c r="AK98" t="s">
        <v>328</v>
      </c>
      <c r="AL98">
        <v>40.412940397849461</v>
      </c>
    </row>
    <row r="101" spans="1:38">
      <c r="A101" s="94">
        <v>2019</v>
      </c>
      <c r="B101" s="99" t="s">
        <v>325</v>
      </c>
      <c r="D101">
        <v>1</v>
      </c>
      <c r="E101" s="99" t="s">
        <v>316</v>
      </c>
      <c r="G101">
        <v>2</v>
      </c>
      <c r="H101" s="99" t="s">
        <v>316</v>
      </c>
      <c r="J101">
        <v>3</v>
      </c>
      <c r="K101" s="99" t="s">
        <v>316</v>
      </c>
      <c r="M101">
        <v>4</v>
      </c>
      <c r="N101" s="99" t="s">
        <v>316</v>
      </c>
      <c r="P101">
        <v>5</v>
      </c>
      <c r="Q101" s="99" t="s">
        <v>316</v>
      </c>
      <c r="S101">
        <v>6</v>
      </c>
      <c r="T101" s="99" t="s">
        <v>316</v>
      </c>
      <c r="V101">
        <v>7</v>
      </c>
      <c r="W101" s="99" t="s">
        <v>316</v>
      </c>
      <c r="Y101">
        <v>8</v>
      </c>
      <c r="Z101" s="99" t="s">
        <v>316</v>
      </c>
      <c r="AB101">
        <v>9</v>
      </c>
      <c r="AC101" s="99" t="s">
        <v>316</v>
      </c>
      <c r="AE101">
        <v>10</v>
      </c>
      <c r="AF101" s="99" t="s">
        <v>316</v>
      </c>
      <c r="AH101">
        <v>11</v>
      </c>
      <c r="AI101" s="99" t="s">
        <v>316</v>
      </c>
      <c r="AK101">
        <v>12</v>
      </c>
      <c r="AL101" s="99" t="s">
        <v>316</v>
      </c>
    </row>
    <row r="102" spans="1:38">
      <c r="A102" s="94" t="s">
        <v>308</v>
      </c>
      <c r="B102" s="58">
        <v>8760</v>
      </c>
      <c r="D102" s="94" t="s">
        <v>397</v>
      </c>
      <c r="E102" s="58">
        <v>744</v>
      </c>
      <c r="G102" s="94" t="s">
        <v>398</v>
      </c>
      <c r="H102" s="58">
        <v>672</v>
      </c>
      <c r="J102" s="94" t="s">
        <v>399</v>
      </c>
      <c r="K102" s="58">
        <v>743</v>
      </c>
      <c r="M102" s="94" t="s">
        <v>400</v>
      </c>
      <c r="N102" s="58">
        <v>720</v>
      </c>
      <c r="P102" s="94" t="s">
        <v>401</v>
      </c>
      <c r="Q102" s="58">
        <v>744</v>
      </c>
      <c r="S102" s="94" t="s">
        <v>402</v>
      </c>
      <c r="T102" s="58">
        <v>720</v>
      </c>
      <c r="V102" s="94" t="s">
        <v>403</v>
      </c>
      <c r="W102" s="58">
        <v>744</v>
      </c>
      <c r="Y102" s="94" t="s">
        <v>404</v>
      </c>
      <c r="Z102" s="58">
        <v>744</v>
      </c>
      <c r="AB102" s="94" t="s">
        <v>405</v>
      </c>
      <c r="AC102" s="58">
        <v>720</v>
      </c>
      <c r="AE102" s="94" t="s">
        <v>406</v>
      </c>
      <c r="AF102" s="58">
        <v>744</v>
      </c>
      <c r="AH102" s="94" t="s">
        <v>407</v>
      </c>
      <c r="AI102" s="58">
        <v>721</v>
      </c>
      <c r="AK102" s="94" t="s">
        <v>408</v>
      </c>
      <c r="AL102" s="58">
        <v>744</v>
      </c>
    </row>
    <row r="103" spans="1:38">
      <c r="A103" s="94" t="s">
        <v>326</v>
      </c>
      <c r="B103" s="58">
        <v>0</v>
      </c>
      <c r="D103" s="94" t="s">
        <v>326</v>
      </c>
      <c r="E103" s="58">
        <v>0</v>
      </c>
      <c r="G103" s="94" t="s">
        <v>326</v>
      </c>
      <c r="H103" s="58">
        <v>744</v>
      </c>
      <c r="J103" s="94" t="s">
        <v>326</v>
      </c>
      <c r="K103" s="58">
        <v>1416</v>
      </c>
      <c r="M103" s="94" t="s">
        <v>326</v>
      </c>
      <c r="N103" s="58">
        <v>2159</v>
      </c>
      <c r="P103" s="94" t="s">
        <v>326</v>
      </c>
      <c r="Q103" s="58">
        <v>2879</v>
      </c>
      <c r="S103" s="94" t="s">
        <v>326</v>
      </c>
      <c r="T103" s="58">
        <v>3623</v>
      </c>
      <c r="V103" s="94" t="s">
        <v>326</v>
      </c>
      <c r="W103" s="58">
        <v>4343</v>
      </c>
      <c r="Y103" s="94" t="s">
        <v>326</v>
      </c>
      <c r="Z103" s="58">
        <v>5087</v>
      </c>
      <c r="AB103" s="94" t="s">
        <v>326</v>
      </c>
      <c r="AC103" s="58">
        <v>5831</v>
      </c>
      <c r="AE103" s="94" t="s">
        <v>326</v>
      </c>
      <c r="AF103" s="58">
        <v>6551</v>
      </c>
      <c r="AH103" s="94" t="s">
        <v>326</v>
      </c>
      <c r="AI103" s="58">
        <v>7295</v>
      </c>
      <c r="AK103" s="94" t="s">
        <v>326</v>
      </c>
      <c r="AL103" s="58">
        <v>8016</v>
      </c>
    </row>
    <row r="104" spans="1:38">
      <c r="A104" s="94" t="s">
        <v>327</v>
      </c>
      <c r="B104" s="58">
        <v>8760</v>
      </c>
      <c r="D104" s="94" t="s">
        <v>327</v>
      </c>
      <c r="E104" s="58">
        <v>744</v>
      </c>
      <c r="G104" s="94" t="s">
        <v>327</v>
      </c>
      <c r="H104" s="58">
        <v>1416</v>
      </c>
      <c r="J104" s="94" t="s">
        <v>327</v>
      </c>
      <c r="K104" s="58">
        <v>2159</v>
      </c>
      <c r="M104" s="94" t="s">
        <v>327</v>
      </c>
      <c r="N104" s="58">
        <v>2879</v>
      </c>
      <c r="P104" s="94" t="s">
        <v>327</v>
      </c>
      <c r="Q104" s="58">
        <v>3623</v>
      </c>
      <c r="S104" s="94" t="s">
        <v>327</v>
      </c>
      <c r="T104" s="58">
        <v>4343</v>
      </c>
      <c r="V104" s="94" t="s">
        <v>327</v>
      </c>
      <c r="W104" s="58">
        <v>5087</v>
      </c>
      <c r="Y104" s="94" t="s">
        <v>327</v>
      </c>
      <c r="Z104" s="58">
        <v>5831</v>
      </c>
      <c r="AB104" s="94" t="s">
        <v>327</v>
      </c>
      <c r="AC104" s="58">
        <v>6551</v>
      </c>
      <c r="AE104" s="94" t="s">
        <v>327</v>
      </c>
      <c r="AF104" s="58">
        <v>7295</v>
      </c>
      <c r="AH104" s="94" t="s">
        <v>327</v>
      </c>
      <c r="AI104" s="58">
        <v>8016</v>
      </c>
      <c r="AK104" s="94" t="s">
        <v>327</v>
      </c>
      <c r="AL104" s="58">
        <v>8760</v>
      </c>
    </row>
    <row r="105" spans="1:38">
      <c r="A105" t="s">
        <v>293</v>
      </c>
      <c r="B105" s="16" t="s">
        <v>294</v>
      </c>
      <c r="D105" t="s">
        <v>293</v>
      </c>
      <c r="E105" s="16" t="s">
        <v>294</v>
      </c>
      <c r="G105" t="s">
        <v>293</v>
      </c>
      <c r="H105" s="16" t="s">
        <v>294</v>
      </c>
      <c r="J105" t="s">
        <v>293</v>
      </c>
      <c r="K105" s="16" t="s">
        <v>294</v>
      </c>
      <c r="M105" t="s">
        <v>293</v>
      </c>
      <c r="N105" s="16" t="s">
        <v>294</v>
      </c>
      <c r="P105" t="s">
        <v>293</v>
      </c>
      <c r="Q105" s="16" t="s">
        <v>294</v>
      </c>
      <c r="S105" t="s">
        <v>293</v>
      </c>
      <c r="T105" s="16" t="s">
        <v>294</v>
      </c>
      <c r="V105" t="s">
        <v>293</v>
      </c>
      <c r="W105" s="16" t="s">
        <v>294</v>
      </c>
      <c r="Y105" t="s">
        <v>293</v>
      </c>
      <c r="Z105" s="16" t="s">
        <v>294</v>
      </c>
      <c r="AB105" t="s">
        <v>293</v>
      </c>
      <c r="AC105" s="16" t="s">
        <v>294</v>
      </c>
      <c r="AE105" t="s">
        <v>293</v>
      </c>
      <c r="AF105" s="16" t="s">
        <v>294</v>
      </c>
      <c r="AH105" t="s">
        <v>293</v>
      </c>
      <c r="AI105" s="16" t="s">
        <v>294</v>
      </c>
      <c r="AK105" t="s">
        <v>293</v>
      </c>
      <c r="AL105" s="16" t="s">
        <v>294</v>
      </c>
    </row>
    <row r="106" spans="1:38">
      <c r="A106">
        <v>0</v>
      </c>
      <c r="B106">
        <v>34.766960232876698</v>
      </c>
      <c r="D106">
        <v>0</v>
      </c>
      <c r="E106">
        <v>46.649211677419352</v>
      </c>
      <c r="G106">
        <v>0</v>
      </c>
      <c r="H106">
        <v>43.744562000000009</v>
      </c>
      <c r="J106">
        <v>0</v>
      </c>
      <c r="K106">
        <v>34.098264258064518</v>
      </c>
      <c r="M106">
        <v>0</v>
      </c>
      <c r="N106">
        <v>31.131675066666666</v>
      </c>
      <c r="P106">
        <v>0</v>
      </c>
      <c r="Q106">
        <v>31.246128258064509</v>
      </c>
      <c r="S106">
        <v>0</v>
      </c>
      <c r="T106">
        <v>32.143250566666659</v>
      </c>
      <c r="V106">
        <v>0</v>
      </c>
      <c r="W106">
        <v>34.897926967741945</v>
      </c>
      <c r="Y106">
        <v>0</v>
      </c>
      <c r="Z106">
        <v>32.842214225806451</v>
      </c>
      <c r="AB106">
        <v>0</v>
      </c>
      <c r="AC106">
        <v>30.191928966666669</v>
      </c>
      <c r="AE106">
        <v>0</v>
      </c>
      <c r="AF106">
        <v>28.531628129032264</v>
      </c>
      <c r="AH106">
        <v>0</v>
      </c>
      <c r="AI106">
        <v>30.041692233333336</v>
      </c>
      <c r="AK106">
        <v>0</v>
      </c>
      <c r="AL106">
        <v>42.051927903225796</v>
      </c>
    </row>
    <row r="107" spans="1:38">
      <c r="A107">
        <v>1</v>
      </c>
      <c r="B107">
        <v>33.683631682191738</v>
      </c>
      <c r="D107">
        <v>1</v>
      </c>
      <c r="E107">
        <v>45.933789645161298</v>
      </c>
      <c r="G107">
        <v>1</v>
      </c>
      <c r="H107">
        <v>41.676487928571433</v>
      </c>
      <c r="J107">
        <v>1</v>
      </c>
      <c r="K107">
        <v>33.685329838709684</v>
      </c>
      <c r="M107">
        <v>1</v>
      </c>
      <c r="N107">
        <v>30.459775533333325</v>
      </c>
      <c r="P107">
        <v>1</v>
      </c>
      <c r="Q107">
        <v>29.570680741935483</v>
      </c>
      <c r="S107">
        <v>1</v>
      </c>
      <c r="T107">
        <v>30.97922590000001</v>
      </c>
      <c r="V107">
        <v>1</v>
      </c>
      <c r="W107">
        <v>33.636442096774196</v>
      </c>
      <c r="Y107">
        <v>1</v>
      </c>
      <c r="Z107">
        <v>32.023989612903229</v>
      </c>
      <c r="AB107">
        <v>1</v>
      </c>
      <c r="AC107">
        <v>29.235980500000007</v>
      </c>
      <c r="AE107">
        <v>1</v>
      </c>
      <c r="AF107">
        <v>27.53748622580645</v>
      </c>
      <c r="AH107">
        <v>1</v>
      </c>
      <c r="AI107">
        <v>28.995514066666669</v>
      </c>
      <c r="AK107">
        <v>1</v>
      </c>
      <c r="AL107">
        <v>40.756443838709679</v>
      </c>
    </row>
    <row r="108" spans="1:38">
      <c r="A108">
        <v>2</v>
      </c>
      <c r="B108">
        <v>32.959740789041078</v>
      </c>
      <c r="D108">
        <v>2</v>
      </c>
      <c r="E108">
        <v>44.71893225806452</v>
      </c>
      <c r="G108">
        <v>2</v>
      </c>
      <c r="H108">
        <v>42.238091607142863</v>
      </c>
      <c r="J108">
        <v>2</v>
      </c>
      <c r="K108">
        <v>33.442951290322583</v>
      </c>
      <c r="M108">
        <v>2</v>
      </c>
      <c r="N108">
        <v>29.7392383</v>
      </c>
      <c r="P108">
        <v>2</v>
      </c>
      <c r="Q108">
        <v>28.43970361290323</v>
      </c>
      <c r="S108">
        <v>2</v>
      </c>
      <c r="T108">
        <v>30.199472400000001</v>
      </c>
      <c r="V108">
        <v>2</v>
      </c>
      <c r="W108">
        <v>32.835227838709677</v>
      </c>
      <c r="Y108">
        <v>2</v>
      </c>
      <c r="Z108">
        <v>30.852652387096782</v>
      </c>
      <c r="AB108">
        <v>2</v>
      </c>
      <c r="AC108">
        <v>28.547552066666658</v>
      </c>
      <c r="AE108">
        <v>2</v>
      </c>
      <c r="AF108">
        <v>26.785038032258065</v>
      </c>
      <c r="AH108">
        <v>2</v>
      </c>
      <c r="AI108">
        <v>27.972366966666662</v>
      </c>
      <c r="AK108">
        <v>2</v>
      </c>
      <c r="AL108">
        <v>40.147427838709682</v>
      </c>
    </row>
    <row r="109" spans="1:38">
      <c r="A109">
        <v>3</v>
      </c>
      <c r="B109">
        <v>32.845951863013724</v>
      </c>
      <c r="D109">
        <v>3</v>
      </c>
      <c r="E109">
        <v>46.545460838709673</v>
      </c>
      <c r="G109">
        <v>3</v>
      </c>
      <c r="H109">
        <v>43.658844178571435</v>
      </c>
      <c r="J109">
        <v>3</v>
      </c>
      <c r="K109">
        <v>33.372703483870964</v>
      </c>
      <c r="M109">
        <v>3</v>
      </c>
      <c r="N109">
        <v>29.134281933333334</v>
      </c>
      <c r="P109">
        <v>3</v>
      </c>
      <c r="Q109">
        <v>27.787440225806449</v>
      </c>
      <c r="S109">
        <v>3</v>
      </c>
      <c r="T109">
        <v>29.739088366666675</v>
      </c>
      <c r="V109">
        <v>3</v>
      </c>
      <c r="W109">
        <v>32.279004870967739</v>
      </c>
      <c r="Y109">
        <v>3</v>
      </c>
      <c r="Z109">
        <v>30.2157405483871</v>
      </c>
      <c r="AB109">
        <v>3</v>
      </c>
      <c r="AC109">
        <v>27.908951933333338</v>
      </c>
      <c r="AE109">
        <v>3</v>
      </c>
      <c r="AF109">
        <v>26.254668419354836</v>
      </c>
      <c r="AH109">
        <v>3</v>
      </c>
      <c r="AI109">
        <v>27.728424833333335</v>
      </c>
      <c r="AK109">
        <v>3</v>
      </c>
      <c r="AL109">
        <v>40.028929387096774</v>
      </c>
    </row>
    <row r="110" spans="1:38">
      <c r="A110">
        <v>4</v>
      </c>
      <c r="B110">
        <v>33.039139213698633</v>
      </c>
      <c r="D110">
        <v>4</v>
      </c>
      <c r="E110">
        <v>47.087744741935488</v>
      </c>
      <c r="G110">
        <v>4</v>
      </c>
      <c r="H110">
        <v>44.25173078571428</v>
      </c>
      <c r="J110">
        <v>4</v>
      </c>
      <c r="K110">
        <v>33.722349870967747</v>
      </c>
      <c r="M110">
        <v>4</v>
      </c>
      <c r="N110">
        <v>29.040926566666666</v>
      </c>
      <c r="P110">
        <v>4</v>
      </c>
      <c r="Q110">
        <v>27.900886709677426</v>
      </c>
      <c r="S110">
        <v>4</v>
      </c>
      <c r="T110">
        <v>29.660779500000004</v>
      </c>
      <c r="V110">
        <v>4</v>
      </c>
      <c r="W110">
        <v>32.048574838709683</v>
      </c>
      <c r="Y110">
        <v>4</v>
      </c>
      <c r="Z110">
        <v>29.829954451612906</v>
      </c>
      <c r="AB110">
        <v>4</v>
      </c>
      <c r="AC110">
        <v>27.758094799999999</v>
      </c>
      <c r="AE110">
        <v>4</v>
      </c>
      <c r="AF110">
        <v>26.342241129032256</v>
      </c>
      <c r="AH110">
        <v>4</v>
      </c>
      <c r="AI110">
        <v>28.802434399999999</v>
      </c>
      <c r="AK110">
        <v>4</v>
      </c>
      <c r="AL110">
        <v>40.564064161290325</v>
      </c>
    </row>
    <row r="111" spans="1:38">
      <c r="A111">
        <v>5</v>
      </c>
      <c r="B111">
        <v>35.193231197260282</v>
      </c>
      <c r="D111">
        <v>5</v>
      </c>
      <c r="E111">
        <v>53.875220032258078</v>
      </c>
      <c r="G111">
        <v>5</v>
      </c>
      <c r="H111">
        <v>47.630363714285707</v>
      </c>
      <c r="J111">
        <v>5</v>
      </c>
      <c r="K111">
        <v>35.108032548387101</v>
      </c>
      <c r="M111">
        <v>5</v>
      </c>
      <c r="N111">
        <v>30.201072633333332</v>
      </c>
      <c r="P111">
        <v>5</v>
      </c>
      <c r="Q111">
        <v>29.444866064516127</v>
      </c>
      <c r="S111">
        <v>5</v>
      </c>
      <c r="T111">
        <v>30.070322100000002</v>
      </c>
      <c r="V111">
        <v>5</v>
      </c>
      <c r="W111">
        <v>32.438447612903225</v>
      </c>
      <c r="Y111">
        <v>5</v>
      </c>
      <c r="Z111">
        <v>30.563773870967744</v>
      </c>
      <c r="AB111">
        <v>5</v>
      </c>
      <c r="AC111">
        <v>29.609380766666675</v>
      </c>
      <c r="AE111">
        <v>5</v>
      </c>
      <c r="AF111">
        <v>30.214217870967744</v>
      </c>
      <c r="AH111">
        <v>5</v>
      </c>
      <c r="AI111">
        <v>31.435074333333336</v>
      </c>
      <c r="AK111">
        <v>5</v>
      </c>
      <c r="AL111">
        <v>42.303948709677414</v>
      </c>
    </row>
    <row r="112" spans="1:38">
      <c r="A112">
        <v>6</v>
      </c>
      <c r="B112">
        <v>37.902758654794553</v>
      </c>
      <c r="D112">
        <v>6</v>
      </c>
      <c r="E112">
        <v>63.575765580645154</v>
      </c>
      <c r="G112">
        <v>6</v>
      </c>
      <c r="H112">
        <v>53.243007714285724</v>
      </c>
      <c r="J112">
        <v>6</v>
      </c>
      <c r="K112">
        <v>36.14136970967742</v>
      </c>
      <c r="M112">
        <v>6</v>
      </c>
      <c r="N112">
        <v>31.662153499999992</v>
      </c>
      <c r="P112">
        <v>6</v>
      </c>
      <c r="Q112">
        <v>31.456382451612903</v>
      </c>
      <c r="S112">
        <v>6</v>
      </c>
      <c r="T112">
        <v>31.971865866666665</v>
      </c>
      <c r="V112">
        <v>6</v>
      </c>
      <c r="W112">
        <v>34.404683612903227</v>
      </c>
      <c r="Y112">
        <v>6</v>
      </c>
      <c r="Z112">
        <v>32.341747290322573</v>
      </c>
      <c r="AB112">
        <v>6</v>
      </c>
      <c r="AC112">
        <v>31.922325533333336</v>
      </c>
      <c r="AE112">
        <v>6</v>
      </c>
      <c r="AF112">
        <v>31.796826290322574</v>
      </c>
      <c r="AH112">
        <v>6</v>
      </c>
      <c r="AI112">
        <v>32.970297966666671</v>
      </c>
      <c r="AK112">
        <v>6</v>
      </c>
      <c r="AL112">
        <v>44.086560774193551</v>
      </c>
    </row>
    <row r="113" spans="1:38">
      <c r="A113">
        <v>7</v>
      </c>
      <c r="B113">
        <v>39.578870775342487</v>
      </c>
      <c r="D113">
        <v>7</v>
      </c>
      <c r="E113">
        <v>67.97495145161291</v>
      </c>
      <c r="G113">
        <v>7</v>
      </c>
      <c r="H113">
        <v>56.498299142857142</v>
      </c>
      <c r="J113">
        <v>7</v>
      </c>
      <c r="K113">
        <v>36.418328516129037</v>
      </c>
      <c r="M113">
        <v>7</v>
      </c>
      <c r="N113">
        <v>32.468385866666672</v>
      </c>
      <c r="P113">
        <v>7</v>
      </c>
      <c r="Q113">
        <v>33.247846967741935</v>
      </c>
      <c r="S113">
        <v>7</v>
      </c>
      <c r="T113">
        <v>32.589167733333326</v>
      </c>
      <c r="V113">
        <v>7</v>
      </c>
      <c r="W113">
        <v>36.214504451612896</v>
      </c>
      <c r="Y113">
        <v>7</v>
      </c>
      <c r="Z113">
        <v>34.139386677419367</v>
      </c>
      <c r="AB113">
        <v>7</v>
      </c>
      <c r="AC113">
        <v>33.28263410000001</v>
      </c>
      <c r="AE113">
        <v>7</v>
      </c>
      <c r="AF113">
        <v>34.382980064516133</v>
      </c>
      <c r="AH113">
        <v>7</v>
      </c>
      <c r="AI113">
        <v>33.737347499999998</v>
      </c>
      <c r="AK113">
        <v>7</v>
      </c>
      <c r="AL113">
        <v>44.783595451612904</v>
      </c>
    </row>
    <row r="114" spans="1:38">
      <c r="A114">
        <v>8</v>
      </c>
      <c r="B114">
        <v>39.798890950684921</v>
      </c>
      <c r="D114">
        <v>8</v>
      </c>
      <c r="E114">
        <v>65.79097429032258</v>
      </c>
      <c r="G114">
        <v>8</v>
      </c>
      <c r="H114">
        <v>55.00348114285714</v>
      </c>
      <c r="J114">
        <v>8</v>
      </c>
      <c r="K114">
        <v>36.273625548387088</v>
      </c>
      <c r="M114">
        <v>8</v>
      </c>
      <c r="N114">
        <v>33.408579500000002</v>
      </c>
      <c r="P114">
        <v>8</v>
      </c>
      <c r="Q114">
        <v>34.128801387096765</v>
      </c>
      <c r="S114">
        <v>8</v>
      </c>
      <c r="T114">
        <v>32.892754266666671</v>
      </c>
      <c r="V114">
        <v>8</v>
      </c>
      <c r="W114">
        <v>37.228529677419353</v>
      </c>
      <c r="Y114">
        <v>8</v>
      </c>
      <c r="Z114">
        <v>36.005630677419354</v>
      </c>
      <c r="AB114">
        <v>8</v>
      </c>
      <c r="AC114">
        <v>33.941544666666665</v>
      </c>
      <c r="AE114">
        <v>8</v>
      </c>
      <c r="AF114">
        <v>35.634788645161287</v>
      </c>
      <c r="AH114">
        <v>8</v>
      </c>
      <c r="AI114">
        <v>33.065293233333335</v>
      </c>
      <c r="AK114">
        <v>8</v>
      </c>
      <c r="AL114">
        <v>44.849023161290333</v>
      </c>
    </row>
    <row r="115" spans="1:38">
      <c r="A115">
        <v>9</v>
      </c>
      <c r="B115">
        <v>40.3459558630137</v>
      </c>
      <c r="D115">
        <v>9</v>
      </c>
      <c r="E115">
        <v>63.938193225806444</v>
      </c>
      <c r="G115">
        <v>9</v>
      </c>
      <c r="H115">
        <v>53.555703000000008</v>
      </c>
      <c r="J115">
        <v>9</v>
      </c>
      <c r="K115">
        <v>36.3869969032258</v>
      </c>
      <c r="M115">
        <v>9</v>
      </c>
      <c r="N115">
        <v>34.349704833333334</v>
      </c>
      <c r="P115">
        <v>9</v>
      </c>
      <c r="Q115">
        <v>35.078367419354848</v>
      </c>
      <c r="S115">
        <v>9</v>
      </c>
      <c r="T115">
        <v>33.63340336666667</v>
      </c>
      <c r="V115">
        <v>9</v>
      </c>
      <c r="W115">
        <v>39.437153096774196</v>
      </c>
      <c r="Y115">
        <v>9</v>
      </c>
      <c r="Z115">
        <v>38.289673258064518</v>
      </c>
      <c r="AB115">
        <v>9</v>
      </c>
      <c r="AC115">
        <v>35.517905300000002</v>
      </c>
      <c r="AE115">
        <v>9</v>
      </c>
      <c r="AF115">
        <v>36.424011580645164</v>
      </c>
      <c r="AH115">
        <v>9</v>
      </c>
      <c r="AI115">
        <v>33.35275193333333</v>
      </c>
      <c r="AK115">
        <v>9</v>
      </c>
      <c r="AL115">
        <v>44.67467687096773</v>
      </c>
    </row>
    <row r="116" spans="1:38">
      <c r="A116">
        <v>10</v>
      </c>
      <c r="B116">
        <v>40.739025498630156</v>
      </c>
      <c r="D116">
        <v>10</v>
      </c>
      <c r="E116">
        <v>62.319410548387111</v>
      </c>
      <c r="G116">
        <v>10</v>
      </c>
      <c r="H116">
        <v>52.615625285714273</v>
      </c>
      <c r="J116">
        <v>10</v>
      </c>
      <c r="K116">
        <v>35.681811516129031</v>
      </c>
      <c r="M116">
        <v>10</v>
      </c>
      <c r="N116">
        <v>35.142654766666666</v>
      </c>
      <c r="P116">
        <v>10</v>
      </c>
      <c r="Q116">
        <v>35.90797035483871</v>
      </c>
      <c r="S116">
        <v>10</v>
      </c>
      <c r="T116">
        <v>34.673770066666656</v>
      </c>
      <c r="V116">
        <v>10</v>
      </c>
      <c r="W116">
        <v>41.081185645161284</v>
      </c>
      <c r="Y116">
        <v>10</v>
      </c>
      <c r="Z116">
        <v>40.183153225806457</v>
      </c>
      <c r="AB116">
        <v>10</v>
      </c>
      <c r="AC116">
        <v>36.771711566666674</v>
      </c>
      <c r="AE116">
        <v>10</v>
      </c>
      <c r="AF116">
        <v>36.38487277419356</v>
      </c>
      <c r="AH116">
        <v>10</v>
      </c>
      <c r="AI116">
        <v>33.747621666666667</v>
      </c>
      <c r="AK116">
        <v>10</v>
      </c>
      <c r="AL116">
        <v>44.778178419354823</v>
      </c>
    </row>
    <row r="117" spans="1:38">
      <c r="A117">
        <v>11</v>
      </c>
      <c r="B117">
        <v>40.759670227397258</v>
      </c>
      <c r="D117">
        <v>11</v>
      </c>
      <c r="E117">
        <v>59.908669838709685</v>
      </c>
      <c r="G117">
        <v>11</v>
      </c>
      <c r="H117">
        <v>51.211975107142848</v>
      </c>
      <c r="J117">
        <v>11</v>
      </c>
      <c r="K117">
        <v>35.849883548387098</v>
      </c>
      <c r="M117">
        <v>11</v>
      </c>
      <c r="N117">
        <v>35.250025100000002</v>
      </c>
      <c r="P117">
        <v>11</v>
      </c>
      <c r="Q117">
        <v>35.77055129032258</v>
      </c>
      <c r="S117">
        <v>11</v>
      </c>
      <c r="T117">
        <v>35.729275233333347</v>
      </c>
      <c r="V117">
        <v>11</v>
      </c>
      <c r="W117">
        <v>42.73699496774195</v>
      </c>
      <c r="Y117">
        <v>11</v>
      </c>
      <c r="Z117">
        <v>41.595468451612902</v>
      </c>
      <c r="AB117">
        <v>11</v>
      </c>
      <c r="AC117">
        <v>37.208316600000003</v>
      </c>
      <c r="AE117">
        <v>11</v>
      </c>
      <c r="AF117">
        <v>35.841342741935485</v>
      </c>
      <c r="AH117">
        <v>11</v>
      </c>
      <c r="AI117">
        <v>33.758916633333328</v>
      </c>
      <c r="AK117">
        <v>11</v>
      </c>
      <c r="AL117">
        <v>44.585744741935486</v>
      </c>
    </row>
    <row r="118" spans="1:38">
      <c r="A118">
        <v>12</v>
      </c>
      <c r="B118">
        <v>40.475107808219178</v>
      </c>
      <c r="D118">
        <v>12</v>
      </c>
      <c r="E118">
        <v>57.157146322580658</v>
      </c>
      <c r="G118">
        <v>12</v>
      </c>
      <c r="H118">
        <v>49.787559250000001</v>
      </c>
      <c r="J118">
        <v>12</v>
      </c>
      <c r="K118">
        <v>35.458232838709669</v>
      </c>
      <c r="M118">
        <v>12</v>
      </c>
      <c r="N118">
        <v>34.843460833333332</v>
      </c>
      <c r="P118">
        <v>12</v>
      </c>
      <c r="Q118">
        <v>35.46212287096774</v>
      </c>
      <c r="S118">
        <v>12</v>
      </c>
      <c r="T118">
        <v>35.922634133333325</v>
      </c>
      <c r="V118">
        <v>12</v>
      </c>
      <c r="W118">
        <v>43.437563870967743</v>
      </c>
      <c r="Y118">
        <v>12</v>
      </c>
      <c r="Z118">
        <v>42.909380451612911</v>
      </c>
      <c r="AB118">
        <v>12</v>
      </c>
      <c r="AC118">
        <v>37.75959963333333</v>
      </c>
      <c r="AE118">
        <v>12</v>
      </c>
      <c r="AF118">
        <v>35.596490483870966</v>
      </c>
      <c r="AH118">
        <v>12</v>
      </c>
      <c r="AI118">
        <v>33.529512833333335</v>
      </c>
      <c r="AK118">
        <v>12</v>
      </c>
      <c r="AL118">
        <v>44.098626645161282</v>
      </c>
    </row>
    <row r="119" spans="1:38">
      <c r="A119">
        <v>13</v>
      </c>
      <c r="B119">
        <v>40.362074942465753</v>
      </c>
      <c r="D119">
        <v>13</v>
      </c>
      <c r="E119">
        <v>54.712460064516122</v>
      </c>
      <c r="G119">
        <v>13</v>
      </c>
      <c r="H119">
        <v>48.953632142857138</v>
      </c>
      <c r="J119">
        <v>13</v>
      </c>
      <c r="K119">
        <v>35.004215774193547</v>
      </c>
      <c r="M119">
        <v>13</v>
      </c>
      <c r="N119">
        <v>34.628505333333337</v>
      </c>
      <c r="P119">
        <v>13</v>
      </c>
      <c r="Q119">
        <v>35.625295838709683</v>
      </c>
      <c r="S119">
        <v>13</v>
      </c>
      <c r="T119">
        <v>36.376514266666668</v>
      </c>
      <c r="V119">
        <v>13</v>
      </c>
      <c r="W119">
        <v>44.701395258064522</v>
      </c>
      <c r="Y119">
        <v>13</v>
      </c>
      <c r="Z119">
        <v>44.653211580645163</v>
      </c>
      <c r="AB119">
        <v>13</v>
      </c>
      <c r="AC119">
        <v>38.062933099999995</v>
      </c>
      <c r="AE119">
        <v>13</v>
      </c>
      <c r="AF119">
        <v>35.375375999999996</v>
      </c>
      <c r="AH119">
        <v>13</v>
      </c>
      <c r="AI119">
        <v>33.120315766666671</v>
      </c>
      <c r="AK119">
        <v>13</v>
      </c>
      <c r="AL119">
        <v>43.341193870967743</v>
      </c>
    </row>
    <row r="120" spans="1:38">
      <c r="A120">
        <v>14</v>
      </c>
      <c r="B120">
        <v>40.017464794520556</v>
      </c>
      <c r="D120">
        <v>14</v>
      </c>
      <c r="E120">
        <v>54.023598290322589</v>
      </c>
      <c r="G120">
        <v>14</v>
      </c>
      <c r="H120">
        <v>47.728739607142863</v>
      </c>
      <c r="J120">
        <v>14</v>
      </c>
      <c r="K120">
        <v>34.209483322580652</v>
      </c>
      <c r="M120">
        <v>14</v>
      </c>
      <c r="N120">
        <v>34.084764233333345</v>
      </c>
      <c r="P120">
        <v>14</v>
      </c>
      <c r="Q120">
        <v>35.254511516129035</v>
      </c>
      <c r="S120">
        <v>14</v>
      </c>
      <c r="T120">
        <v>36.806388399999982</v>
      </c>
      <c r="V120">
        <v>14</v>
      </c>
      <c r="W120">
        <v>44.980732225806442</v>
      </c>
      <c r="Y120">
        <v>14</v>
      </c>
      <c r="Z120">
        <v>45.011754709677419</v>
      </c>
      <c r="AB120">
        <v>14</v>
      </c>
      <c r="AC120">
        <v>37.920123333333329</v>
      </c>
      <c r="AE120">
        <v>14</v>
      </c>
      <c r="AF120">
        <v>34.844754677419353</v>
      </c>
      <c r="AH120">
        <v>14</v>
      </c>
      <c r="AI120">
        <v>32.692769333333338</v>
      </c>
      <c r="AK120">
        <v>14</v>
      </c>
      <c r="AL120">
        <v>42.799313064516127</v>
      </c>
    </row>
    <row r="121" spans="1:38">
      <c r="A121">
        <v>15</v>
      </c>
      <c r="B121">
        <v>40.141844356164349</v>
      </c>
      <c r="D121">
        <v>15</v>
      </c>
      <c r="E121">
        <v>55.576131709677412</v>
      </c>
      <c r="G121">
        <v>15</v>
      </c>
      <c r="H121">
        <v>48.357786499999982</v>
      </c>
      <c r="J121">
        <v>15</v>
      </c>
      <c r="K121">
        <v>33.413463516129028</v>
      </c>
      <c r="M121">
        <v>15</v>
      </c>
      <c r="N121">
        <v>33.87125356666666</v>
      </c>
      <c r="P121">
        <v>15</v>
      </c>
      <c r="Q121">
        <v>34.590892451612909</v>
      </c>
      <c r="S121">
        <v>15</v>
      </c>
      <c r="T121">
        <v>36.980140566666677</v>
      </c>
      <c r="V121">
        <v>15</v>
      </c>
      <c r="W121">
        <v>45.443808032258055</v>
      </c>
      <c r="Y121">
        <v>15</v>
      </c>
      <c r="Z121">
        <v>45.463283967741944</v>
      </c>
      <c r="AB121">
        <v>15</v>
      </c>
      <c r="AC121">
        <v>37.496543966666664</v>
      </c>
      <c r="AE121">
        <v>15</v>
      </c>
      <c r="AF121">
        <v>34.672933096774194</v>
      </c>
      <c r="AH121">
        <v>15</v>
      </c>
      <c r="AI121">
        <v>32.691842666666666</v>
      </c>
      <c r="AK121">
        <v>15</v>
      </c>
      <c r="AL121">
        <v>43.309220935483857</v>
      </c>
    </row>
    <row r="122" spans="1:38">
      <c r="A122">
        <v>16</v>
      </c>
      <c r="B122">
        <v>41.169969350684923</v>
      </c>
      <c r="D122">
        <v>16</v>
      </c>
      <c r="E122">
        <v>59.290447419354841</v>
      </c>
      <c r="G122">
        <v>16</v>
      </c>
      <c r="H122">
        <v>49.51698417857142</v>
      </c>
      <c r="J122">
        <v>16</v>
      </c>
      <c r="K122">
        <v>33.342140612903229</v>
      </c>
      <c r="M122">
        <v>16</v>
      </c>
      <c r="N122">
        <v>34.719349300000005</v>
      </c>
      <c r="P122">
        <v>16</v>
      </c>
      <c r="Q122">
        <v>34.431553193548382</v>
      </c>
      <c r="S122">
        <v>16</v>
      </c>
      <c r="T122">
        <v>37.173543399999993</v>
      </c>
      <c r="V122">
        <v>16</v>
      </c>
      <c r="W122">
        <v>46.370381967741935</v>
      </c>
      <c r="Y122">
        <v>16</v>
      </c>
      <c r="Z122">
        <v>46.111049161290325</v>
      </c>
      <c r="AB122">
        <v>16</v>
      </c>
      <c r="AC122">
        <v>38.362944399999996</v>
      </c>
      <c r="AE122">
        <v>16</v>
      </c>
      <c r="AF122">
        <v>35.345461774193545</v>
      </c>
      <c r="AH122">
        <v>16</v>
      </c>
      <c r="AI122">
        <v>34.258064900000001</v>
      </c>
      <c r="AK122">
        <v>16</v>
      </c>
      <c r="AL122">
        <v>45.274972193548393</v>
      </c>
    </row>
    <row r="123" spans="1:38">
      <c r="A123">
        <v>17</v>
      </c>
      <c r="B123">
        <v>42.290956210958889</v>
      </c>
      <c r="D123">
        <v>17</v>
      </c>
      <c r="E123">
        <v>63.320796451612907</v>
      </c>
      <c r="G123">
        <v>17</v>
      </c>
      <c r="H123">
        <v>49.624339285714292</v>
      </c>
      <c r="J123">
        <v>17</v>
      </c>
      <c r="K123">
        <v>33.258463193548387</v>
      </c>
      <c r="M123">
        <v>17</v>
      </c>
      <c r="N123">
        <v>34.912536033333339</v>
      </c>
      <c r="P123">
        <v>17</v>
      </c>
      <c r="Q123">
        <v>34.331483580645155</v>
      </c>
      <c r="S123">
        <v>17</v>
      </c>
      <c r="T123">
        <v>36.781648499999989</v>
      </c>
      <c r="V123">
        <v>17</v>
      </c>
      <c r="W123">
        <v>46.491917935483862</v>
      </c>
      <c r="Y123">
        <v>17</v>
      </c>
      <c r="Z123">
        <v>45.034352999999989</v>
      </c>
      <c r="AB123">
        <v>17</v>
      </c>
      <c r="AC123">
        <v>38.292881566666672</v>
      </c>
      <c r="AE123">
        <v>17</v>
      </c>
      <c r="AF123">
        <v>36.275481967741932</v>
      </c>
      <c r="AH123">
        <v>17</v>
      </c>
      <c r="AI123">
        <v>37.985276566666677</v>
      </c>
      <c r="AK123">
        <v>17</v>
      </c>
      <c r="AL123">
        <v>51.208382483870984</v>
      </c>
    </row>
    <row r="124" spans="1:38">
      <c r="A124">
        <v>18</v>
      </c>
      <c r="B124">
        <v>42.631889002739705</v>
      </c>
      <c r="D124">
        <v>18</v>
      </c>
      <c r="E124">
        <v>65.891980870967743</v>
      </c>
      <c r="G124">
        <v>18</v>
      </c>
      <c r="H124">
        <v>52.71512239285714</v>
      </c>
      <c r="J124">
        <v>18</v>
      </c>
      <c r="K124">
        <v>34.872579903225812</v>
      </c>
      <c r="M124">
        <v>18</v>
      </c>
      <c r="N124">
        <v>34.950025566666667</v>
      </c>
      <c r="P124">
        <v>18</v>
      </c>
      <c r="Q124">
        <v>33.630427645161284</v>
      </c>
      <c r="S124">
        <v>18</v>
      </c>
      <c r="T124">
        <v>35.840247166666664</v>
      </c>
      <c r="V124">
        <v>18</v>
      </c>
      <c r="W124">
        <v>45.540681064516122</v>
      </c>
      <c r="Y124">
        <v>18</v>
      </c>
      <c r="Z124">
        <v>43.093783967741935</v>
      </c>
      <c r="AB124">
        <v>18</v>
      </c>
      <c r="AC124">
        <v>37.679528700000006</v>
      </c>
      <c r="AE124">
        <v>18</v>
      </c>
      <c r="AF124">
        <v>38.006138548387106</v>
      </c>
      <c r="AH124">
        <v>18</v>
      </c>
      <c r="AI124">
        <v>37.785384066666673</v>
      </c>
      <c r="AK124">
        <v>18</v>
      </c>
      <c r="AL124">
        <v>51.769585225806459</v>
      </c>
    </row>
    <row r="125" spans="1:38">
      <c r="A125">
        <v>19</v>
      </c>
      <c r="B125">
        <v>42.27621773972605</v>
      </c>
      <c r="D125">
        <v>19</v>
      </c>
      <c r="E125">
        <v>63.818151741935488</v>
      </c>
      <c r="G125">
        <v>19</v>
      </c>
      <c r="H125">
        <v>53.728421178571423</v>
      </c>
      <c r="J125">
        <v>19</v>
      </c>
      <c r="K125">
        <v>37.670686774193555</v>
      </c>
      <c r="M125">
        <v>19</v>
      </c>
      <c r="N125">
        <v>35.283557633333331</v>
      </c>
      <c r="P125">
        <v>19</v>
      </c>
      <c r="Q125">
        <v>33.22117135483871</v>
      </c>
      <c r="S125">
        <v>19</v>
      </c>
      <c r="T125">
        <v>34.931316333333342</v>
      </c>
      <c r="V125">
        <v>19</v>
      </c>
      <c r="W125">
        <v>43.639037451612907</v>
      </c>
      <c r="Y125">
        <v>19</v>
      </c>
      <c r="Z125">
        <v>41.184431064516119</v>
      </c>
      <c r="AB125">
        <v>19</v>
      </c>
      <c r="AC125">
        <v>38.888170966666664</v>
      </c>
      <c r="AE125">
        <v>19</v>
      </c>
      <c r="AF125">
        <v>38.531831129032263</v>
      </c>
      <c r="AH125">
        <v>19</v>
      </c>
      <c r="AI125">
        <v>36.49291543333333</v>
      </c>
      <c r="AK125">
        <v>19</v>
      </c>
      <c r="AL125">
        <v>50.274847612903223</v>
      </c>
    </row>
    <row r="126" spans="1:38">
      <c r="A126">
        <v>20</v>
      </c>
      <c r="B126">
        <v>41.599120131506865</v>
      </c>
      <c r="D126">
        <v>20</v>
      </c>
      <c r="E126">
        <v>60.978188451612915</v>
      </c>
      <c r="G126">
        <v>20</v>
      </c>
      <c r="H126">
        <v>52.835195642857137</v>
      </c>
      <c r="J126">
        <v>20</v>
      </c>
      <c r="K126">
        <v>36.320905516129031</v>
      </c>
      <c r="M126">
        <v>20</v>
      </c>
      <c r="N126">
        <v>36.991062500000005</v>
      </c>
      <c r="P126">
        <v>20</v>
      </c>
      <c r="Q126">
        <v>35.130845516129042</v>
      </c>
      <c r="S126">
        <v>20</v>
      </c>
      <c r="T126">
        <v>35.080498433333325</v>
      </c>
      <c r="V126">
        <v>20</v>
      </c>
      <c r="W126">
        <v>42.835071032258071</v>
      </c>
      <c r="Y126">
        <v>20</v>
      </c>
      <c r="Z126">
        <v>41.633266903225802</v>
      </c>
      <c r="AB126">
        <v>20</v>
      </c>
      <c r="AC126">
        <v>38.132784099999995</v>
      </c>
      <c r="AE126">
        <v>20</v>
      </c>
      <c r="AF126">
        <v>37.028543000000006</v>
      </c>
      <c r="AH126">
        <v>20</v>
      </c>
      <c r="AI126">
        <v>34.357269166666676</v>
      </c>
      <c r="AK126">
        <v>20</v>
      </c>
      <c r="AL126">
        <v>48.248822935483865</v>
      </c>
    </row>
    <row r="127" spans="1:38">
      <c r="A127">
        <v>21</v>
      </c>
      <c r="B127">
        <v>40.033145904109581</v>
      </c>
      <c r="D127">
        <v>21</v>
      </c>
      <c r="E127">
        <v>60.998712096774184</v>
      </c>
      <c r="G127">
        <v>21</v>
      </c>
      <c r="H127">
        <v>51.577033714285697</v>
      </c>
      <c r="J127">
        <v>21</v>
      </c>
      <c r="K127">
        <v>33.676882258064509</v>
      </c>
      <c r="M127">
        <v>21</v>
      </c>
      <c r="N127">
        <v>35.282218033333343</v>
      </c>
      <c r="P127">
        <v>21</v>
      </c>
      <c r="Q127">
        <v>35.141049000000002</v>
      </c>
      <c r="S127">
        <v>21</v>
      </c>
      <c r="T127">
        <v>35.001430133333329</v>
      </c>
      <c r="V127">
        <v>21</v>
      </c>
      <c r="W127">
        <v>41.7248898064516</v>
      </c>
      <c r="Y127">
        <v>21</v>
      </c>
      <c r="Z127">
        <v>39.875646225806442</v>
      </c>
      <c r="AB127">
        <v>21</v>
      </c>
      <c r="AC127">
        <v>35.140436133333331</v>
      </c>
      <c r="AE127">
        <v>21</v>
      </c>
      <c r="AF127">
        <v>35.161009290322582</v>
      </c>
      <c r="AH127">
        <v>21</v>
      </c>
      <c r="AI127">
        <v>32.274441600000003</v>
      </c>
      <c r="AK127">
        <v>21</v>
      </c>
      <c r="AL127">
        <v>44.937473709677406</v>
      </c>
    </row>
    <row r="128" spans="1:38">
      <c r="A128">
        <v>22</v>
      </c>
      <c r="B128">
        <v>37.440311024657568</v>
      </c>
      <c r="D128">
        <v>22</v>
      </c>
      <c r="E128">
        <v>57.06941883870968</v>
      </c>
      <c r="G128">
        <v>22</v>
      </c>
      <c r="H128">
        <v>50.048131464285724</v>
      </c>
      <c r="J128">
        <v>22</v>
      </c>
      <c r="K128">
        <v>33.516157064516129</v>
      </c>
      <c r="M128">
        <v>22</v>
      </c>
      <c r="N128">
        <v>32.137402499999993</v>
      </c>
      <c r="P128">
        <v>22</v>
      </c>
      <c r="Q128">
        <v>32.617905806451617</v>
      </c>
      <c r="S128">
        <v>22</v>
      </c>
      <c r="T128">
        <v>32.449638933333325</v>
      </c>
      <c r="V128">
        <v>22</v>
      </c>
      <c r="W128">
        <v>37.594060516129034</v>
      </c>
      <c r="Y128">
        <v>22</v>
      </c>
      <c r="Z128">
        <v>35.270535322580642</v>
      </c>
      <c r="AB128">
        <v>22</v>
      </c>
      <c r="AC128">
        <v>31.65223576666666</v>
      </c>
      <c r="AE128">
        <v>22</v>
      </c>
      <c r="AF128">
        <v>31.613269096774189</v>
      </c>
      <c r="AH128">
        <v>22</v>
      </c>
      <c r="AI128">
        <v>31.421155133333325</v>
      </c>
      <c r="AK128">
        <v>22</v>
      </c>
      <c r="AL128">
        <v>44.401004096774187</v>
      </c>
    </row>
    <row r="129" spans="1:38">
      <c r="A129">
        <v>23</v>
      </c>
      <c r="B129">
        <v>35.846222158904133</v>
      </c>
      <c r="D129">
        <v>23</v>
      </c>
      <c r="E129">
        <v>53.359312709677418</v>
      </c>
      <c r="G129">
        <v>23</v>
      </c>
      <c r="H129">
        <v>47.397021285714295</v>
      </c>
      <c r="J129">
        <v>23</v>
      </c>
      <c r="K129">
        <v>34.235527566666661</v>
      </c>
      <c r="M129">
        <v>23</v>
      </c>
      <c r="N129">
        <v>32.176877699999999</v>
      </c>
      <c r="P129">
        <v>23</v>
      </c>
      <c r="Q129">
        <v>30.975468354838718</v>
      </c>
      <c r="S129">
        <v>23</v>
      </c>
      <c r="T129">
        <v>31.3478122</v>
      </c>
      <c r="V129">
        <v>23</v>
      </c>
      <c r="W129">
        <v>34.833159000000002</v>
      </c>
      <c r="Y129">
        <v>23</v>
      </c>
      <c r="Z129">
        <v>32.673714967741944</v>
      </c>
      <c r="AB129">
        <v>23</v>
      </c>
      <c r="AC129">
        <v>29.899161766666669</v>
      </c>
      <c r="AE129">
        <v>23</v>
      </c>
      <c r="AF129">
        <v>29.829496774193544</v>
      </c>
      <c r="AH129">
        <v>23</v>
      </c>
      <c r="AI129">
        <v>31.008414451612907</v>
      </c>
      <c r="AK129">
        <v>23</v>
      </c>
      <c r="AL129">
        <v>43.029243903225797</v>
      </c>
    </row>
    <row r="130" spans="1:38">
      <c r="A130" t="s">
        <v>328</v>
      </c>
      <c r="B130">
        <v>38.579089598858452</v>
      </c>
      <c r="D130" t="s">
        <v>328</v>
      </c>
      <c r="E130">
        <v>57.27144454569892</v>
      </c>
      <c r="G130" t="s">
        <v>328</v>
      </c>
      <c r="H130">
        <v>49.483255760416675</v>
      </c>
      <c r="J130" t="s">
        <v>328</v>
      </c>
      <c r="K130">
        <v>34.798349390546598</v>
      </c>
      <c r="M130" t="s">
        <v>328</v>
      </c>
      <c r="N130">
        <v>33.161228618055553</v>
      </c>
      <c r="P130" t="s">
        <v>328</v>
      </c>
      <c r="Q130">
        <v>32.933014692204303</v>
      </c>
      <c r="S130" t="s">
        <v>328</v>
      </c>
      <c r="T130">
        <v>33.707257826388883</v>
      </c>
      <c r="V130" t="s">
        <v>328</v>
      </c>
      <c r="W130">
        <v>39.451307243279572</v>
      </c>
      <c r="Y130" t="s">
        <v>328</v>
      </c>
      <c r="Z130">
        <v>37.991574833333338</v>
      </c>
      <c r="AB130" t="s">
        <v>328</v>
      </c>
      <c r="AC130">
        <v>34.215986259722222</v>
      </c>
      <c r="AE130" t="s">
        <v>328</v>
      </c>
      <c r="AF130">
        <v>33.267120322580645</v>
      </c>
      <c r="AH130" t="s">
        <v>328</v>
      </c>
      <c r="AI130">
        <v>32.634379070206094</v>
      </c>
      <c r="AK130" t="s">
        <v>328</v>
      </c>
      <c r="AL130">
        <v>44.429300330645162</v>
      </c>
    </row>
    <row r="133" spans="1:38">
      <c r="A133" s="94">
        <v>2020</v>
      </c>
      <c r="B133" s="99" t="s">
        <v>325</v>
      </c>
      <c r="D133">
        <v>1</v>
      </c>
      <c r="E133" s="99" t="s">
        <v>316</v>
      </c>
      <c r="G133">
        <v>2</v>
      </c>
      <c r="H133" s="99" t="s">
        <v>316</v>
      </c>
      <c r="J133">
        <v>3</v>
      </c>
      <c r="K133" s="99" t="s">
        <v>316</v>
      </c>
      <c r="M133">
        <v>4</v>
      </c>
      <c r="N133" s="99" t="s">
        <v>316</v>
      </c>
      <c r="P133">
        <v>5</v>
      </c>
      <c r="Q133" s="99" t="s">
        <v>316</v>
      </c>
      <c r="S133">
        <v>6</v>
      </c>
      <c r="T133" s="99" t="s">
        <v>316</v>
      </c>
      <c r="V133">
        <v>7</v>
      </c>
      <c r="W133" s="99" t="s">
        <v>316</v>
      </c>
      <c r="Y133">
        <v>8</v>
      </c>
      <c r="Z133" s="99" t="s">
        <v>316</v>
      </c>
      <c r="AB133">
        <v>9</v>
      </c>
      <c r="AC133" s="99" t="s">
        <v>316</v>
      </c>
      <c r="AE133">
        <v>10</v>
      </c>
      <c r="AF133" s="99" t="s">
        <v>316</v>
      </c>
      <c r="AH133">
        <v>11</v>
      </c>
      <c r="AI133" s="99" t="s">
        <v>316</v>
      </c>
      <c r="AK133">
        <v>12</v>
      </c>
      <c r="AL133" s="99" t="s">
        <v>316</v>
      </c>
    </row>
    <row r="134" spans="1:38">
      <c r="A134" s="94" t="s">
        <v>308</v>
      </c>
      <c r="B134" s="58">
        <v>8784</v>
      </c>
      <c r="D134" s="94" t="s">
        <v>397</v>
      </c>
      <c r="E134" s="58">
        <v>744</v>
      </c>
      <c r="G134" s="94" t="s">
        <v>398</v>
      </c>
      <c r="H134" s="58">
        <v>696</v>
      </c>
      <c r="J134" s="94" t="s">
        <v>399</v>
      </c>
      <c r="K134" s="58">
        <v>743</v>
      </c>
      <c r="M134" s="94" t="s">
        <v>400</v>
      </c>
      <c r="N134" s="58">
        <v>720</v>
      </c>
      <c r="P134" s="94" t="s">
        <v>401</v>
      </c>
      <c r="Q134" s="58">
        <v>744</v>
      </c>
      <c r="S134" s="94" t="s">
        <v>402</v>
      </c>
      <c r="T134" s="58">
        <v>720</v>
      </c>
      <c r="V134" s="94" t="s">
        <v>403</v>
      </c>
      <c r="W134" s="58">
        <v>744</v>
      </c>
      <c r="Y134" s="94" t="s">
        <v>404</v>
      </c>
      <c r="Z134" s="58">
        <v>744</v>
      </c>
      <c r="AB134" s="94" t="s">
        <v>405</v>
      </c>
      <c r="AC134" s="58">
        <v>720</v>
      </c>
      <c r="AE134" s="94" t="s">
        <v>406</v>
      </c>
      <c r="AF134" s="58">
        <v>744</v>
      </c>
      <c r="AH134" s="94" t="s">
        <v>407</v>
      </c>
      <c r="AI134" s="58">
        <v>721</v>
      </c>
      <c r="AK134" s="94" t="s">
        <v>408</v>
      </c>
      <c r="AL134" s="58">
        <v>744</v>
      </c>
    </row>
    <row r="135" spans="1:38">
      <c r="A135" s="94" t="s">
        <v>326</v>
      </c>
      <c r="B135" s="58">
        <v>0</v>
      </c>
      <c r="D135" s="94" t="s">
        <v>326</v>
      </c>
      <c r="E135" s="58">
        <v>0</v>
      </c>
      <c r="G135" s="94" t="s">
        <v>326</v>
      </c>
      <c r="H135" s="58">
        <v>744</v>
      </c>
      <c r="J135" s="94" t="s">
        <v>326</v>
      </c>
      <c r="K135" s="58">
        <v>1440</v>
      </c>
      <c r="M135" s="94" t="s">
        <v>326</v>
      </c>
      <c r="N135" s="58">
        <v>2183</v>
      </c>
      <c r="P135" s="94" t="s">
        <v>326</v>
      </c>
      <c r="Q135" s="58">
        <v>2903</v>
      </c>
      <c r="S135" s="94" t="s">
        <v>326</v>
      </c>
      <c r="T135" s="58">
        <v>3647</v>
      </c>
      <c r="V135" s="94" t="s">
        <v>326</v>
      </c>
      <c r="W135" s="58">
        <v>4367</v>
      </c>
      <c r="Y135" s="94" t="s">
        <v>326</v>
      </c>
      <c r="Z135" s="58">
        <v>5111</v>
      </c>
      <c r="AB135" s="94" t="s">
        <v>326</v>
      </c>
      <c r="AC135" s="58">
        <v>5855</v>
      </c>
      <c r="AE135" s="94" t="s">
        <v>326</v>
      </c>
      <c r="AF135" s="58">
        <v>6575</v>
      </c>
      <c r="AH135" s="94" t="s">
        <v>326</v>
      </c>
      <c r="AI135" s="58">
        <v>7319</v>
      </c>
      <c r="AK135" s="94" t="s">
        <v>326</v>
      </c>
      <c r="AL135" s="58">
        <v>8040</v>
      </c>
    </row>
    <row r="136" spans="1:38">
      <c r="A136" s="94" t="s">
        <v>327</v>
      </c>
      <c r="B136" s="58">
        <v>8784</v>
      </c>
      <c r="D136" s="94" t="s">
        <v>327</v>
      </c>
      <c r="E136" s="58">
        <v>744</v>
      </c>
      <c r="G136" s="94" t="s">
        <v>327</v>
      </c>
      <c r="H136" s="58">
        <v>1440</v>
      </c>
      <c r="J136" s="94" t="s">
        <v>327</v>
      </c>
      <c r="K136" s="58">
        <v>2183</v>
      </c>
      <c r="M136" s="94" t="s">
        <v>327</v>
      </c>
      <c r="N136" s="58">
        <v>2903</v>
      </c>
      <c r="P136" s="94" t="s">
        <v>327</v>
      </c>
      <c r="Q136" s="58">
        <v>3647</v>
      </c>
      <c r="S136" s="94" t="s">
        <v>327</v>
      </c>
      <c r="T136" s="58">
        <v>4367</v>
      </c>
      <c r="V136" s="94" t="s">
        <v>327</v>
      </c>
      <c r="W136" s="58">
        <v>5111</v>
      </c>
      <c r="Y136" s="94" t="s">
        <v>327</v>
      </c>
      <c r="Z136" s="58">
        <v>5855</v>
      </c>
      <c r="AB136" s="94" t="s">
        <v>327</v>
      </c>
      <c r="AC136" s="58">
        <v>6575</v>
      </c>
      <c r="AE136" s="94" t="s">
        <v>327</v>
      </c>
      <c r="AF136" s="58">
        <v>7319</v>
      </c>
      <c r="AH136" s="94" t="s">
        <v>327</v>
      </c>
      <c r="AI136" s="58">
        <v>8040</v>
      </c>
      <c r="AK136" s="94" t="s">
        <v>327</v>
      </c>
      <c r="AL136" s="58">
        <v>8784</v>
      </c>
    </row>
    <row r="137" spans="1:38">
      <c r="A137" t="s">
        <v>293</v>
      </c>
      <c r="B137" s="16" t="s">
        <v>294</v>
      </c>
      <c r="D137" t="s">
        <v>293</v>
      </c>
      <c r="E137" s="16" t="s">
        <v>294</v>
      </c>
      <c r="G137" t="s">
        <v>293</v>
      </c>
      <c r="H137" s="16" t="s">
        <v>294</v>
      </c>
      <c r="J137" t="s">
        <v>293</v>
      </c>
      <c r="K137" s="16" t="s">
        <v>294</v>
      </c>
      <c r="M137" t="s">
        <v>293</v>
      </c>
      <c r="N137" s="16" t="s">
        <v>294</v>
      </c>
      <c r="P137" t="s">
        <v>293</v>
      </c>
      <c r="Q137" s="16" t="s">
        <v>294</v>
      </c>
      <c r="S137" t="s">
        <v>293</v>
      </c>
      <c r="T137" s="16" t="s">
        <v>294</v>
      </c>
      <c r="V137" t="s">
        <v>293</v>
      </c>
      <c r="W137" s="16" t="s">
        <v>294</v>
      </c>
      <c r="Y137" t="s">
        <v>293</v>
      </c>
      <c r="Z137" s="16" t="s">
        <v>294</v>
      </c>
      <c r="AB137" t="s">
        <v>293</v>
      </c>
      <c r="AC137" s="16" t="s">
        <v>294</v>
      </c>
      <c r="AE137" t="s">
        <v>293</v>
      </c>
      <c r="AF137" s="16" t="s">
        <v>294</v>
      </c>
      <c r="AH137" t="s">
        <v>293</v>
      </c>
      <c r="AI137" s="16" t="s">
        <v>294</v>
      </c>
      <c r="AK137" t="s">
        <v>293</v>
      </c>
      <c r="AL137" s="16" t="s">
        <v>294</v>
      </c>
    </row>
    <row r="138" spans="1:38">
      <c r="A138">
        <v>0</v>
      </c>
      <c r="B138">
        <v>38.252952366120219</v>
      </c>
      <c r="D138">
        <v>0</v>
      </c>
      <c r="E138">
        <v>51.138217612903219</v>
      </c>
      <c r="G138">
        <v>0</v>
      </c>
      <c r="H138">
        <v>47.742634241379299</v>
      </c>
      <c r="J138">
        <v>0</v>
      </c>
      <c r="K138">
        <v>37.740565451612909</v>
      </c>
      <c r="M138">
        <v>0</v>
      </c>
      <c r="N138">
        <v>35.762552200000002</v>
      </c>
      <c r="P138">
        <v>0</v>
      </c>
      <c r="Q138">
        <v>34.604780580645155</v>
      </c>
      <c r="S138">
        <v>0</v>
      </c>
      <c r="T138">
        <v>35.983386533333331</v>
      </c>
      <c r="V138">
        <v>0</v>
      </c>
      <c r="W138">
        <v>38.322536548387085</v>
      </c>
      <c r="Y138">
        <v>0</v>
      </c>
      <c r="Z138">
        <v>34.840457999999998</v>
      </c>
      <c r="AB138">
        <v>0</v>
      </c>
      <c r="AC138">
        <v>33.437785099999999</v>
      </c>
      <c r="AE138">
        <v>0</v>
      </c>
      <c r="AF138">
        <v>32.615057451612905</v>
      </c>
      <c r="AH138">
        <v>0</v>
      </c>
      <c r="AI138">
        <v>32.808342633333332</v>
      </c>
      <c r="AK138">
        <v>0</v>
      </c>
      <c r="AL138">
        <v>44.166841741935492</v>
      </c>
    </row>
    <row r="139" spans="1:38">
      <c r="A139">
        <v>1</v>
      </c>
      <c r="B139">
        <v>36.782199715847042</v>
      </c>
      <c r="D139">
        <v>1</v>
      </c>
      <c r="E139">
        <v>48.456433677419369</v>
      </c>
      <c r="G139">
        <v>1</v>
      </c>
      <c r="H139">
        <v>45.941598758620685</v>
      </c>
      <c r="J139">
        <v>1</v>
      </c>
      <c r="K139">
        <v>36.854198806451606</v>
      </c>
      <c r="M139">
        <v>1</v>
      </c>
      <c r="N139">
        <v>34.523148466666676</v>
      </c>
      <c r="P139">
        <v>1</v>
      </c>
      <c r="Q139">
        <v>32.967330451612902</v>
      </c>
      <c r="S139">
        <v>1</v>
      </c>
      <c r="T139">
        <v>34.166472066666657</v>
      </c>
      <c r="V139">
        <v>1</v>
      </c>
      <c r="W139">
        <v>36.684713645161288</v>
      </c>
      <c r="Y139">
        <v>1</v>
      </c>
      <c r="Z139">
        <v>33.724577741935491</v>
      </c>
      <c r="AB139">
        <v>1</v>
      </c>
      <c r="AC139">
        <v>32.159219100000001</v>
      </c>
      <c r="AE139">
        <v>1</v>
      </c>
      <c r="AF139">
        <v>31.477665225806454</v>
      </c>
      <c r="AH139">
        <v>1</v>
      </c>
      <c r="AI139">
        <v>31.399089633333325</v>
      </c>
      <c r="AK139">
        <v>1</v>
      </c>
      <c r="AL139">
        <v>43.142849935483873</v>
      </c>
    </row>
    <row r="140" spans="1:38">
      <c r="A140">
        <v>2</v>
      </c>
      <c r="B140">
        <v>36.148586314207662</v>
      </c>
      <c r="D140">
        <v>2</v>
      </c>
      <c r="E140">
        <v>48.688609354838711</v>
      </c>
      <c r="G140">
        <v>2</v>
      </c>
      <c r="H140">
        <v>46.244380241379311</v>
      </c>
      <c r="J140">
        <v>2</v>
      </c>
      <c r="K140">
        <v>36.394173935483877</v>
      </c>
      <c r="M140">
        <v>2</v>
      </c>
      <c r="N140">
        <v>33.998765366666667</v>
      </c>
      <c r="P140">
        <v>2</v>
      </c>
      <c r="Q140">
        <v>31.90953812903226</v>
      </c>
      <c r="S140">
        <v>2</v>
      </c>
      <c r="T140">
        <v>33.055006933333338</v>
      </c>
      <c r="V140">
        <v>2</v>
      </c>
      <c r="W140">
        <v>35.642362741935486</v>
      </c>
      <c r="Y140">
        <v>2</v>
      </c>
      <c r="Z140">
        <v>33.008191483870974</v>
      </c>
      <c r="AB140">
        <v>2</v>
      </c>
      <c r="AC140">
        <v>31.379264433333333</v>
      </c>
      <c r="AE140">
        <v>2</v>
      </c>
      <c r="AF140">
        <v>30.401203451612904</v>
      </c>
      <c r="AH140">
        <v>2</v>
      </c>
      <c r="AI140">
        <v>30.57561703333333</v>
      </c>
      <c r="AK140">
        <v>2</v>
      </c>
      <c r="AL140">
        <v>42.634499967741938</v>
      </c>
    </row>
    <row r="141" spans="1:38">
      <c r="A141">
        <v>3</v>
      </c>
      <c r="B141">
        <v>35.788175153005454</v>
      </c>
      <c r="D141">
        <v>3</v>
      </c>
      <c r="E141">
        <v>49.081661322580658</v>
      </c>
      <c r="G141">
        <v>3</v>
      </c>
      <c r="H141">
        <v>45.993257517241389</v>
      </c>
      <c r="J141">
        <v>3</v>
      </c>
      <c r="K141">
        <v>36.493777645161288</v>
      </c>
      <c r="M141">
        <v>3</v>
      </c>
      <c r="N141">
        <v>33.469669199999998</v>
      </c>
      <c r="P141">
        <v>3</v>
      </c>
      <c r="Q141">
        <v>31.681634354838714</v>
      </c>
      <c r="S141">
        <v>3</v>
      </c>
      <c r="T141">
        <v>32.336213466666678</v>
      </c>
      <c r="V141">
        <v>3</v>
      </c>
      <c r="W141">
        <v>34.872458064516131</v>
      </c>
      <c r="Y141">
        <v>3</v>
      </c>
      <c r="Z141">
        <v>32.431380258064515</v>
      </c>
      <c r="AB141">
        <v>3</v>
      </c>
      <c r="AC141">
        <v>30.505204933333335</v>
      </c>
      <c r="AE141">
        <v>3</v>
      </c>
      <c r="AF141">
        <v>29.414799838709673</v>
      </c>
      <c r="AH141">
        <v>3</v>
      </c>
      <c r="AI141">
        <v>30.820948766666664</v>
      </c>
      <c r="AK141">
        <v>3</v>
      </c>
      <c r="AL141">
        <v>42.498693258064513</v>
      </c>
    </row>
    <row r="142" spans="1:38">
      <c r="A142">
        <v>4</v>
      </c>
      <c r="B142">
        <v>36.190612109289589</v>
      </c>
      <c r="D142">
        <v>4</v>
      </c>
      <c r="E142">
        <v>50.453367225806446</v>
      </c>
      <c r="G142">
        <v>4</v>
      </c>
      <c r="H142">
        <v>46.895674551724134</v>
      </c>
      <c r="J142">
        <v>4</v>
      </c>
      <c r="K142">
        <v>36.739702161290332</v>
      </c>
      <c r="M142">
        <v>4</v>
      </c>
      <c r="N142">
        <v>33.457129933333334</v>
      </c>
      <c r="P142">
        <v>4</v>
      </c>
      <c r="Q142">
        <v>31.725768838709673</v>
      </c>
      <c r="S142">
        <v>4</v>
      </c>
      <c r="T142">
        <v>32.509115399999999</v>
      </c>
      <c r="V142">
        <v>4</v>
      </c>
      <c r="W142">
        <v>34.546712000000007</v>
      </c>
      <c r="Y142">
        <v>4</v>
      </c>
      <c r="Z142">
        <v>32.17704616129032</v>
      </c>
      <c r="AB142">
        <v>4</v>
      </c>
      <c r="AC142">
        <v>30.30386583333334</v>
      </c>
      <c r="AE142">
        <v>4</v>
      </c>
      <c r="AF142">
        <v>30.151751580645158</v>
      </c>
      <c r="AH142">
        <v>4</v>
      </c>
      <c r="AI142">
        <v>32.252349066666667</v>
      </c>
      <c r="AK142">
        <v>4</v>
      </c>
      <c r="AL142">
        <v>43.241641161290332</v>
      </c>
    </row>
    <row r="143" spans="1:38">
      <c r="A143">
        <v>5</v>
      </c>
      <c r="B143">
        <v>38.808725942622971</v>
      </c>
      <c r="D143">
        <v>5</v>
      </c>
      <c r="E143">
        <v>60.546515967741932</v>
      </c>
      <c r="G143">
        <v>5</v>
      </c>
      <c r="H143">
        <v>52.712647068965524</v>
      </c>
      <c r="J143">
        <v>5</v>
      </c>
      <c r="K143">
        <v>38.559981870967754</v>
      </c>
      <c r="M143">
        <v>5</v>
      </c>
      <c r="N143">
        <v>34.45419953333333</v>
      </c>
      <c r="P143">
        <v>5</v>
      </c>
      <c r="Q143">
        <v>32.973111483870966</v>
      </c>
      <c r="S143">
        <v>5</v>
      </c>
      <c r="T143">
        <v>33.030671766666664</v>
      </c>
      <c r="V143">
        <v>5</v>
      </c>
      <c r="W143">
        <v>35.166981870967746</v>
      </c>
      <c r="Y143">
        <v>5</v>
      </c>
      <c r="Z143">
        <v>32.816563225806455</v>
      </c>
      <c r="AB143">
        <v>5</v>
      </c>
      <c r="AC143">
        <v>31.924836933333332</v>
      </c>
      <c r="AE143">
        <v>5</v>
      </c>
      <c r="AF143">
        <v>33.12125625806452</v>
      </c>
      <c r="AH143">
        <v>5</v>
      </c>
      <c r="AI143">
        <v>35.232829500000001</v>
      </c>
      <c r="AK143">
        <v>5</v>
      </c>
      <c r="AL143">
        <v>45.397873129032263</v>
      </c>
    </row>
    <row r="144" spans="1:38">
      <c r="A144">
        <v>6</v>
      </c>
      <c r="B144">
        <v>41.82149859562842</v>
      </c>
      <c r="D144">
        <v>6</v>
      </c>
      <c r="E144">
        <v>70.545180258064505</v>
      </c>
      <c r="G144">
        <v>6</v>
      </c>
      <c r="H144">
        <v>58.791757862068962</v>
      </c>
      <c r="J144">
        <v>6</v>
      </c>
      <c r="K144">
        <v>39.824546064516127</v>
      </c>
      <c r="M144">
        <v>6</v>
      </c>
      <c r="N144">
        <v>35.812267866666666</v>
      </c>
      <c r="P144">
        <v>6</v>
      </c>
      <c r="Q144">
        <v>35.242431838709678</v>
      </c>
      <c r="S144">
        <v>6</v>
      </c>
      <c r="T144">
        <v>34.873721633333339</v>
      </c>
      <c r="V144">
        <v>6</v>
      </c>
      <c r="W144">
        <v>37.123635870967746</v>
      </c>
      <c r="Y144">
        <v>6</v>
      </c>
      <c r="Z144">
        <v>34.93978109677419</v>
      </c>
      <c r="AB144">
        <v>6</v>
      </c>
      <c r="AC144">
        <v>34.839472700000002</v>
      </c>
      <c r="AE144">
        <v>6</v>
      </c>
      <c r="AF144">
        <v>35.277643451612903</v>
      </c>
      <c r="AH144">
        <v>6</v>
      </c>
      <c r="AI144">
        <v>37.083343133333344</v>
      </c>
      <c r="AK144">
        <v>6</v>
      </c>
      <c r="AL144">
        <v>47.803018451612907</v>
      </c>
    </row>
    <row r="145" spans="1:38">
      <c r="A145">
        <v>7</v>
      </c>
      <c r="B145">
        <v>43.344124453551878</v>
      </c>
      <c r="D145">
        <v>7</v>
      </c>
      <c r="E145">
        <v>73.083638483870956</v>
      </c>
      <c r="G145">
        <v>7</v>
      </c>
      <c r="H145">
        <v>63.107595827586188</v>
      </c>
      <c r="J145">
        <v>7</v>
      </c>
      <c r="K145">
        <v>40.360137419354835</v>
      </c>
      <c r="M145">
        <v>7</v>
      </c>
      <c r="N145">
        <v>36.491270366666669</v>
      </c>
      <c r="P145">
        <v>7</v>
      </c>
      <c r="Q145">
        <v>36.043477870967742</v>
      </c>
      <c r="S145">
        <v>7</v>
      </c>
      <c r="T145">
        <v>35.805234000000006</v>
      </c>
      <c r="V145">
        <v>7</v>
      </c>
      <c r="W145">
        <v>39.526948000000004</v>
      </c>
      <c r="Y145">
        <v>7</v>
      </c>
      <c r="Z145">
        <v>36.745049483870972</v>
      </c>
      <c r="AB145">
        <v>7</v>
      </c>
      <c r="AC145">
        <v>35.906782533333335</v>
      </c>
      <c r="AE145">
        <v>7</v>
      </c>
      <c r="AF145">
        <v>36.210840580645169</v>
      </c>
      <c r="AH145">
        <v>7</v>
      </c>
      <c r="AI145">
        <v>37.887588066666659</v>
      </c>
      <c r="AK145">
        <v>7</v>
      </c>
      <c r="AL145">
        <v>49.355812096774187</v>
      </c>
    </row>
    <row r="146" spans="1:38">
      <c r="A146">
        <v>8</v>
      </c>
      <c r="B146">
        <v>43.490604584699469</v>
      </c>
      <c r="D146">
        <v>8</v>
      </c>
      <c r="E146">
        <v>71.325654387096762</v>
      </c>
      <c r="G146">
        <v>8</v>
      </c>
      <c r="H146">
        <v>62.322034896551713</v>
      </c>
      <c r="J146">
        <v>8</v>
      </c>
      <c r="K146">
        <v>40.49033290322582</v>
      </c>
      <c r="M146">
        <v>8</v>
      </c>
      <c r="N146">
        <v>36.894609433333336</v>
      </c>
      <c r="P146">
        <v>8</v>
      </c>
      <c r="Q146">
        <v>36.247890096774192</v>
      </c>
      <c r="S146">
        <v>8</v>
      </c>
      <c r="T146">
        <v>35.296360133333337</v>
      </c>
      <c r="V146">
        <v>8</v>
      </c>
      <c r="W146">
        <v>41.13129222580644</v>
      </c>
      <c r="Y146">
        <v>8</v>
      </c>
      <c r="Z146">
        <v>38.455664451612911</v>
      </c>
      <c r="AB146">
        <v>8</v>
      </c>
      <c r="AC146">
        <v>37.025683299999997</v>
      </c>
      <c r="AE146">
        <v>8</v>
      </c>
      <c r="AF146">
        <v>37.531747967741929</v>
      </c>
      <c r="AH146">
        <v>8</v>
      </c>
      <c r="AI146">
        <v>36.205130833333342</v>
      </c>
      <c r="AK146">
        <v>8</v>
      </c>
      <c r="AL146">
        <v>49.255119741935474</v>
      </c>
    </row>
    <row r="147" spans="1:38">
      <c r="A147">
        <v>9</v>
      </c>
      <c r="B147">
        <v>44.0558238934426</v>
      </c>
      <c r="D147">
        <v>9</v>
      </c>
      <c r="E147">
        <v>68.259257000000005</v>
      </c>
      <c r="G147">
        <v>9</v>
      </c>
      <c r="H147">
        <v>62.275177379310357</v>
      </c>
      <c r="J147">
        <v>9</v>
      </c>
      <c r="K147">
        <v>40.730488483870964</v>
      </c>
      <c r="M147">
        <v>9</v>
      </c>
      <c r="N147">
        <v>37.397361466666673</v>
      </c>
      <c r="P147">
        <v>9</v>
      </c>
      <c r="Q147">
        <v>36.82921922580644</v>
      </c>
      <c r="S147">
        <v>9</v>
      </c>
      <c r="T147">
        <v>35.741872366666676</v>
      </c>
      <c r="V147">
        <v>9</v>
      </c>
      <c r="W147">
        <v>43.664422806451604</v>
      </c>
      <c r="Y147">
        <v>9</v>
      </c>
      <c r="Z147">
        <v>41.805347870967744</v>
      </c>
      <c r="AB147">
        <v>9</v>
      </c>
      <c r="AC147">
        <v>38.42986543333334</v>
      </c>
      <c r="AE147">
        <v>9</v>
      </c>
      <c r="AF147">
        <v>38.568382903225789</v>
      </c>
      <c r="AH147">
        <v>9</v>
      </c>
      <c r="AI147">
        <v>36.40557853333334</v>
      </c>
      <c r="AK147">
        <v>9</v>
      </c>
      <c r="AL147">
        <v>48.827109677419358</v>
      </c>
    </row>
    <row r="148" spans="1:38">
      <c r="A148">
        <v>10</v>
      </c>
      <c r="B148">
        <v>44.41543357103825</v>
      </c>
      <c r="D148">
        <v>10</v>
      </c>
      <c r="E148">
        <v>66.679897838709664</v>
      </c>
      <c r="G148">
        <v>10</v>
      </c>
      <c r="H148">
        <v>60.949076310344829</v>
      </c>
      <c r="J148">
        <v>10</v>
      </c>
      <c r="K148">
        <v>40.480352741935477</v>
      </c>
      <c r="M148">
        <v>10</v>
      </c>
      <c r="N148">
        <v>37.913890133333325</v>
      </c>
      <c r="P148">
        <v>10</v>
      </c>
      <c r="Q148">
        <v>37.698373838709671</v>
      </c>
      <c r="S148">
        <v>10</v>
      </c>
      <c r="T148">
        <v>36.291897233333323</v>
      </c>
      <c r="V148">
        <v>10</v>
      </c>
      <c r="W148">
        <v>45.716340387096771</v>
      </c>
      <c r="Y148">
        <v>10</v>
      </c>
      <c r="Z148">
        <v>44.259028225806439</v>
      </c>
      <c r="AB148">
        <v>10</v>
      </c>
      <c r="AC148">
        <v>39.463401866666665</v>
      </c>
      <c r="AE148">
        <v>10</v>
      </c>
      <c r="AF148">
        <v>38.961294580645173</v>
      </c>
      <c r="AH148">
        <v>10</v>
      </c>
      <c r="AI148">
        <v>36.458444000000007</v>
      </c>
      <c r="AK148">
        <v>10</v>
      </c>
      <c r="AL148">
        <v>48.291695516129039</v>
      </c>
    </row>
    <row r="149" spans="1:38">
      <c r="A149">
        <v>11</v>
      </c>
      <c r="B149">
        <v>44.297688382513634</v>
      </c>
      <c r="D149">
        <v>11</v>
      </c>
      <c r="E149">
        <v>63.573851096774192</v>
      </c>
      <c r="G149">
        <v>11</v>
      </c>
      <c r="H149">
        <v>59.014237413793097</v>
      </c>
      <c r="J149">
        <v>11</v>
      </c>
      <c r="K149">
        <v>40.476414032258077</v>
      </c>
      <c r="M149">
        <v>11</v>
      </c>
      <c r="N149">
        <v>37.676297866666658</v>
      </c>
      <c r="P149">
        <v>11</v>
      </c>
      <c r="Q149">
        <v>36.800688161290324</v>
      </c>
      <c r="S149">
        <v>11</v>
      </c>
      <c r="T149">
        <v>37.521221733333348</v>
      </c>
      <c r="V149">
        <v>11</v>
      </c>
      <c r="W149">
        <v>47.143693516129034</v>
      </c>
      <c r="Y149">
        <v>11</v>
      </c>
      <c r="Z149">
        <v>45.663405419354852</v>
      </c>
      <c r="AB149">
        <v>11</v>
      </c>
      <c r="AC149">
        <v>40.05258636666666</v>
      </c>
      <c r="AE149">
        <v>11</v>
      </c>
      <c r="AF149">
        <v>38.851586903225808</v>
      </c>
      <c r="AH149">
        <v>11</v>
      </c>
      <c r="AI149">
        <v>36.777805866666668</v>
      </c>
      <c r="AK149">
        <v>11</v>
      </c>
      <c r="AL149">
        <v>48.158222419354843</v>
      </c>
    </row>
    <row r="150" spans="1:38">
      <c r="A150">
        <v>12</v>
      </c>
      <c r="B150">
        <v>43.867569027322403</v>
      </c>
      <c r="D150">
        <v>12</v>
      </c>
      <c r="E150">
        <v>61.171448709677421</v>
      </c>
      <c r="G150">
        <v>12</v>
      </c>
      <c r="H150">
        <v>56.485614172413783</v>
      </c>
      <c r="J150">
        <v>12</v>
      </c>
      <c r="K150">
        <v>40.276559258064516</v>
      </c>
      <c r="M150">
        <v>12</v>
      </c>
      <c r="N150">
        <v>36.937901333333336</v>
      </c>
      <c r="P150">
        <v>12</v>
      </c>
      <c r="Q150">
        <v>36.258487580645159</v>
      </c>
      <c r="S150">
        <v>12</v>
      </c>
      <c r="T150">
        <v>37.610832866666662</v>
      </c>
      <c r="V150">
        <v>12</v>
      </c>
      <c r="W150">
        <v>47.766572838709671</v>
      </c>
      <c r="Y150">
        <v>12</v>
      </c>
      <c r="Z150">
        <v>47.235049935483872</v>
      </c>
      <c r="AB150">
        <v>12</v>
      </c>
      <c r="AC150">
        <v>40.459052833333338</v>
      </c>
      <c r="AE150">
        <v>12</v>
      </c>
      <c r="AF150">
        <v>38.455787387096763</v>
      </c>
      <c r="AH150">
        <v>12</v>
      </c>
      <c r="AI150">
        <v>36.539653366666677</v>
      </c>
      <c r="AK150">
        <v>12</v>
      </c>
      <c r="AL150">
        <v>47.256231096774194</v>
      </c>
    </row>
    <row r="151" spans="1:38">
      <c r="A151">
        <v>13</v>
      </c>
      <c r="B151">
        <v>43.856232489071047</v>
      </c>
      <c r="D151">
        <v>13</v>
      </c>
      <c r="E151">
        <v>60.064268645161299</v>
      </c>
      <c r="G151">
        <v>13</v>
      </c>
      <c r="H151">
        <v>54.938134448275875</v>
      </c>
      <c r="J151">
        <v>13</v>
      </c>
      <c r="K151">
        <v>39.956855709677427</v>
      </c>
      <c r="M151">
        <v>13</v>
      </c>
      <c r="N151">
        <v>36.765076200000003</v>
      </c>
      <c r="P151">
        <v>13</v>
      </c>
      <c r="Q151">
        <v>36.118280129032264</v>
      </c>
      <c r="S151">
        <v>13</v>
      </c>
      <c r="T151">
        <v>38.099010066666672</v>
      </c>
      <c r="V151">
        <v>13</v>
      </c>
      <c r="W151">
        <v>48.474354709677407</v>
      </c>
      <c r="Y151">
        <v>13</v>
      </c>
      <c r="Z151">
        <v>48.814686709677424</v>
      </c>
      <c r="AB151">
        <v>13</v>
      </c>
      <c r="AC151">
        <v>40.960271633333342</v>
      </c>
      <c r="AE151">
        <v>13</v>
      </c>
      <c r="AF151">
        <v>38.609365193548378</v>
      </c>
      <c r="AH151">
        <v>13</v>
      </c>
      <c r="AI151">
        <v>36.627269300000002</v>
      </c>
      <c r="AK151">
        <v>13</v>
      </c>
      <c r="AL151">
        <v>46.821104258064516</v>
      </c>
    </row>
    <row r="152" spans="1:38">
      <c r="A152">
        <v>14</v>
      </c>
      <c r="B152">
        <v>43.43770863661203</v>
      </c>
      <c r="D152">
        <v>14</v>
      </c>
      <c r="E152">
        <v>58.656366032258077</v>
      </c>
      <c r="G152">
        <v>14</v>
      </c>
      <c r="H152">
        <v>53.501540068965511</v>
      </c>
      <c r="J152">
        <v>14</v>
      </c>
      <c r="K152">
        <v>39.133615838709687</v>
      </c>
      <c r="M152">
        <v>14</v>
      </c>
      <c r="N152">
        <v>36.234167599999999</v>
      </c>
      <c r="P152">
        <v>14</v>
      </c>
      <c r="Q152">
        <v>35.240846483870953</v>
      </c>
      <c r="S152">
        <v>14</v>
      </c>
      <c r="T152">
        <v>38.184852600000013</v>
      </c>
      <c r="V152">
        <v>14</v>
      </c>
      <c r="W152">
        <v>49.108521032258068</v>
      </c>
      <c r="Y152">
        <v>14</v>
      </c>
      <c r="Z152">
        <v>49.842755322580636</v>
      </c>
      <c r="AB152">
        <v>14</v>
      </c>
      <c r="AC152">
        <v>41.272216666666665</v>
      </c>
      <c r="AE152">
        <v>14</v>
      </c>
      <c r="AF152">
        <v>37.77844506451612</v>
      </c>
      <c r="AH152">
        <v>14</v>
      </c>
      <c r="AI152">
        <v>36.050521299999993</v>
      </c>
      <c r="AK152">
        <v>14</v>
      </c>
      <c r="AL152">
        <v>46.18796487096774</v>
      </c>
    </row>
    <row r="153" spans="1:38">
      <c r="A153">
        <v>15</v>
      </c>
      <c r="B153">
        <v>43.628140415300557</v>
      </c>
      <c r="D153">
        <v>15</v>
      </c>
      <c r="E153">
        <v>61.799204580645153</v>
      </c>
      <c r="G153">
        <v>15</v>
      </c>
      <c r="H153">
        <v>53.71564699999999</v>
      </c>
      <c r="J153">
        <v>15</v>
      </c>
      <c r="K153">
        <v>38.573322677419355</v>
      </c>
      <c r="M153">
        <v>15</v>
      </c>
      <c r="N153">
        <v>35.72687693333333</v>
      </c>
      <c r="P153">
        <v>15</v>
      </c>
      <c r="Q153">
        <v>34.618312290322571</v>
      </c>
      <c r="S153">
        <v>15</v>
      </c>
      <c r="T153">
        <v>37.922966600000002</v>
      </c>
      <c r="V153">
        <v>15</v>
      </c>
      <c r="W153">
        <v>49.604594903225816</v>
      </c>
      <c r="Y153">
        <v>15</v>
      </c>
      <c r="Z153">
        <v>50.339755548387096</v>
      </c>
      <c r="AB153">
        <v>15</v>
      </c>
      <c r="AC153">
        <v>41.66110663333334</v>
      </c>
      <c r="AE153">
        <v>15</v>
      </c>
      <c r="AF153">
        <v>37.514481419354837</v>
      </c>
      <c r="AH153">
        <v>15</v>
      </c>
      <c r="AI153">
        <v>35.454855166666675</v>
      </c>
      <c r="AK153">
        <v>15</v>
      </c>
      <c r="AL153">
        <v>46.491343709677416</v>
      </c>
    </row>
    <row r="154" spans="1:38">
      <c r="A154">
        <v>16</v>
      </c>
      <c r="B154">
        <v>44.578966273224012</v>
      </c>
      <c r="D154">
        <v>16</v>
      </c>
      <c r="E154">
        <v>65.450156483870956</v>
      </c>
      <c r="G154">
        <v>16</v>
      </c>
      <c r="H154">
        <v>54.812661172413797</v>
      </c>
      <c r="J154">
        <v>16</v>
      </c>
      <c r="K154">
        <v>38.540875193548381</v>
      </c>
      <c r="M154">
        <v>16</v>
      </c>
      <c r="N154">
        <v>36.068783033333325</v>
      </c>
      <c r="P154">
        <v>16</v>
      </c>
      <c r="Q154">
        <v>34.633505709677415</v>
      </c>
      <c r="S154">
        <v>16</v>
      </c>
      <c r="T154">
        <v>37.795579933333336</v>
      </c>
      <c r="V154">
        <v>16</v>
      </c>
      <c r="W154">
        <v>50.329464741935475</v>
      </c>
      <c r="Y154">
        <v>16</v>
      </c>
      <c r="Z154">
        <v>51.166222612903233</v>
      </c>
      <c r="AB154">
        <v>16</v>
      </c>
      <c r="AC154">
        <v>42.282994966666671</v>
      </c>
      <c r="AE154">
        <v>16</v>
      </c>
      <c r="AF154">
        <v>37.479975645161282</v>
      </c>
      <c r="AH154">
        <v>16</v>
      </c>
      <c r="AI154">
        <v>35.896718366666668</v>
      </c>
      <c r="AK154">
        <v>16</v>
      </c>
      <c r="AL154">
        <v>50.303418741935488</v>
      </c>
    </row>
    <row r="155" spans="1:38">
      <c r="A155">
        <v>17</v>
      </c>
      <c r="B155">
        <v>46.339473188524565</v>
      </c>
      <c r="D155">
        <v>17</v>
      </c>
      <c r="E155">
        <v>72.916830451612896</v>
      </c>
      <c r="G155">
        <v>17</v>
      </c>
      <c r="H155">
        <v>58.397416103448279</v>
      </c>
      <c r="J155">
        <v>17</v>
      </c>
      <c r="K155">
        <v>38.157653838709678</v>
      </c>
      <c r="M155">
        <v>17</v>
      </c>
      <c r="N155">
        <v>36.893018833333336</v>
      </c>
      <c r="P155">
        <v>17</v>
      </c>
      <c r="Q155">
        <v>34.659090838709687</v>
      </c>
      <c r="S155">
        <v>17</v>
      </c>
      <c r="T155">
        <v>38.235584866666677</v>
      </c>
      <c r="V155">
        <v>17</v>
      </c>
      <c r="W155">
        <v>49.996470741935489</v>
      </c>
      <c r="Y155">
        <v>17</v>
      </c>
      <c r="Z155">
        <v>50.210724290322581</v>
      </c>
      <c r="AB155">
        <v>17</v>
      </c>
      <c r="AC155">
        <v>41.919288866666669</v>
      </c>
      <c r="AE155">
        <v>17</v>
      </c>
      <c r="AF155">
        <v>38.112582741935491</v>
      </c>
      <c r="AH155">
        <v>17</v>
      </c>
      <c r="AI155">
        <v>39.534644066666672</v>
      </c>
      <c r="AK155">
        <v>17</v>
      </c>
      <c r="AL155">
        <v>56.890067129032261</v>
      </c>
    </row>
    <row r="156" spans="1:38">
      <c r="A156">
        <v>18</v>
      </c>
      <c r="B156">
        <v>46.783391344262334</v>
      </c>
      <c r="D156">
        <v>18</v>
      </c>
      <c r="E156">
        <v>73.294993967741917</v>
      </c>
      <c r="G156">
        <v>18</v>
      </c>
      <c r="H156">
        <v>63.129872793103459</v>
      </c>
      <c r="J156">
        <v>18</v>
      </c>
      <c r="K156">
        <v>40.902345580645168</v>
      </c>
      <c r="M156">
        <v>18</v>
      </c>
      <c r="N156">
        <v>37.738630366666662</v>
      </c>
      <c r="P156">
        <v>18</v>
      </c>
      <c r="Q156">
        <v>34.721131129032258</v>
      </c>
      <c r="S156">
        <v>18</v>
      </c>
      <c r="T156">
        <v>37.773038466666669</v>
      </c>
      <c r="V156">
        <v>18</v>
      </c>
      <c r="W156">
        <v>48.25530522580646</v>
      </c>
      <c r="Y156">
        <v>18</v>
      </c>
      <c r="Z156">
        <v>47.357992451612901</v>
      </c>
      <c r="AB156">
        <v>18</v>
      </c>
      <c r="AC156">
        <v>41.186601600000003</v>
      </c>
      <c r="AE156">
        <v>18</v>
      </c>
      <c r="AF156">
        <v>40.442912419354826</v>
      </c>
      <c r="AH156">
        <v>18</v>
      </c>
      <c r="AI156">
        <v>39.386178566666672</v>
      </c>
      <c r="AK156">
        <v>18</v>
      </c>
      <c r="AL156">
        <v>57.26472087096775</v>
      </c>
    </row>
    <row r="157" spans="1:38">
      <c r="A157">
        <v>19</v>
      </c>
      <c r="B157">
        <v>46.183108068306005</v>
      </c>
      <c r="D157">
        <v>19</v>
      </c>
      <c r="E157">
        <v>71.064261677419339</v>
      </c>
      <c r="G157">
        <v>19</v>
      </c>
      <c r="H157">
        <v>61.997565137931034</v>
      </c>
      <c r="J157">
        <v>19</v>
      </c>
      <c r="K157">
        <v>42.073522032258055</v>
      </c>
      <c r="M157">
        <v>19</v>
      </c>
      <c r="N157">
        <v>38.850057633333336</v>
      </c>
      <c r="P157">
        <v>19</v>
      </c>
      <c r="Q157">
        <v>34.640486709677418</v>
      </c>
      <c r="S157">
        <v>19</v>
      </c>
      <c r="T157">
        <v>37.272886433333333</v>
      </c>
      <c r="V157">
        <v>19</v>
      </c>
      <c r="W157">
        <v>47.081201516129035</v>
      </c>
      <c r="Y157">
        <v>19</v>
      </c>
      <c r="Z157">
        <v>45.569811967741948</v>
      </c>
      <c r="AB157">
        <v>19</v>
      </c>
      <c r="AC157">
        <v>41.921450666666679</v>
      </c>
      <c r="AE157">
        <v>19</v>
      </c>
      <c r="AF157">
        <v>40.890420903225802</v>
      </c>
      <c r="AH157">
        <v>19</v>
      </c>
      <c r="AI157">
        <v>37.631929333333332</v>
      </c>
      <c r="AK157">
        <v>19</v>
      </c>
      <c r="AL157">
        <v>55.286696548387098</v>
      </c>
    </row>
    <row r="158" spans="1:38">
      <c r="A158">
        <v>20</v>
      </c>
      <c r="B158">
        <v>45.016474540983609</v>
      </c>
      <c r="D158">
        <v>20</v>
      </c>
      <c r="E158">
        <v>67.204656032258086</v>
      </c>
      <c r="G158">
        <v>20</v>
      </c>
      <c r="H158">
        <v>60.398277862068959</v>
      </c>
      <c r="J158">
        <v>20</v>
      </c>
      <c r="K158">
        <v>40.012068774193544</v>
      </c>
      <c r="M158">
        <v>20</v>
      </c>
      <c r="N158">
        <v>39.350794</v>
      </c>
      <c r="P158">
        <v>20</v>
      </c>
      <c r="Q158">
        <v>37.212289000000006</v>
      </c>
      <c r="S158">
        <v>20</v>
      </c>
      <c r="T158">
        <v>37.316851766666666</v>
      </c>
      <c r="V158">
        <v>20</v>
      </c>
      <c r="W158">
        <v>46.226853999999989</v>
      </c>
      <c r="Y158">
        <v>20</v>
      </c>
      <c r="Z158">
        <v>45.38798132258065</v>
      </c>
      <c r="AB158">
        <v>20</v>
      </c>
      <c r="AC158">
        <v>40.951641300000006</v>
      </c>
      <c r="AE158">
        <v>20</v>
      </c>
      <c r="AF158">
        <v>39.569864612903238</v>
      </c>
      <c r="AH158">
        <v>20</v>
      </c>
      <c r="AI158">
        <v>35.369655933333334</v>
      </c>
      <c r="AK158">
        <v>20</v>
      </c>
      <c r="AL158">
        <v>51.315684129032263</v>
      </c>
    </row>
    <row r="159" spans="1:38">
      <c r="A159">
        <v>21</v>
      </c>
      <c r="B159">
        <v>43.364809174863353</v>
      </c>
      <c r="D159">
        <v>21</v>
      </c>
      <c r="E159">
        <v>66.009836258064496</v>
      </c>
      <c r="G159">
        <v>21</v>
      </c>
      <c r="H159">
        <v>58.39221375862067</v>
      </c>
      <c r="J159">
        <v>21</v>
      </c>
      <c r="K159">
        <v>38.479743258064524</v>
      </c>
      <c r="M159">
        <v>21</v>
      </c>
      <c r="N159">
        <v>36.935914066666662</v>
      </c>
      <c r="P159">
        <v>21</v>
      </c>
      <c r="Q159">
        <v>37.337785838709678</v>
      </c>
      <c r="S159">
        <v>21</v>
      </c>
      <c r="T159">
        <v>37.162737833333331</v>
      </c>
      <c r="V159">
        <v>21</v>
      </c>
      <c r="W159">
        <v>45.117215774193546</v>
      </c>
      <c r="Y159">
        <v>21</v>
      </c>
      <c r="Z159">
        <v>43.476265870967751</v>
      </c>
      <c r="AB159">
        <v>21</v>
      </c>
      <c r="AC159">
        <v>37.261583633333338</v>
      </c>
      <c r="AE159">
        <v>21</v>
      </c>
      <c r="AF159">
        <v>37.240613161290327</v>
      </c>
      <c r="AH159">
        <v>21</v>
      </c>
      <c r="AI159">
        <v>34.755582333333336</v>
      </c>
      <c r="AK159">
        <v>21</v>
      </c>
      <c r="AL159">
        <v>48.295682516129034</v>
      </c>
    </row>
    <row r="160" spans="1:38">
      <c r="A160">
        <v>22</v>
      </c>
      <c r="B160">
        <v>41.490639109289617</v>
      </c>
      <c r="D160">
        <v>22</v>
      </c>
      <c r="E160">
        <v>65.670774548387101</v>
      </c>
      <c r="G160">
        <v>22</v>
      </c>
      <c r="H160">
        <v>56.188346310344841</v>
      </c>
      <c r="J160">
        <v>22</v>
      </c>
      <c r="K160">
        <v>38.616250290322583</v>
      </c>
      <c r="M160">
        <v>22</v>
      </c>
      <c r="N160">
        <v>36.240355033333344</v>
      </c>
      <c r="P160">
        <v>22</v>
      </c>
      <c r="Q160">
        <v>35.592055645161295</v>
      </c>
      <c r="S160">
        <v>22</v>
      </c>
      <c r="T160">
        <v>34.791860966666668</v>
      </c>
      <c r="V160">
        <v>22</v>
      </c>
      <c r="W160">
        <v>41.299374129032252</v>
      </c>
      <c r="Y160">
        <v>22</v>
      </c>
      <c r="Z160">
        <v>38.984122903225803</v>
      </c>
      <c r="AB160">
        <v>22</v>
      </c>
      <c r="AC160">
        <v>33.896737666666667</v>
      </c>
      <c r="AE160">
        <v>22</v>
      </c>
      <c r="AF160">
        <v>33.803705677419359</v>
      </c>
      <c r="AH160">
        <v>22</v>
      </c>
      <c r="AI160">
        <v>35.283703333333342</v>
      </c>
      <c r="AK160">
        <v>22</v>
      </c>
      <c r="AL160">
        <v>47.637980064516128</v>
      </c>
    </row>
    <row r="161" spans="1:38">
      <c r="A161">
        <v>23</v>
      </c>
      <c r="B161">
        <v>39.642944346994511</v>
      </c>
      <c r="D161">
        <v>23</v>
      </c>
      <c r="E161">
        <v>58.700813838709671</v>
      </c>
      <c r="G161">
        <v>23</v>
      </c>
      <c r="H161">
        <v>52.020159551724127</v>
      </c>
      <c r="J161">
        <v>23</v>
      </c>
      <c r="K161">
        <v>38.129423299999999</v>
      </c>
      <c r="M161">
        <v>23</v>
      </c>
      <c r="N161">
        <v>36.650342933333334</v>
      </c>
      <c r="P161">
        <v>23</v>
      </c>
      <c r="Q161">
        <v>34.928840677419359</v>
      </c>
      <c r="S161">
        <v>23</v>
      </c>
      <c r="T161">
        <v>34.240828699999994</v>
      </c>
      <c r="V161">
        <v>23</v>
      </c>
      <c r="W161">
        <v>38.625222838709682</v>
      </c>
      <c r="Y161">
        <v>23</v>
      </c>
      <c r="Z161">
        <v>34.959608903225799</v>
      </c>
      <c r="AB161">
        <v>23</v>
      </c>
      <c r="AC161">
        <v>33.718869400000003</v>
      </c>
      <c r="AE161">
        <v>23</v>
      </c>
      <c r="AF161">
        <v>33.43916161290322</v>
      </c>
      <c r="AH161">
        <v>23</v>
      </c>
      <c r="AI161">
        <v>35.17086687096775</v>
      </c>
      <c r="AK161">
        <v>23</v>
      </c>
      <c r="AL161">
        <v>45.419003774193548</v>
      </c>
    </row>
    <row r="162" spans="1:38">
      <c r="A162" t="s">
        <v>328</v>
      </c>
      <c r="B162">
        <v>42.14941173736338</v>
      </c>
      <c r="D162" t="s">
        <v>328</v>
      </c>
      <c r="E162">
        <v>62.659828977150532</v>
      </c>
      <c r="G162" t="s">
        <v>328</v>
      </c>
      <c r="H162">
        <v>55.665313352011488</v>
      </c>
      <c r="J162" t="s">
        <v>328</v>
      </c>
      <c r="K162">
        <v>39.083204469489246</v>
      </c>
      <c r="M162" t="s">
        <v>328</v>
      </c>
      <c r="N162">
        <v>36.343461658333347</v>
      </c>
      <c r="P162" t="s">
        <v>328</v>
      </c>
      <c r="Q162">
        <v>35.028556537634408</v>
      </c>
      <c r="S162" t="s">
        <v>328</v>
      </c>
      <c r="T162">
        <v>35.959091848611116</v>
      </c>
      <c r="V162" t="s">
        <v>328</v>
      </c>
      <c r="W162">
        <v>42.976135422043001</v>
      </c>
      <c r="Y162" t="s">
        <v>328</v>
      </c>
      <c r="Z162">
        <v>41.425477969086025</v>
      </c>
      <c r="AB162" t="s">
        <v>328</v>
      </c>
      <c r="AC162">
        <v>37.204991016666675</v>
      </c>
      <c r="AE162" t="s">
        <v>328</v>
      </c>
      <c r="AF162">
        <v>36.080022751344082</v>
      </c>
      <c r="AH162" t="s">
        <v>328</v>
      </c>
      <c r="AI162">
        <v>35.483693541845881</v>
      </c>
      <c r="AK162" t="s">
        <v>328</v>
      </c>
      <c r="AL162">
        <v>47.997636450268821</v>
      </c>
    </row>
    <row r="165" spans="1:38">
      <c r="A165" s="94">
        <v>2021</v>
      </c>
      <c r="B165" s="99" t="s">
        <v>325</v>
      </c>
      <c r="D165">
        <v>1</v>
      </c>
      <c r="E165" s="99" t="s">
        <v>316</v>
      </c>
      <c r="G165">
        <v>2</v>
      </c>
      <c r="H165" s="99" t="s">
        <v>316</v>
      </c>
      <c r="J165">
        <v>3</v>
      </c>
      <c r="K165" s="99" t="s">
        <v>316</v>
      </c>
      <c r="M165">
        <v>4</v>
      </c>
      <c r="N165" s="99" t="s">
        <v>316</v>
      </c>
      <c r="P165">
        <v>5</v>
      </c>
      <c r="Q165" s="99" t="s">
        <v>316</v>
      </c>
      <c r="S165">
        <v>6</v>
      </c>
      <c r="T165" s="99" t="s">
        <v>316</v>
      </c>
      <c r="V165">
        <v>7</v>
      </c>
      <c r="W165" s="99" t="s">
        <v>316</v>
      </c>
      <c r="Y165">
        <v>8</v>
      </c>
      <c r="Z165" s="99" t="s">
        <v>316</v>
      </c>
      <c r="AB165">
        <v>9</v>
      </c>
      <c r="AC165" s="99" t="s">
        <v>316</v>
      </c>
      <c r="AE165">
        <v>10</v>
      </c>
      <c r="AF165" s="99" t="s">
        <v>316</v>
      </c>
      <c r="AH165">
        <v>11</v>
      </c>
      <c r="AI165" s="99" t="s">
        <v>316</v>
      </c>
      <c r="AK165">
        <v>12</v>
      </c>
      <c r="AL165" s="99" t="s">
        <v>316</v>
      </c>
    </row>
    <row r="166" spans="1:38">
      <c r="A166" s="94" t="s">
        <v>308</v>
      </c>
      <c r="B166" s="58">
        <v>8760</v>
      </c>
      <c r="D166" s="94" t="s">
        <v>397</v>
      </c>
      <c r="E166" s="58">
        <v>744</v>
      </c>
      <c r="G166" s="94" t="s">
        <v>398</v>
      </c>
      <c r="H166" s="58">
        <v>672</v>
      </c>
      <c r="J166" s="94" t="s">
        <v>399</v>
      </c>
      <c r="K166" s="58">
        <v>743</v>
      </c>
      <c r="M166" s="94" t="s">
        <v>400</v>
      </c>
      <c r="N166" s="58">
        <v>720</v>
      </c>
      <c r="P166" s="94" t="s">
        <v>401</v>
      </c>
      <c r="Q166" s="58">
        <v>744</v>
      </c>
      <c r="S166" s="94" t="s">
        <v>402</v>
      </c>
      <c r="T166" s="58">
        <v>720</v>
      </c>
      <c r="V166" s="94" t="s">
        <v>403</v>
      </c>
      <c r="W166" s="58">
        <v>744</v>
      </c>
      <c r="Y166" s="94" t="s">
        <v>404</v>
      </c>
      <c r="Z166" s="58">
        <v>744</v>
      </c>
      <c r="AB166" s="94" t="s">
        <v>405</v>
      </c>
      <c r="AC166" s="58">
        <v>720</v>
      </c>
      <c r="AE166" s="94" t="s">
        <v>406</v>
      </c>
      <c r="AF166" s="58">
        <v>744</v>
      </c>
      <c r="AH166" s="94" t="s">
        <v>407</v>
      </c>
      <c r="AI166" s="58">
        <v>721</v>
      </c>
      <c r="AK166" s="94" t="s">
        <v>408</v>
      </c>
      <c r="AL166" s="58">
        <v>744</v>
      </c>
    </row>
    <row r="167" spans="1:38">
      <c r="A167" s="94" t="s">
        <v>326</v>
      </c>
      <c r="B167" s="58">
        <v>0</v>
      </c>
      <c r="D167" s="94" t="s">
        <v>326</v>
      </c>
      <c r="E167" s="58">
        <v>0</v>
      </c>
      <c r="G167" s="94" t="s">
        <v>326</v>
      </c>
      <c r="H167" s="58">
        <v>744</v>
      </c>
      <c r="J167" s="94" t="s">
        <v>326</v>
      </c>
      <c r="K167" s="58">
        <v>1416</v>
      </c>
      <c r="M167" s="94" t="s">
        <v>326</v>
      </c>
      <c r="N167" s="58">
        <v>2159</v>
      </c>
      <c r="P167" s="94" t="s">
        <v>326</v>
      </c>
      <c r="Q167" s="58">
        <v>2879</v>
      </c>
      <c r="S167" s="94" t="s">
        <v>326</v>
      </c>
      <c r="T167" s="58">
        <v>3623</v>
      </c>
      <c r="V167" s="94" t="s">
        <v>326</v>
      </c>
      <c r="W167" s="58">
        <v>4343</v>
      </c>
      <c r="Y167" s="94" t="s">
        <v>326</v>
      </c>
      <c r="Z167" s="58">
        <v>5087</v>
      </c>
      <c r="AB167" s="94" t="s">
        <v>326</v>
      </c>
      <c r="AC167" s="58">
        <v>5831</v>
      </c>
      <c r="AE167" s="94" t="s">
        <v>326</v>
      </c>
      <c r="AF167" s="58">
        <v>6551</v>
      </c>
      <c r="AH167" s="94" t="s">
        <v>326</v>
      </c>
      <c r="AI167" s="58">
        <v>7295</v>
      </c>
      <c r="AK167" s="94" t="s">
        <v>326</v>
      </c>
      <c r="AL167" s="58">
        <v>8016</v>
      </c>
    </row>
    <row r="168" spans="1:38">
      <c r="A168" s="94" t="s">
        <v>327</v>
      </c>
      <c r="B168" s="58">
        <v>8760</v>
      </c>
      <c r="D168" s="94" t="s">
        <v>327</v>
      </c>
      <c r="E168" s="58">
        <v>744</v>
      </c>
      <c r="G168" s="94" t="s">
        <v>327</v>
      </c>
      <c r="H168" s="58">
        <v>1416</v>
      </c>
      <c r="J168" s="94" t="s">
        <v>327</v>
      </c>
      <c r="K168" s="58">
        <v>2159</v>
      </c>
      <c r="M168" s="94" t="s">
        <v>327</v>
      </c>
      <c r="N168" s="58">
        <v>2879</v>
      </c>
      <c r="P168" s="94" t="s">
        <v>327</v>
      </c>
      <c r="Q168" s="58">
        <v>3623</v>
      </c>
      <c r="S168" s="94" t="s">
        <v>327</v>
      </c>
      <c r="T168" s="58">
        <v>4343</v>
      </c>
      <c r="V168" s="94" t="s">
        <v>327</v>
      </c>
      <c r="W168" s="58">
        <v>5087</v>
      </c>
      <c r="Y168" s="94" t="s">
        <v>327</v>
      </c>
      <c r="Z168" s="58">
        <v>5831</v>
      </c>
      <c r="AB168" s="94" t="s">
        <v>327</v>
      </c>
      <c r="AC168" s="58">
        <v>6551</v>
      </c>
      <c r="AE168" s="94" t="s">
        <v>327</v>
      </c>
      <c r="AF168" s="58">
        <v>7295</v>
      </c>
      <c r="AH168" s="94" t="s">
        <v>327</v>
      </c>
      <c r="AI168" s="58">
        <v>8016</v>
      </c>
      <c r="AK168" s="94" t="s">
        <v>327</v>
      </c>
      <c r="AL168" s="58">
        <v>8760</v>
      </c>
    </row>
    <row r="169" spans="1:38">
      <c r="A169" t="s">
        <v>293</v>
      </c>
      <c r="B169" s="16" t="s">
        <v>294</v>
      </c>
      <c r="D169" t="s">
        <v>293</v>
      </c>
      <c r="E169" s="16" t="s">
        <v>294</v>
      </c>
      <c r="G169" t="s">
        <v>293</v>
      </c>
      <c r="H169" s="16" t="s">
        <v>294</v>
      </c>
      <c r="J169" t="s">
        <v>293</v>
      </c>
      <c r="K169" s="16" t="s">
        <v>294</v>
      </c>
      <c r="M169" t="s">
        <v>293</v>
      </c>
      <c r="N169" s="16" t="s">
        <v>294</v>
      </c>
      <c r="P169" t="s">
        <v>293</v>
      </c>
      <c r="Q169" s="16" t="s">
        <v>294</v>
      </c>
      <c r="S169" t="s">
        <v>293</v>
      </c>
      <c r="T169" s="16" t="s">
        <v>294</v>
      </c>
      <c r="V169" t="s">
        <v>293</v>
      </c>
      <c r="W169" s="16" t="s">
        <v>294</v>
      </c>
      <c r="Y169" t="s">
        <v>293</v>
      </c>
      <c r="Z169" s="16" t="s">
        <v>294</v>
      </c>
      <c r="AB169" t="s">
        <v>293</v>
      </c>
      <c r="AC169" s="16" t="s">
        <v>294</v>
      </c>
      <c r="AE169" t="s">
        <v>293</v>
      </c>
      <c r="AF169" s="16" t="s">
        <v>294</v>
      </c>
      <c r="AH169" t="s">
        <v>293</v>
      </c>
      <c r="AI169" s="16" t="s">
        <v>294</v>
      </c>
      <c r="AK169" t="s">
        <v>293</v>
      </c>
      <c r="AL169" s="16" t="s">
        <v>294</v>
      </c>
    </row>
    <row r="170" spans="1:38">
      <c r="A170">
        <v>0</v>
      </c>
      <c r="B170">
        <v>39.900685000000017</v>
      </c>
      <c r="D170">
        <v>0</v>
      </c>
      <c r="E170">
        <v>49.29301261290324</v>
      </c>
      <c r="G170">
        <v>0</v>
      </c>
      <c r="H170">
        <v>50.319482928571425</v>
      </c>
      <c r="J170">
        <v>0</v>
      </c>
      <c r="K170">
        <v>40.409478451612891</v>
      </c>
      <c r="M170">
        <v>0</v>
      </c>
      <c r="N170">
        <v>36.739818633333336</v>
      </c>
      <c r="P170">
        <v>0</v>
      </c>
      <c r="Q170">
        <v>37.420745258064507</v>
      </c>
      <c r="S170">
        <v>0</v>
      </c>
      <c r="T170">
        <v>37.562726099999999</v>
      </c>
      <c r="V170">
        <v>0</v>
      </c>
      <c r="W170">
        <v>40.374759806451614</v>
      </c>
      <c r="Y170">
        <v>0</v>
      </c>
      <c r="Z170">
        <v>37.083179129032253</v>
      </c>
      <c r="AB170">
        <v>0</v>
      </c>
      <c r="AC170">
        <v>37.309101333333338</v>
      </c>
      <c r="AE170">
        <v>0</v>
      </c>
      <c r="AF170">
        <v>33.670403161290324</v>
      </c>
      <c r="AH170">
        <v>0</v>
      </c>
      <c r="AI170">
        <v>33.664975066666663</v>
      </c>
      <c r="AK170">
        <v>0</v>
      </c>
      <c r="AL170">
        <v>45.506675419354849</v>
      </c>
    </row>
    <row r="171" spans="1:38">
      <c r="A171">
        <v>1</v>
      </c>
      <c r="B171">
        <v>38.626672906849315</v>
      </c>
      <c r="D171">
        <v>1</v>
      </c>
      <c r="E171">
        <v>49.558510096774199</v>
      </c>
      <c r="G171">
        <v>1</v>
      </c>
      <c r="H171">
        <v>49.329516428571416</v>
      </c>
      <c r="J171">
        <v>1</v>
      </c>
      <c r="K171">
        <v>39.373340516129041</v>
      </c>
      <c r="M171">
        <v>1</v>
      </c>
      <c r="N171">
        <v>35.840235700000001</v>
      </c>
      <c r="P171">
        <v>1</v>
      </c>
      <c r="Q171">
        <v>34.721983096774196</v>
      </c>
      <c r="S171">
        <v>1</v>
      </c>
      <c r="T171">
        <v>35.720786399999987</v>
      </c>
      <c r="V171">
        <v>1</v>
      </c>
      <c r="W171">
        <v>38.816514806451615</v>
      </c>
      <c r="Y171">
        <v>1</v>
      </c>
      <c r="Z171">
        <v>35.687013612903222</v>
      </c>
      <c r="AB171">
        <v>1</v>
      </c>
      <c r="AC171">
        <v>35.474137800000001</v>
      </c>
      <c r="AE171">
        <v>1</v>
      </c>
      <c r="AF171">
        <v>32.416293903225807</v>
      </c>
      <c r="AH171">
        <v>1</v>
      </c>
      <c r="AI171">
        <v>32.781082900000008</v>
      </c>
      <c r="AK171">
        <v>1</v>
      </c>
      <c r="AL171">
        <v>44.362533225806445</v>
      </c>
    </row>
    <row r="172" spans="1:38">
      <c r="A172">
        <v>2</v>
      </c>
      <c r="B172">
        <v>37.601665695890389</v>
      </c>
      <c r="D172">
        <v>2</v>
      </c>
      <c r="E172">
        <v>48.226362225806447</v>
      </c>
      <c r="G172">
        <v>2</v>
      </c>
      <c r="H172">
        <v>48.701869428571442</v>
      </c>
      <c r="J172">
        <v>2</v>
      </c>
      <c r="K172">
        <v>38.508444290322579</v>
      </c>
      <c r="M172">
        <v>2</v>
      </c>
      <c r="N172">
        <v>35.214083566666673</v>
      </c>
      <c r="P172">
        <v>2</v>
      </c>
      <c r="Q172">
        <v>33.34092061290324</v>
      </c>
      <c r="S172">
        <v>2</v>
      </c>
      <c r="T172">
        <v>34.456577000000003</v>
      </c>
      <c r="V172">
        <v>2</v>
      </c>
      <c r="W172">
        <v>37.696000870967737</v>
      </c>
      <c r="Y172">
        <v>2</v>
      </c>
      <c r="Z172">
        <v>34.726817483870974</v>
      </c>
      <c r="AB172">
        <v>2</v>
      </c>
      <c r="AC172">
        <v>34.444212100000001</v>
      </c>
      <c r="AE172">
        <v>2</v>
      </c>
      <c r="AF172">
        <v>31.627529290322581</v>
      </c>
      <c r="AH172">
        <v>2</v>
      </c>
      <c r="AI172">
        <v>31.244422833333331</v>
      </c>
      <c r="AK172">
        <v>2</v>
      </c>
      <c r="AL172">
        <v>43.621562967741944</v>
      </c>
    </row>
    <row r="173" spans="1:38">
      <c r="A173">
        <v>3</v>
      </c>
      <c r="B173">
        <v>37.078586306849331</v>
      </c>
      <c r="D173">
        <v>3</v>
      </c>
      <c r="E173">
        <v>47.839919774193554</v>
      </c>
      <c r="G173">
        <v>3</v>
      </c>
      <c r="H173">
        <v>48.719627142857142</v>
      </c>
      <c r="J173">
        <v>3</v>
      </c>
      <c r="K173">
        <v>39.083054451612909</v>
      </c>
      <c r="M173">
        <v>3</v>
      </c>
      <c r="N173">
        <v>34.705526699999993</v>
      </c>
      <c r="P173">
        <v>3</v>
      </c>
      <c r="Q173">
        <v>32.723621774193546</v>
      </c>
      <c r="S173">
        <v>3</v>
      </c>
      <c r="T173">
        <v>33.842062666666664</v>
      </c>
      <c r="V173">
        <v>3</v>
      </c>
      <c r="W173">
        <v>36.677903935483883</v>
      </c>
      <c r="Y173">
        <v>3</v>
      </c>
      <c r="Z173">
        <v>33.928579645161285</v>
      </c>
      <c r="AB173">
        <v>3</v>
      </c>
      <c r="AC173">
        <v>33.682292799999992</v>
      </c>
      <c r="AE173">
        <v>3</v>
      </c>
      <c r="AF173">
        <v>30.992788451612899</v>
      </c>
      <c r="AH173">
        <v>3</v>
      </c>
      <c r="AI173">
        <v>29.856383699999999</v>
      </c>
      <c r="AK173">
        <v>3</v>
      </c>
      <c r="AL173">
        <v>43.4943405483871</v>
      </c>
    </row>
    <row r="174" spans="1:38">
      <c r="A174">
        <v>4</v>
      </c>
      <c r="B174">
        <v>37.63189309863013</v>
      </c>
      <c r="D174">
        <v>4</v>
      </c>
      <c r="E174">
        <v>50.363019000000023</v>
      </c>
      <c r="G174">
        <v>4</v>
      </c>
      <c r="H174">
        <v>49.937108071428575</v>
      </c>
      <c r="J174">
        <v>4</v>
      </c>
      <c r="K174">
        <v>39.462302129032246</v>
      </c>
      <c r="M174">
        <v>4</v>
      </c>
      <c r="N174">
        <v>34.635200866666658</v>
      </c>
      <c r="P174">
        <v>4</v>
      </c>
      <c r="Q174">
        <v>32.639214000000003</v>
      </c>
      <c r="S174">
        <v>4</v>
      </c>
      <c r="T174">
        <v>34.057943800000004</v>
      </c>
      <c r="V174">
        <v>4</v>
      </c>
      <c r="W174">
        <v>36.592724967741937</v>
      </c>
      <c r="Y174">
        <v>4</v>
      </c>
      <c r="Z174">
        <v>33.615403709677416</v>
      </c>
      <c r="AB174">
        <v>4</v>
      </c>
      <c r="AC174">
        <v>33.19576373333333</v>
      </c>
      <c r="AE174">
        <v>4</v>
      </c>
      <c r="AF174">
        <v>31.186744161290321</v>
      </c>
      <c r="AH174">
        <v>4</v>
      </c>
      <c r="AI174">
        <v>32.183168333333327</v>
      </c>
      <c r="AK174">
        <v>4</v>
      </c>
      <c r="AL174">
        <v>44.374129225806442</v>
      </c>
    </row>
    <row r="175" spans="1:38">
      <c r="A175">
        <v>5</v>
      </c>
      <c r="B175">
        <v>40.277450802739729</v>
      </c>
      <c r="D175">
        <v>5</v>
      </c>
      <c r="E175">
        <v>58.220711741935482</v>
      </c>
      <c r="G175">
        <v>5</v>
      </c>
      <c r="H175">
        <v>54.853568857142868</v>
      </c>
      <c r="J175">
        <v>5</v>
      </c>
      <c r="K175">
        <v>41.675467451612903</v>
      </c>
      <c r="M175">
        <v>5</v>
      </c>
      <c r="N175">
        <v>35.690900600000006</v>
      </c>
      <c r="P175">
        <v>5</v>
      </c>
      <c r="Q175">
        <v>34.741192322580645</v>
      </c>
      <c r="S175">
        <v>5</v>
      </c>
      <c r="T175">
        <v>34.832430333333328</v>
      </c>
      <c r="V175">
        <v>5</v>
      </c>
      <c r="W175">
        <v>37.39036351612905</v>
      </c>
      <c r="Y175">
        <v>5</v>
      </c>
      <c r="Z175">
        <v>34.636830903225807</v>
      </c>
      <c r="AB175">
        <v>5</v>
      </c>
      <c r="AC175">
        <v>35.572248366666663</v>
      </c>
      <c r="AE175">
        <v>5</v>
      </c>
      <c r="AF175">
        <v>34.139238193548387</v>
      </c>
      <c r="AH175">
        <v>5</v>
      </c>
      <c r="AI175">
        <v>35.283799100000003</v>
      </c>
      <c r="AK175">
        <v>5</v>
      </c>
      <c r="AL175">
        <v>47.06678500000001</v>
      </c>
    </row>
    <row r="176" spans="1:38">
      <c r="A176">
        <v>6</v>
      </c>
      <c r="B176">
        <v>43.542031005479416</v>
      </c>
      <c r="D176">
        <v>6</v>
      </c>
      <c r="E176">
        <v>67.490247774193534</v>
      </c>
      <c r="G176">
        <v>6</v>
      </c>
      <c r="H176">
        <v>63.073671857142863</v>
      </c>
      <c r="J176">
        <v>6</v>
      </c>
      <c r="K176">
        <v>43.68738722580644</v>
      </c>
      <c r="M176">
        <v>6</v>
      </c>
      <c r="N176">
        <v>36.785173800000003</v>
      </c>
      <c r="P176">
        <v>6</v>
      </c>
      <c r="Q176">
        <v>37.297918774193548</v>
      </c>
      <c r="S176">
        <v>6</v>
      </c>
      <c r="T176">
        <v>36.983053499999997</v>
      </c>
      <c r="V176">
        <v>6</v>
      </c>
      <c r="W176">
        <v>39.406955612903225</v>
      </c>
      <c r="Y176">
        <v>6</v>
      </c>
      <c r="Z176">
        <v>36.797787387096783</v>
      </c>
      <c r="AB176">
        <v>6</v>
      </c>
      <c r="AC176">
        <v>38.333229766666676</v>
      </c>
      <c r="AE176">
        <v>6</v>
      </c>
      <c r="AF176">
        <v>37.083474225806448</v>
      </c>
      <c r="AH176">
        <v>6</v>
      </c>
      <c r="AI176">
        <v>37.714327400000002</v>
      </c>
      <c r="AK176">
        <v>6</v>
      </c>
      <c r="AL176">
        <v>48.955744193548391</v>
      </c>
    </row>
    <row r="177" spans="1:38">
      <c r="A177">
        <v>7</v>
      </c>
      <c r="B177">
        <v>45.361356473972556</v>
      </c>
      <c r="D177">
        <v>7</v>
      </c>
      <c r="E177">
        <v>72.428055161290317</v>
      </c>
      <c r="G177">
        <v>7</v>
      </c>
      <c r="H177">
        <v>68.581360821428561</v>
      </c>
      <c r="J177">
        <v>7</v>
      </c>
      <c r="K177">
        <v>44.399910645161292</v>
      </c>
      <c r="M177">
        <v>7</v>
      </c>
      <c r="N177">
        <v>37.195720399999992</v>
      </c>
      <c r="P177">
        <v>7</v>
      </c>
      <c r="Q177">
        <v>38.459104290322578</v>
      </c>
      <c r="S177">
        <v>7</v>
      </c>
      <c r="T177">
        <v>37.854853366666674</v>
      </c>
      <c r="V177">
        <v>7</v>
      </c>
      <c r="W177">
        <v>41.610577129032265</v>
      </c>
      <c r="Y177">
        <v>7</v>
      </c>
      <c r="Z177">
        <v>38.990502000000006</v>
      </c>
      <c r="AB177">
        <v>7</v>
      </c>
      <c r="AC177">
        <v>39.996092566666668</v>
      </c>
      <c r="AE177">
        <v>7</v>
      </c>
      <c r="AF177">
        <v>38.327455612903229</v>
      </c>
      <c r="AH177">
        <v>7</v>
      </c>
      <c r="AI177">
        <v>37.837731000000005</v>
      </c>
      <c r="AK177">
        <v>7</v>
      </c>
      <c r="AL177">
        <v>49.98068838709677</v>
      </c>
    </row>
    <row r="178" spans="1:38">
      <c r="A178">
        <v>8</v>
      </c>
      <c r="B178">
        <v>45.499272528767108</v>
      </c>
      <c r="D178">
        <v>8</v>
      </c>
      <c r="E178">
        <v>69.55428354838709</v>
      </c>
      <c r="G178">
        <v>8</v>
      </c>
      <c r="H178">
        <v>66.716811857142858</v>
      </c>
      <c r="J178">
        <v>8</v>
      </c>
      <c r="K178">
        <v>43.674368516129029</v>
      </c>
      <c r="M178">
        <v>8</v>
      </c>
      <c r="N178">
        <v>38.573093766666666</v>
      </c>
      <c r="P178">
        <v>8</v>
      </c>
      <c r="Q178">
        <v>38.586896290322585</v>
      </c>
      <c r="S178">
        <v>8</v>
      </c>
      <c r="T178">
        <v>38.052042966666676</v>
      </c>
      <c r="V178">
        <v>8</v>
      </c>
      <c r="W178">
        <v>43.021725935483857</v>
      </c>
      <c r="Y178">
        <v>8</v>
      </c>
      <c r="Z178">
        <v>41.094231709677423</v>
      </c>
      <c r="AB178">
        <v>8</v>
      </c>
      <c r="AC178">
        <v>41.302652966666656</v>
      </c>
      <c r="AE178">
        <v>8</v>
      </c>
      <c r="AF178">
        <v>39.157580516129023</v>
      </c>
      <c r="AH178">
        <v>8</v>
      </c>
      <c r="AI178">
        <v>37.384675999999999</v>
      </c>
      <c r="AK178">
        <v>8</v>
      </c>
      <c r="AL178">
        <v>50.065422193548386</v>
      </c>
    </row>
    <row r="179" spans="1:38">
      <c r="A179">
        <v>9</v>
      </c>
      <c r="B179">
        <v>46.155386561643816</v>
      </c>
      <c r="D179">
        <v>9</v>
      </c>
      <c r="E179">
        <v>68.89245219354838</v>
      </c>
      <c r="G179">
        <v>9</v>
      </c>
      <c r="H179">
        <v>66.176969928571424</v>
      </c>
      <c r="J179">
        <v>9</v>
      </c>
      <c r="K179">
        <v>43.606586838709674</v>
      </c>
      <c r="M179">
        <v>9</v>
      </c>
      <c r="N179">
        <v>38.924963599999998</v>
      </c>
      <c r="P179">
        <v>9</v>
      </c>
      <c r="Q179">
        <v>39.36077648387095</v>
      </c>
      <c r="S179">
        <v>9</v>
      </c>
      <c r="T179">
        <v>39.182070266666649</v>
      </c>
      <c r="V179">
        <v>9</v>
      </c>
      <c r="W179">
        <v>45.388357258064524</v>
      </c>
      <c r="Y179">
        <v>9</v>
      </c>
      <c r="Z179">
        <v>44.004355935483858</v>
      </c>
      <c r="AB179">
        <v>9</v>
      </c>
      <c r="AC179">
        <v>42.415222399999983</v>
      </c>
      <c r="AE179">
        <v>9</v>
      </c>
      <c r="AF179">
        <v>40.115995225806451</v>
      </c>
      <c r="AH179">
        <v>9</v>
      </c>
      <c r="AI179">
        <v>37.152657233333336</v>
      </c>
      <c r="AK179">
        <v>9</v>
      </c>
      <c r="AL179">
        <v>49.712557741935498</v>
      </c>
    </row>
    <row r="180" spans="1:38">
      <c r="A180">
        <v>10</v>
      </c>
      <c r="B180">
        <v>46.6481601205479</v>
      </c>
      <c r="D180">
        <v>10</v>
      </c>
      <c r="E180">
        <v>67.623916806451604</v>
      </c>
      <c r="G180">
        <v>10</v>
      </c>
      <c r="H180">
        <v>65.490835142857151</v>
      </c>
      <c r="J180">
        <v>10</v>
      </c>
      <c r="K180">
        <v>43.471014935483872</v>
      </c>
      <c r="M180">
        <v>10</v>
      </c>
      <c r="N180">
        <v>39.328461866666672</v>
      </c>
      <c r="P180">
        <v>10</v>
      </c>
      <c r="Q180">
        <v>39.861408193548392</v>
      </c>
      <c r="S180">
        <v>10</v>
      </c>
      <c r="T180">
        <v>39.902821766666676</v>
      </c>
      <c r="V180">
        <v>10</v>
      </c>
      <c r="W180">
        <v>47.565965387096774</v>
      </c>
      <c r="Y180">
        <v>10</v>
      </c>
      <c r="Z180">
        <v>46.948264967741942</v>
      </c>
      <c r="AB180">
        <v>10</v>
      </c>
      <c r="AC180">
        <v>43.230843900000004</v>
      </c>
      <c r="AE180">
        <v>10</v>
      </c>
      <c r="AF180">
        <v>40.75307990322581</v>
      </c>
      <c r="AH180">
        <v>10</v>
      </c>
      <c r="AI180">
        <v>37.100690900000004</v>
      </c>
      <c r="AK180">
        <v>10</v>
      </c>
      <c r="AL180">
        <v>49.452172612903233</v>
      </c>
    </row>
    <row r="181" spans="1:38">
      <c r="A181">
        <v>11</v>
      </c>
      <c r="B181">
        <v>46.479148109589033</v>
      </c>
      <c r="D181">
        <v>11</v>
      </c>
      <c r="E181">
        <v>64.207628354838718</v>
      </c>
      <c r="G181">
        <v>11</v>
      </c>
      <c r="H181">
        <v>64.072560535714288</v>
      </c>
      <c r="J181">
        <v>11</v>
      </c>
      <c r="K181">
        <v>42.63019606451612</v>
      </c>
      <c r="M181">
        <v>11</v>
      </c>
      <c r="N181">
        <v>39.084835666666663</v>
      </c>
      <c r="P181">
        <v>11</v>
      </c>
      <c r="Q181">
        <v>39.360404032258074</v>
      </c>
      <c r="S181">
        <v>11</v>
      </c>
      <c r="T181">
        <v>41.104100899999999</v>
      </c>
      <c r="V181">
        <v>11</v>
      </c>
      <c r="W181">
        <v>49.079137161290333</v>
      </c>
      <c r="Y181">
        <v>11</v>
      </c>
      <c r="Z181">
        <v>48.610013129032247</v>
      </c>
      <c r="AB181">
        <v>11</v>
      </c>
      <c r="AC181">
        <v>43.898121799999998</v>
      </c>
      <c r="AE181">
        <v>11</v>
      </c>
      <c r="AF181">
        <v>40.685620709677416</v>
      </c>
      <c r="AH181">
        <v>11</v>
      </c>
      <c r="AI181">
        <v>37.271918333333346</v>
      </c>
      <c r="AK181">
        <v>11</v>
      </c>
      <c r="AL181">
        <v>48.655647774193547</v>
      </c>
    </row>
    <row r="182" spans="1:38">
      <c r="A182">
        <v>12</v>
      </c>
      <c r="B182">
        <v>46.100007978082232</v>
      </c>
      <c r="D182">
        <v>12</v>
      </c>
      <c r="E182">
        <v>61.287730419354837</v>
      </c>
      <c r="G182">
        <v>12</v>
      </c>
      <c r="H182">
        <v>61.248070464285711</v>
      </c>
      <c r="J182">
        <v>12</v>
      </c>
      <c r="K182">
        <v>42.444814580645151</v>
      </c>
      <c r="M182">
        <v>12</v>
      </c>
      <c r="N182">
        <v>38.641307133333342</v>
      </c>
      <c r="P182">
        <v>12</v>
      </c>
      <c r="Q182">
        <v>38.841481838709676</v>
      </c>
      <c r="S182">
        <v>12</v>
      </c>
      <c r="T182">
        <v>41.06120906666667</v>
      </c>
      <c r="V182">
        <v>12</v>
      </c>
      <c r="W182">
        <v>50.571311903225791</v>
      </c>
      <c r="Y182">
        <v>12</v>
      </c>
      <c r="Z182">
        <v>50.24616758064515</v>
      </c>
      <c r="AB182">
        <v>12</v>
      </c>
      <c r="AC182">
        <v>44.350147800000009</v>
      </c>
      <c r="AE182">
        <v>12</v>
      </c>
      <c r="AF182">
        <v>40.3463949032258</v>
      </c>
      <c r="AH182">
        <v>12</v>
      </c>
      <c r="AI182">
        <v>36.886844000000004</v>
      </c>
      <c r="AK182">
        <v>12</v>
      </c>
      <c r="AL182">
        <v>47.983766483870973</v>
      </c>
    </row>
    <row r="183" spans="1:38">
      <c r="A183">
        <v>13</v>
      </c>
      <c r="B183">
        <v>45.906294967123351</v>
      </c>
      <c r="D183">
        <v>13</v>
      </c>
      <c r="E183">
        <v>59.816375387096784</v>
      </c>
      <c r="G183">
        <v>13</v>
      </c>
      <c r="H183">
        <v>59.292377857142853</v>
      </c>
      <c r="J183">
        <v>13</v>
      </c>
      <c r="K183">
        <v>41.754398064516138</v>
      </c>
      <c r="M183">
        <v>13</v>
      </c>
      <c r="N183">
        <v>38.176113066666666</v>
      </c>
      <c r="P183">
        <v>13</v>
      </c>
      <c r="Q183">
        <v>38.342512612903221</v>
      </c>
      <c r="S183">
        <v>13</v>
      </c>
      <c r="T183">
        <v>41.530348133333327</v>
      </c>
      <c r="V183">
        <v>13</v>
      </c>
      <c r="W183">
        <v>51.673991000000015</v>
      </c>
      <c r="Y183">
        <v>13</v>
      </c>
      <c r="Z183">
        <v>51.754752032258054</v>
      </c>
      <c r="AB183">
        <v>13</v>
      </c>
      <c r="AC183">
        <v>44.49579026666666</v>
      </c>
      <c r="AE183">
        <v>13</v>
      </c>
      <c r="AF183">
        <v>40.350232032258056</v>
      </c>
      <c r="AH183">
        <v>13</v>
      </c>
      <c r="AI183">
        <v>36.982657566666653</v>
      </c>
      <c r="AK183">
        <v>13</v>
      </c>
      <c r="AL183">
        <v>47.277539258064508</v>
      </c>
    </row>
    <row r="184" spans="1:38">
      <c r="A184">
        <v>14</v>
      </c>
      <c r="B184">
        <v>45.482055430136967</v>
      </c>
      <c r="D184">
        <v>14</v>
      </c>
      <c r="E184">
        <v>59.17443429032258</v>
      </c>
      <c r="G184">
        <v>14</v>
      </c>
      <c r="H184">
        <v>57.505703107142836</v>
      </c>
      <c r="J184">
        <v>14</v>
      </c>
      <c r="K184">
        <v>41.133460516129027</v>
      </c>
      <c r="M184">
        <v>14</v>
      </c>
      <c r="N184">
        <v>37.455161233333335</v>
      </c>
      <c r="P184">
        <v>14</v>
      </c>
      <c r="Q184">
        <v>37.570276870967753</v>
      </c>
      <c r="S184">
        <v>14</v>
      </c>
      <c r="T184">
        <v>41.374153066666672</v>
      </c>
      <c r="V184">
        <v>14</v>
      </c>
      <c r="W184">
        <v>52.047223580645152</v>
      </c>
      <c r="Y184">
        <v>14</v>
      </c>
      <c r="Z184">
        <v>52.533140193548398</v>
      </c>
      <c r="AB184">
        <v>14</v>
      </c>
      <c r="AC184">
        <v>44.506602766666667</v>
      </c>
      <c r="AE184">
        <v>14</v>
      </c>
      <c r="AF184">
        <v>39.63076612903226</v>
      </c>
      <c r="AH184">
        <v>14</v>
      </c>
      <c r="AI184">
        <v>36.492674199999996</v>
      </c>
      <c r="AK184">
        <v>14</v>
      </c>
      <c r="AL184">
        <v>46.811756709677432</v>
      </c>
    </row>
    <row r="185" spans="1:38">
      <c r="A185">
        <v>15</v>
      </c>
      <c r="B185">
        <v>45.415926594520535</v>
      </c>
      <c r="D185">
        <v>15</v>
      </c>
      <c r="E185">
        <v>60.147021870967741</v>
      </c>
      <c r="G185">
        <v>15</v>
      </c>
      <c r="H185">
        <v>57.347756214285724</v>
      </c>
      <c r="J185">
        <v>15</v>
      </c>
      <c r="K185">
        <v>39.536001967741939</v>
      </c>
      <c r="M185">
        <v>15</v>
      </c>
      <c r="N185">
        <v>36.780586366666668</v>
      </c>
      <c r="P185">
        <v>15</v>
      </c>
      <c r="Q185">
        <v>37.283539677419355</v>
      </c>
      <c r="S185">
        <v>15</v>
      </c>
      <c r="T185">
        <v>41.135375666666654</v>
      </c>
      <c r="V185">
        <v>15</v>
      </c>
      <c r="W185">
        <v>52.570695258064518</v>
      </c>
      <c r="Y185">
        <v>15</v>
      </c>
      <c r="Z185">
        <v>53.365765935483893</v>
      </c>
      <c r="AB185">
        <v>15</v>
      </c>
      <c r="AC185">
        <v>44.453100433333333</v>
      </c>
      <c r="AE185">
        <v>15</v>
      </c>
      <c r="AF185">
        <v>39.286249096774199</v>
      </c>
      <c r="AH185">
        <v>15</v>
      </c>
      <c r="AI185">
        <v>36.10917633333333</v>
      </c>
      <c r="AK185">
        <v>15</v>
      </c>
      <c r="AL185">
        <v>47.382625193548385</v>
      </c>
    </row>
    <row r="186" spans="1:38">
      <c r="A186">
        <v>16</v>
      </c>
      <c r="B186">
        <v>46.739132704109565</v>
      </c>
      <c r="D186">
        <v>16</v>
      </c>
      <c r="E186">
        <v>63.916211354838708</v>
      </c>
      <c r="G186">
        <v>16</v>
      </c>
      <c r="H186">
        <v>59.295071999999998</v>
      </c>
      <c r="J186">
        <v>16</v>
      </c>
      <c r="K186">
        <v>40.387986741935478</v>
      </c>
      <c r="M186">
        <v>16</v>
      </c>
      <c r="N186">
        <v>37.506494999999994</v>
      </c>
      <c r="P186">
        <v>16</v>
      </c>
      <c r="Q186">
        <v>37.660130483870965</v>
      </c>
      <c r="S186">
        <v>16</v>
      </c>
      <c r="T186">
        <v>41.22491673333333</v>
      </c>
      <c r="V186">
        <v>16</v>
      </c>
      <c r="W186">
        <v>53.574494645161295</v>
      </c>
      <c r="Y186">
        <v>16</v>
      </c>
      <c r="Z186">
        <v>54.128767419354837</v>
      </c>
      <c r="AB186">
        <v>16</v>
      </c>
      <c r="AC186">
        <v>45.085507233333345</v>
      </c>
      <c r="AE186">
        <v>16</v>
      </c>
      <c r="AF186">
        <v>39.690404741935488</v>
      </c>
      <c r="AH186">
        <v>16</v>
      </c>
      <c r="AI186">
        <v>38.017798433333333</v>
      </c>
      <c r="AK186">
        <v>16</v>
      </c>
      <c r="AL186">
        <v>50.786517483870973</v>
      </c>
    </row>
    <row r="187" spans="1:38">
      <c r="A187">
        <v>17</v>
      </c>
      <c r="B187">
        <v>48.417554317808211</v>
      </c>
      <c r="D187">
        <v>17</v>
      </c>
      <c r="E187">
        <v>71.115573354838688</v>
      </c>
      <c r="G187">
        <v>17</v>
      </c>
      <c r="H187">
        <v>62.222220178571433</v>
      </c>
      <c r="J187">
        <v>17</v>
      </c>
      <c r="K187">
        <v>39.327476322580644</v>
      </c>
      <c r="M187">
        <v>17</v>
      </c>
      <c r="N187">
        <v>38.185652699999984</v>
      </c>
      <c r="P187">
        <v>17</v>
      </c>
      <c r="Q187">
        <v>37.68438193548387</v>
      </c>
      <c r="S187">
        <v>17</v>
      </c>
      <c r="T187">
        <v>41.396441166666669</v>
      </c>
      <c r="V187">
        <v>17</v>
      </c>
      <c r="W187">
        <v>52.660344354838706</v>
      </c>
      <c r="Y187">
        <v>17</v>
      </c>
      <c r="Z187">
        <v>53.480664483870967</v>
      </c>
      <c r="AB187">
        <v>17</v>
      </c>
      <c r="AC187">
        <v>44.483937766666664</v>
      </c>
      <c r="AE187">
        <v>17</v>
      </c>
      <c r="AF187">
        <v>40.94537674193549</v>
      </c>
      <c r="AH187">
        <v>17</v>
      </c>
      <c r="AI187">
        <v>42.128565033333331</v>
      </c>
      <c r="AK187">
        <v>17</v>
      </c>
      <c r="AL187">
        <v>57.829642838709688</v>
      </c>
    </row>
    <row r="188" spans="1:38">
      <c r="A188">
        <v>18</v>
      </c>
      <c r="B188">
        <v>48.98454508493154</v>
      </c>
      <c r="D188">
        <v>18</v>
      </c>
      <c r="E188">
        <v>73.374012516129028</v>
      </c>
      <c r="G188">
        <v>18</v>
      </c>
      <c r="H188">
        <v>67.681924928571433</v>
      </c>
      <c r="J188">
        <v>18</v>
      </c>
      <c r="K188">
        <v>42.613970322580641</v>
      </c>
      <c r="M188">
        <v>18</v>
      </c>
      <c r="N188">
        <v>38.129501766666664</v>
      </c>
      <c r="P188">
        <v>18</v>
      </c>
      <c r="Q188">
        <v>37.290929290322573</v>
      </c>
      <c r="S188">
        <v>18</v>
      </c>
      <c r="T188">
        <v>41.289999966666663</v>
      </c>
      <c r="V188">
        <v>18</v>
      </c>
      <c r="W188">
        <v>50.580675709677422</v>
      </c>
      <c r="Y188">
        <v>18</v>
      </c>
      <c r="Z188">
        <v>50.354537225806453</v>
      </c>
      <c r="AB188">
        <v>18</v>
      </c>
      <c r="AC188">
        <v>44.075168200000007</v>
      </c>
      <c r="AE188">
        <v>18</v>
      </c>
      <c r="AF188">
        <v>44.24709106451612</v>
      </c>
      <c r="AH188">
        <v>18</v>
      </c>
      <c r="AI188">
        <v>41.148322633333336</v>
      </c>
      <c r="AK188">
        <v>18</v>
      </c>
      <c r="AL188">
        <v>57.828309064516127</v>
      </c>
    </row>
    <row r="189" spans="1:38">
      <c r="A189">
        <v>19</v>
      </c>
      <c r="B189">
        <v>48.211280852054799</v>
      </c>
      <c r="D189">
        <v>19</v>
      </c>
      <c r="E189">
        <v>70.45182938709678</v>
      </c>
      <c r="G189">
        <v>19</v>
      </c>
      <c r="H189">
        <v>66.810353249999977</v>
      </c>
      <c r="J189">
        <v>19</v>
      </c>
      <c r="K189">
        <v>44.471405419354838</v>
      </c>
      <c r="M189">
        <v>19</v>
      </c>
      <c r="N189">
        <v>38.789111666666663</v>
      </c>
      <c r="P189">
        <v>19</v>
      </c>
      <c r="Q189">
        <v>37.655901677419344</v>
      </c>
      <c r="S189">
        <v>19</v>
      </c>
      <c r="T189">
        <v>40.004680533333321</v>
      </c>
      <c r="V189">
        <v>19</v>
      </c>
      <c r="W189">
        <v>48.392040548387094</v>
      </c>
      <c r="Y189">
        <v>19</v>
      </c>
      <c r="Z189">
        <v>48.210631580645149</v>
      </c>
      <c r="AB189">
        <v>19</v>
      </c>
      <c r="AC189">
        <v>44.40515446666668</v>
      </c>
      <c r="AE189">
        <v>19</v>
      </c>
      <c r="AF189">
        <v>45.045230387096773</v>
      </c>
      <c r="AH189">
        <v>19</v>
      </c>
      <c r="AI189">
        <v>39.516784533333336</v>
      </c>
      <c r="AK189">
        <v>19</v>
      </c>
      <c r="AL189">
        <v>55.610241129032268</v>
      </c>
    </row>
    <row r="190" spans="1:38">
      <c r="A190">
        <v>20</v>
      </c>
      <c r="B190">
        <v>47.415022246575326</v>
      </c>
      <c r="D190">
        <v>20</v>
      </c>
      <c r="E190">
        <v>67.725393516129017</v>
      </c>
      <c r="G190">
        <v>20</v>
      </c>
      <c r="H190">
        <v>65.201530964285695</v>
      </c>
      <c r="J190">
        <v>20</v>
      </c>
      <c r="K190">
        <v>42.943145483870964</v>
      </c>
      <c r="M190">
        <v>20</v>
      </c>
      <c r="N190">
        <v>40.599605833333335</v>
      </c>
      <c r="P190">
        <v>20</v>
      </c>
      <c r="Q190">
        <v>40.187340225806466</v>
      </c>
      <c r="S190">
        <v>20</v>
      </c>
      <c r="T190">
        <v>40.333655799999995</v>
      </c>
      <c r="V190">
        <v>20</v>
      </c>
      <c r="W190">
        <v>48.199933870967747</v>
      </c>
      <c r="Y190">
        <v>20</v>
      </c>
      <c r="Z190">
        <v>48.271624129032261</v>
      </c>
      <c r="AB190">
        <v>20</v>
      </c>
      <c r="AC190">
        <v>44.177778500000002</v>
      </c>
      <c r="AE190">
        <v>20</v>
      </c>
      <c r="AF190">
        <v>42.950657709677422</v>
      </c>
      <c r="AH190">
        <v>20</v>
      </c>
      <c r="AI190">
        <v>37.464033333333326</v>
      </c>
      <c r="AK190">
        <v>20</v>
      </c>
      <c r="AL190">
        <v>51.773132451612902</v>
      </c>
    </row>
    <row r="191" spans="1:38">
      <c r="A191">
        <v>21</v>
      </c>
      <c r="B191">
        <v>45.55422752054799</v>
      </c>
      <c r="D191">
        <v>21</v>
      </c>
      <c r="E191">
        <v>66.235124741935479</v>
      </c>
      <c r="G191">
        <v>21</v>
      </c>
      <c r="H191">
        <v>62.627294857142871</v>
      </c>
      <c r="J191">
        <v>21</v>
      </c>
      <c r="K191">
        <v>41.512945870967741</v>
      </c>
      <c r="M191">
        <v>21</v>
      </c>
      <c r="N191">
        <v>38.343265333333335</v>
      </c>
      <c r="P191">
        <v>21</v>
      </c>
      <c r="Q191">
        <v>39.996388193548384</v>
      </c>
      <c r="S191">
        <v>21</v>
      </c>
      <c r="T191">
        <v>40.641697666666666</v>
      </c>
      <c r="V191">
        <v>21</v>
      </c>
      <c r="W191">
        <v>47.461677967741934</v>
      </c>
      <c r="Y191">
        <v>21</v>
      </c>
      <c r="Z191">
        <v>46.056161709677419</v>
      </c>
      <c r="AB191">
        <v>21</v>
      </c>
      <c r="AC191">
        <v>40.165046533333339</v>
      </c>
      <c r="AE191">
        <v>21</v>
      </c>
      <c r="AF191">
        <v>39.608808258064521</v>
      </c>
      <c r="AH191">
        <v>21</v>
      </c>
      <c r="AI191">
        <v>35.863254733333335</v>
      </c>
      <c r="AK191">
        <v>21</v>
      </c>
      <c r="AL191">
        <v>48.913759741935493</v>
      </c>
    </row>
    <row r="192" spans="1:38">
      <c r="A192">
        <v>22</v>
      </c>
      <c r="B192">
        <v>43.542739824657531</v>
      </c>
      <c r="D192">
        <v>22</v>
      </c>
      <c r="E192">
        <v>64.991866967741942</v>
      </c>
      <c r="G192">
        <v>22</v>
      </c>
      <c r="H192">
        <v>60.104274357142849</v>
      </c>
      <c r="J192">
        <v>22</v>
      </c>
      <c r="K192">
        <v>42.523532580645167</v>
      </c>
      <c r="M192">
        <v>22</v>
      </c>
      <c r="N192">
        <v>36.887793399999993</v>
      </c>
      <c r="P192">
        <v>22</v>
      </c>
      <c r="Q192">
        <v>37.822797419354828</v>
      </c>
      <c r="S192">
        <v>22</v>
      </c>
      <c r="T192">
        <v>37.104673566666662</v>
      </c>
      <c r="V192">
        <v>22</v>
      </c>
      <c r="W192">
        <v>44.01901477419355</v>
      </c>
      <c r="Y192">
        <v>22</v>
      </c>
      <c r="Z192">
        <v>41.436885709677419</v>
      </c>
      <c r="AB192">
        <v>22</v>
      </c>
      <c r="AC192">
        <v>37.630403400000006</v>
      </c>
      <c r="AE192">
        <v>22</v>
      </c>
      <c r="AF192">
        <v>35.539118032258067</v>
      </c>
      <c r="AH192">
        <v>22</v>
      </c>
      <c r="AI192">
        <v>35.686483366666678</v>
      </c>
      <c r="AK192">
        <v>22</v>
      </c>
      <c r="AL192">
        <v>49.502260064516136</v>
      </c>
    </row>
    <row r="193" spans="1:38">
      <c r="A193">
        <v>23</v>
      </c>
      <c r="B193">
        <v>41.558912361643834</v>
      </c>
      <c r="D193">
        <v>23</v>
      </c>
      <c r="E193">
        <v>58.045964935483873</v>
      </c>
      <c r="G193">
        <v>23</v>
      </c>
      <c r="H193">
        <v>55.609313821428579</v>
      </c>
      <c r="J193">
        <v>23</v>
      </c>
      <c r="K193">
        <v>41.11859590000001</v>
      </c>
      <c r="M193">
        <v>23</v>
      </c>
      <c r="N193">
        <v>37.265316133333322</v>
      </c>
      <c r="P193">
        <v>23</v>
      </c>
      <c r="Q193">
        <v>37.609766225806453</v>
      </c>
      <c r="S193">
        <v>23</v>
      </c>
      <c r="T193">
        <v>36.637018833333336</v>
      </c>
      <c r="V193">
        <v>23</v>
      </c>
      <c r="W193">
        <v>41.136316935483862</v>
      </c>
      <c r="Y193">
        <v>23</v>
      </c>
      <c r="Z193">
        <v>37.944375451612899</v>
      </c>
      <c r="AB193">
        <v>23</v>
      </c>
      <c r="AC193">
        <v>36.966962266666663</v>
      </c>
      <c r="AE193">
        <v>23</v>
      </c>
      <c r="AF193">
        <v>34.937734387096775</v>
      </c>
      <c r="AH193">
        <v>23</v>
      </c>
      <c r="AI193">
        <v>35.328056612903232</v>
      </c>
      <c r="AK193">
        <v>23</v>
      </c>
      <c r="AL193">
        <v>47.007638064516129</v>
      </c>
    </row>
    <row r="194" spans="1:38">
      <c r="A194" t="s">
        <v>328</v>
      </c>
      <c r="B194">
        <v>44.088750353881288</v>
      </c>
      <c r="D194" t="s">
        <v>328</v>
      </c>
      <c r="E194">
        <v>62.08248575134408</v>
      </c>
      <c r="G194" t="s">
        <v>328</v>
      </c>
      <c r="H194">
        <v>59.62163645833332</v>
      </c>
      <c r="J194" t="s">
        <v>328</v>
      </c>
      <c r="K194">
        <v>41.656220220295708</v>
      </c>
      <c r="M194" t="s">
        <v>328</v>
      </c>
      <c r="N194">
        <v>37.478246866666659</v>
      </c>
      <c r="P194" t="s">
        <v>328</v>
      </c>
      <c r="Q194">
        <v>37.352484649193542</v>
      </c>
      <c r="S194" t="s">
        <v>328</v>
      </c>
      <c r="T194">
        <v>38.636901636111098</v>
      </c>
      <c r="V194" t="s">
        <v>328</v>
      </c>
      <c r="W194">
        <v>45.271196122311814</v>
      </c>
      <c r="Y194" t="s">
        <v>328</v>
      </c>
      <c r="Z194">
        <v>43.912768877688173</v>
      </c>
      <c r="AB194" t="s">
        <v>328</v>
      </c>
      <c r="AC194">
        <v>40.568729965277782</v>
      </c>
      <c r="AE194" t="s">
        <v>328</v>
      </c>
      <c r="AF194">
        <v>38.030594451612906</v>
      </c>
      <c r="AH194" t="s">
        <v>328</v>
      </c>
      <c r="AI194">
        <v>36.29585348248208</v>
      </c>
      <c r="AK194" t="s">
        <v>328</v>
      </c>
      <c r="AL194">
        <v>48.91481032392474</v>
      </c>
    </row>
    <row r="197" spans="1:38">
      <c r="A197" s="94">
        <v>2022</v>
      </c>
      <c r="B197" s="99" t="s">
        <v>325</v>
      </c>
      <c r="D197">
        <v>1</v>
      </c>
      <c r="E197" s="99" t="s">
        <v>316</v>
      </c>
      <c r="G197">
        <v>2</v>
      </c>
      <c r="H197" s="99" t="s">
        <v>316</v>
      </c>
      <c r="J197">
        <v>3</v>
      </c>
      <c r="K197" s="99" t="s">
        <v>316</v>
      </c>
      <c r="M197">
        <v>4</v>
      </c>
      <c r="N197" s="99" t="s">
        <v>316</v>
      </c>
      <c r="P197">
        <v>5</v>
      </c>
      <c r="Q197" s="99" t="s">
        <v>316</v>
      </c>
      <c r="S197">
        <v>6</v>
      </c>
      <c r="T197" s="99" t="s">
        <v>316</v>
      </c>
      <c r="V197">
        <v>7</v>
      </c>
      <c r="W197" s="99" t="s">
        <v>316</v>
      </c>
      <c r="Y197">
        <v>8</v>
      </c>
      <c r="Z197" s="99" t="s">
        <v>316</v>
      </c>
      <c r="AB197">
        <v>9</v>
      </c>
      <c r="AC197" s="99" t="s">
        <v>316</v>
      </c>
      <c r="AE197">
        <v>10</v>
      </c>
      <c r="AF197" s="99" t="s">
        <v>316</v>
      </c>
      <c r="AH197">
        <v>11</v>
      </c>
      <c r="AI197" s="99" t="s">
        <v>316</v>
      </c>
      <c r="AK197">
        <v>12</v>
      </c>
      <c r="AL197" s="99" t="s">
        <v>316</v>
      </c>
    </row>
    <row r="198" spans="1:38">
      <c r="A198" s="94" t="s">
        <v>308</v>
      </c>
      <c r="B198" s="58">
        <v>8760</v>
      </c>
      <c r="D198" s="94" t="s">
        <v>397</v>
      </c>
      <c r="E198" s="58">
        <v>744</v>
      </c>
      <c r="G198" s="94" t="s">
        <v>398</v>
      </c>
      <c r="H198" s="58">
        <v>672</v>
      </c>
      <c r="J198" s="94" t="s">
        <v>399</v>
      </c>
      <c r="K198" s="58">
        <v>743</v>
      </c>
      <c r="M198" s="94" t="s">
        <v>400</v>
      </c>
      <c r="N198" s="58">
        <v>720</v>
      </c>
      <c r="P198" s="94" t="s">
        <v>401</v>
      </c>
      <c r="Q198" s="58">
        <v>744</v>
      </c>
      <c r="S198" s="94" t="s">
        <v>402</v>
      </c>
      <c r="T198" s="58">
        <v>720</v>
      </c>
      <c r="V198" s="94" t="s">
        <v>403</v>
      </c>
      <c r="W198" s="58">
        <v>744</v>
      </c>
      <c r="Y198" s="94" t="s">
        <v>404</v>
      </c>
      <c r="Z198" s="58">
        <v>744</v>
      </c>
      <c r="AB198" s="94" t="s">
        <v>405</v>
      </c>
      <c r="AC198" s="58">
        <v>720</v>
      </c>
      <c r="AE198" s="94" t="s">
        <v>406</v>
      </c>
      <c r="AF198" s="58">
        <v>744</v>
      </c>
      <c r="AH198" s="94" t="s">
        <v>407</v>
      </c>
      <c r="AI198" s="58">
        <v>721</v>
      </c>
      <c r="AK198" s="94" t="s">
        <v>408</v>
      </c>
      <c r="AL198" s="58">
        <v>744</v>
      </c>
    </row>
    <row r="199" spans="1:38">
      <c r="A199" s="94" t="s">
        <v>326</v>
      </c>
      <c r="B199" s="58">
        <v>0</v>
      </c>
      <c r="D199" s="94" t="s">
        <v>326</v>
      </c>
      <c r="E199" s="58">
        <v>0</v>
      </c>
      <c r="G199" s="94" t="s">
        <v>326</v>
      </c>
      <c r="H199" s="58">
        <v>744</v>
      </c>
      <c r="J199" s="94" t="s">
        <v>326</v>
      </c>
      <c r="K199" s="58">
        <v>1416</v>
      </c>
      <c r="M199" s="94" t="s">
        <v>326</v>
      </c>
      <c r="N199" s="58">
        <v>2159</v>
      </c>
      <c r="P199" s="94" t="s">
        <v>326</v>
      </c>
      <c r="Q199" s="58">
        <v>2879</v>
      </c>
      <c r="S199" s="94" t="s">
        <v>326</v>
      </c>
      <c r="T199" s="58">
        <v>3623</v>
      </c>
      <c r="V199" s="94" t="s">
        <v>326</v>
      </c>
      <c r="W199" s="58">
        <v>4343</v>
      </c>
      <c r="Y199" s="94" t="s">
        <v>326</v>
      </c>
      <c r="Z199" s="58">
        <v>5087</v>
      </c>
      <c r="AB199" s="94" t="s">
        <v>326</v>
      </c>
      <c r="AC199" s="58">
        <v>5831</v>
      </c>
      <c r="AE199" s="94" t="s">
        <v>326</v>
      </c>
      <c r="AF199" s="58">
        <v>6551</v>
      </c>
      <c r="AH199" s="94" t="s">
        <v>326</v>
      </c>
      <c r="AI199" s="58">
        <v>7295</v>
      </c>
      <c r="AK199" s="94" t="s">
        <v>326</v>
      </c>
      <c r="AL199" s="58">
        <v>8016</v>
      </c>
    </row>
    <row r="200" spans="1:38">
      <c r="A200" s="94" t="s">
        <v>327</v>
      </c>
      <c r="B200" s="58">
        <v>8760</v>
      </c>
      <c r="D200" s="94" t="s">
        <v>327</v>
      </c>
      <c r="E200" s="58">
        <v>744</v>
      </c>
      <c r="G200" s="94" t="s">
        <v>327</v>
      </c>
      <c r="H200" s="58">
        <v>1416</v>
      </c>
      <c r="J200" s="94" t="s">
        <v>327</v>
      </c>
      <c r="K200" s="58">
        <v>2159</v>
      </c>
      <c r="M200" s="94" t="s">
        <v>327</v>
      </c>
      <c r="N200" s="58">
        <v>2879</v>
      </c>
      <c r="P200" s="94" t="s">
        <v>327</v>
      </c>
      <c r="Q200" s="58">
        <v>3623</v>
      </c>
      <c r="S200" s="94" t="s">
        <v>327</v>
      </c>
      <c r="T200" s="58">
        <v>4343</v>
      </c>
      <c r="V200" s="94" t="s">
        <v>327</v>
      </c>
      <c r="W200" s="58">
        <v>5087</v>
      </c>
      <c r="Y200" s="94" t="s">
        <v>327</v>
      </c>
      <c r="Z200" s="58">
        <v>5831</v>
      </c>
      <c r="AB200" s="94" t="s">
        <v>327</v>
      </c>
      <c r="AC200" s="58">
        <v>6551</v>
      </c>
      <c r="AE200" s="94" t="s">
        <v>327</v>
      </c>
      <c r="AF200" s="58">
        <v>7295</v>
      </c>
      <c r="AH200" s="94" t="s">
        <v>327</v>
      </c>
      <c r="AI200" s="58">
        <v>8016</v>
      </c>
      <c r="AK200" s="94" t="s">
        <v>327</v>
      </c>
      <c r="AL200" s="58">
        <v>8760</v>
      </c>
    </row>
    <row r="201" spans="1:38">
      <c r="A201" t="s">
        <v>293</v>
      </c>
      <c r="B201" s="16" t="s">
        <v>294</v>
      </c>
      <c r="D201" t="s">
        <v>293</v>
      </c>
      <c r="E201" s="16" t="s">
        <v>294</v>
      </c>
      <c r="G201" t="s">
        <v>293</v>
      </c>
      <c r="H201" s="16" t="s">
        <v>294</v>
      </c>
      <c r="J201" t="s">
        <v>293</v>
      </c>
      <c r="K201" s="16" t="s">
        <v>294</v>
      </c>
      <c r="M201" t="s">
        <v>293</v>
      </c>
      <c r="N201" s="16" t="s">
        <v>294</v>
      </c>
      <c r="P201" t="s">
        <v>293</v>
      </c>
      <c r="Q201" s="16" t="s">
        <v>294</v>
      </c>
      <c r="S201" t="s">
        <v>293</v>
      </c>
      <c r="T201" s="16" t="s">
        <v>294</v>
      </c>
      <c r="V201" t="s">
        <v>293</v>
      </c>
      <c r="W201" s="16" t="s">
        <v>294</v>
      </c>
      <c r="Y201" t="s">
        <v>293</v>
      </c>
      <c r="Z201" s="16" t="s">
        <v>294</v>
      </c>
      <c r="AB201" t="s">
        <v>293</v>
      </c>
      <c r="AC201" s="16" t="s">
        <v>294</v>
      </c>
      <c r="AE201" t="s">
        <v>293</v>
      </c>
      <c r="AF201" s="16" t="s">
        <v>294</v>
      </c>
      <c r="AH201" t="s">
        <v>293</v>
      </c>
      <c r="AI201" s="16" t="s">
        <v>294</v>
      </c>
      <c r="AK201" t="s">
        <v>293</v>
      </c>
      <c r="AL201" s="16" t="s">
        <v>294</v>
      </c>
    </row>
    <row r="202" spans="1:38">
      <c r="A202">
        <v>0</v>
      </c>
      <c r="B202">
        <v>42.521338936986282</v>
      </c>
      <c r="D202">
        <v>0</v>
      </c>
      <c r="E202">
        <v>58.908315516129043</v>
      </c>
      <c r="G202">
        <v>0</v>
      </c>
      <c r="H202">
        <v>49.79213032142858</v>
      </c>
      <c r="J202">
        <v>0</v>
      </c>
      <c r="K202">
        <v>43.213398387096774</v>
      </c>
      <c r="M202">
        <v>0</v>
      </c>
      <c r="N202">
        <v>39.231627900000007</v>
      </c>
      <c r="P202">
        <v>0</v>
      </c>
      <c r="Q202">
        <v>38.416578741935481</v>
      </c>
      <c r="S202">
        <v>0</v>
      </c>
      <c r="T202">
        <v>40.021774099999995</v>
      </c>
      <c r="V202">
        <v>0</v>
      </c>
      <c r="W202">
        <v>42.80026287096775</v>
      </c>
      <c r="Y202">
        <v>0</v>
      </c>
      <c r="Z202">
        <v>39.02703577419355</v>
      </c>
      <c r="AB202">
        <v>0</v>
      </c>
      <c r="AC202">
        <v>38.605999433333338</v>
      </c>
      <c r="AE202">
        <v>0</v>
      </c>
      <c r="AF202">
        <v>35.854491161290326</v>
      </c>
      <c r="AH202">
        <v>0</v>
      </c>
      <c r="AI202">
        <v>37.116876200000007</v>
      </c>
      <c r="AK202">
        <v>0</v>
      </c>
      <c r="AL202">
        <v>47.483812193548388</v>
      </c>
    </row>
    <row r="203" spans="1:38">
      <c r="A203">
        <v>1</v>
      </c>
      <c r="B203">
        <v>41.171390761643821</v>
      </c>
      <c r="D203">
        <v>1</v>
      </c>
      <c r="E203">
        <v>58.016041193548375</v>
      </c>
      <c r="G203">
        <v>1</v>
      </c>
      <c r="H203">
        <v>49.835111250000004</v>
      </c>
      <c r="J203">
        <v>1</v>
      </c>
      <c r="K203">
        <v>42.314423096774178</v>
      </c>
      <c r="M203">
        <v>1</v>
      </c>
      <c r="N203">
        <v>38.211854400000007</v>
      </c>
      <c r="P203">
        <v>1</v>
      </c>
      <c r="Q203">
        <v>36.676092322580644</v>
      </c>
      <c r="S203">
        <v>1</v>
      </c>
      <c r="T203">
        <v>37.684148466666677</v>
      </c>
      <c r="V203">
        <v>1</v>
      </c>
      <c r="W203">
        <v>40.735505387096772</v>
      </c>
      <c r="Y203">
        <v>1</v>
      </c>
      <c r="Z203">
        <v>37.846671032258065</v>
      </c>
      <c r="AB203">
        <v>1</v>
      </c>
      <c r="AC203">
        <v>36.66220246666667</v>
      </c>
      <c r="AE203">
        <v>1</v>
      </c>
      <c r="AF203">
        <v>34.41228174193548</v>
      </c>
      <c r="AH203">
        <v>1</v>
      </c>
      <c r="AI203">
        <v>35.918520566666672</v>
      </c>
      <c r="AK203">
        <v>1</v>
      </c>
      <c r="AL203">
        <v>46.059396064516143</v>
      </c>
    </row>
    <row r="204" spans="1:38">
      <c r="A204">
        <v>2</v>
      </c>
      <c r="B204">
        <v>40.308247895890439</v>
      </c>
      <c r="D204">
        <v>2</v>
      </c>
      <c r="E204">
        <v>57.145237354838706</v>
      </c>
      <c r="G204">
        <v>2</v>
      </c>
      <c r="H204">
        <v>50.621754785714302</v>
      </c>
      <c r="J204">
        <v>2</v>
      </c>
      <c r="K204">
        <v>41.727044032258064</v>
      </c>
      <c r="M204">
        <v>2</v>
      </c>
      <c r="N204">
        <v>37.213595766666657</v>
      </c>
      <c r="P204">
        <v>2</v>
      </c>
      <c r="Q204">
        <v>35.546299741935485</v>
      </c>
      <c r="S204">
        <v>2</v>
      </c>
      <c r="T204">
        <v>36.328679133333338</v>
      </c>
      <c r="V204">
        <v>2</v>
      </c>
      <c r="W204">
        <v>39.67857941935484</v>
      </c>
      <c r="Y204">
        <v>2</v>
      </c>
      <c r="Z204">
        <v>36.950358774193546</v>
      </c>
      <c r="AB204">
        <v>2</v>
      </c>
      <c r="AC204">
        <v>35.245210433333334</v>
      </c>
      <c r="AE204">
        <v>2</v>
      </c>
      <c r="AF204">
        <v>33.770387806451616</v>
      </c>
      <c r="AH204">
        <v>2</v>
      </c>
      <c r="AI204">
        <v>34.711750166666668</v>
      </c>
      <c r="AK204">
        <v>2</v>
      </c>
      <c r="AL204">
        <v>45.186101999999984</v>
      </c>
    </row>
    <row r="205" spans="1:38">
      <c r="A205">
        <v>3</v>
      </c>
      <c r="B205">
        <v>39.650229591780842</v>
      </c>
      <c r="D205">
        <v>3</v>
      </c>
      <c r="E205">
        <v>55.65801812903225</v>
      </c>
      <c r="G205">
        <v>3</v>
      </c>
      <c r="H205">
        <v>50.377671071428558</v>
      </c>
      <c r="J205">
        <v>3</v>
      </c>
      <c r="K205">
        <v>41.637958806451621</v>
      </c>
      <c r="M205">
        <v>3</v>
      </c>
      <c r="N205">
        <v>36.306434066666661</v>
      </c>
      <c r="P205">
        <v>3</v>
      </c>
      <c r="Q205">
        <v>35.085911709677418</v>
      </c>
      <c r="S205">
        <v>3</v>
      </c>
      <c r="T205">
        <v>35.585392533333327</v>
      </c>
      <c r="V205">
        <v>3</v>
      </c>
      <c r="W205">
        <v>38.882955290322577</v>
      </c>
      <c r="Y205">
        <v>3</v>
      </c>
      <c r="Z205">
        <v>35.94121222580646</v>
      </c>
      <c r="AB205">
        <v>3</v>
      </c>
      <c r="AC205">
        <v>34.304972333333332</v>
      </c>
      <c r="AE205">
        <v>3</v>
      </c>
      <c r="AF205">
        <v>33.168035419354837</v>
      </c>
      <c r="AH205">
        <v>3</v>
      </c>
      <c r="AI205">
        <v>34.343528733333322</v>
      </c>
      <c r="AK205">
        <v>3</v>
      </c>
      <c r="AL205">
        <v>44.966204580645162</v>
      </c>
    </row>
    <row r="206" spans="1:38">
      <c r="A206">
        <v>4</v>
      </c>
      <c r="B206">
        <v>40.323669991780861</v>
      </c>
      <c r="D206">
        <v>4</v>
      </c>
      <c r="E206">
        <v>59.604177225806467</v>
      </c>
      <c r="G206">
        <v>4</v>
      </c>
      <c r="H206">
        <v>51.962297571428564</v>
      </c>
      <c r="J206">
        <v>4</v>
      </c>
      <c r="K206">
        <v>42.052478096774195</v>
      </c>
      <c r="M206">
        <v>4</v>
      </c>
      <c r="N206">
        <v>36.284689733333337</v>
      </c>
      <c r="P206">
        <v>4</v>
      </c>
      <c r="Q206">
        <v>35.235196225806448</v>
      </c>
      <c r="S206">
        <v>4</v>
      </c>
      <c r="T206">
        <v>35.74101026666667</v>
      </c>
      <c r="V206">
        <v>4</v>
      </c>
      <c r="W206">
        <v>38.633007838709688</v>
      </c>
      <c r="Y206">
        <v>4</v>
      </c>
      <c r="Z206">
        <v>35.610018548387103</v>
      </c>
      <c r="AB206">
        <v>4</v>
      </c>
      <c r="AC206">
        <v>34.368217500000007</v>
      </c>
      <c r="AE206">
        <v>4</v>
      </c>
      <c r="AF206">
        <v>33.443860161290317</v>
      </c>
      <c r="AH206">
        <v>4</v>
      </c>
      <c r="AI206">
        <v>35.619909499999991</v>
      </c>
      <c r="AK206">
        <v>4</v>
      </c>
      <c r="AL206">
        <v>45.833533032258053</v>
      </c>
    </row>
    <row r="207" spans="1:38">
      <c r="A207">
        <v>5</v>
      </c>
      <c r="B207">
        <v>43.14173732328765</v>
      </c>
      <c r="D207">
        <v>5</v>
      </c>
      <c r="E207">
        <v>69.129645161290327</v>
      </c>
      <c r="G207">
        <v>5</v>
      </c>
      <c r="H207">
        <v>56.428513714285714</v>
      </c>
      <c r="J207">
        <v>5</v>
      </c>
      <c r="K207">
        <v>43.977600129032254</v>
      </c>
      <c r="M207">
        <v>5</v>
      </c>
      <c r="N207">
        <v>37.968175833333333</v>
      </c>
      <c r="P207">
        <v>5</v>
      </c>
      <c r="Q207">
        <v>36.106955741935494</v>
      </c>
      <c r="S207">
        <v>5</v>
      </c>
      <c r="T207">
        <v>36.886952999999991</v>
      </c>
      <c r="V207">
        <v>5</v>
      </c>
      <c r="W207">
        <v>38.988072806451619</v>
      </c>
      <c r="Y207">
        <v>5</v>
      </c>
      <c r="Z207">
        <v>36.798810161290326</v>
      </c>
      <c r="AB207">
        <v>5</v>
      </c>
      <c r="AC207">
        <v>37.28890586666666</v>
      </c>
      <c r="AE207">
        <v>5</v>
      </c>
      <c r="AF207">
        <v>37.281165709677417</v>
      </c>
      <c r="AH207">
        <v>5</v>
      </c>
      <c r="AI207">
        <v>38.755611733333339</v>
      </c>
      <c r="AK207">
        <v>5</v>
      </c>
      <c r="AL207">
        <v>48.677309838709668</v>
      </c>
    </row>
    <row r="208" spans="1:38">
      <c r="A208">
        <v>6</v>
      </c>
      <c r="B208">
        <v>46.511877361643833</v>
      </c>
      <c r="D208">
        <v>6</v>
      </c>
      <c r="E208">
        <v>78.144543677419364</v>
      </c>
      <c r="G208">
        <v>6</v>
      </c>
      <c r="H208">
        <v>65.830288999999993</v>
      </c>
      <c r="J208">
        <v>6</v>
      </c>
      <c r="K208">
        <v>45.99536793548387</v>
      </c>
      <c r="M208">
        <v>6</v>
      </c>
      <c r="N208">
        <v>39.164768733333325</v>
      </c>
      <c r="P208">
        <v>6</v>
      </c>
      <c r="Q208">
        <v>38.41654274193548</v>
      </c>
      <c r="S208">
        <v>6</v>
      </c>
      <c r="T208">
        <v>38.999565000000011</v>
      </c>
      <c r="V208">
        <v>6</v>
      </c>
      <c r="W208">
        <v>41.244854483870959</v>
      </c>
      <c r="Y208">
        <v>6</v>
      </c>
      <c r="Z208">
        <v>39.090726870967742</v>
      </c>
      <c r="AB208">
        <v>6</v>
      </c>
      <c r="AC208">
        <v>39.941625899999984</v>
      </c>
      <c r="AE208">
        <v>6</v>
      </c>
      <c r="AF208">
        <v>39.631232258064507</v>
      </c>
      <c r="AH208">
        <v>6</v>
      </c>
      <c r="AI208">
        <v>40.556860966666669</v>
      </c>
      <c r="AK208">
        <v>6</v>
      </c>
      <c r="AL208">
        <v>52.112297419354846</v>
      </c>
    </row>
    <row r="209" spans="1:38">
      <c r="A209">
        <v>7</v>
      </c>
      <c r="B209">
        <v>48.226901175342476</v>
      </c>
      <c r="D209">
        <v>7</v>
      </c>
      <c r="E209">
        <v>80.96984622580645</v>
      </c>
      <c r="G209">
        <v>7</v>
      </c>
      <c r="H209">
        <v>70.553694892857123</v>
      </c>
      <c r="J209">
        <v>7</v>
      </c>
      <c r="K209">
        <v>46.563537838709671</v>
      </c>
      <c r="M209">
        <v>7</v>
      </c>
      <c r="N209">
        <v>39.763003033333334</v>
      </c>
      <c r="P209">
        <v>7</v>
      </c>
      <c r="Q209">
        <v>40.574593709677423</v>
      </c>
      <c r="S209">
        <v>7</v>
      </c>
      <c r="T209">
        <v>40.46821116666667</v>
      </c>
      <c r="V209">
        <v>7</v>
      </c>
      <c r="W209">
        <v>43.222340193548398</v>
      </c>
      <c r="Y209">
        <v>7</v>
      </c>
      <c r="Z209">
        <v>41.479632387096771</v>
      </c>
      <c r="AB209">
        <v>7</v>
      </c>
      <c r="AC209">
        <v>41.23792576666667</v>
      </c>
      <c r="AE209">
        <v>7</v>
      </c>
      <c r="AF209">
        <v>41.257724870967749</v>
      </c>
      <c r="AH209">
        <v>7</v>
      </c>
      <c r="AI209">
        <v>41.150505933333328</v>
      </c>
      <c r="AK209">
        <v>7</v>
      </c>
      <c r="AL209">
        <v>52.665424612903216</v>
      </c>
    </row>
    <row r="210" spans="1:38">
      <c r="A210">
        <v>8</v>
      </c>
      <c r="B210">
        <v>48.282931758904105</v>
      </c>
      <c r="D210">
        <v>8</v>
      </c>
      <c r="E210">
        <v>78.872843806451613</v>
      </c>
      <c r="G210">
        <v>8</v>
      </c>
      <c r="H210">
        <v>67.749224464285717</v>
      </c>
      <c r="J210">
        <v>8</v>
      </c>
      <c r="K210">
        <v>45.936690709677414</v>
      </c>
      <c r="M210">
        <v>8</v>
      </c>
      <c r="N210">
        <v>40.179033866666671</v>
      </c>
      <c r="P210">
        <v>8</v>
      </c>
      <c r="Q210">
        <v>40.142634000000001</v>
      </c>
      <c r="S210">
        <v>8</v>
      </c>
      <c r="T210">
        <v>41.04384936666667</v>
      </c>
      <c r="V210">
        <v>8</v>
      </c>
      <c r="W210">
        <v>44.573563419354826</v>
      </c>
      <c r="Y210">
        <v>8</v>
      </c>
      <c r="Z210">
        <v>43.360520451612913</v>
      </c>
      <c r="AB210">
        <v>8</v>
      </c>
      <c r="AC210">
        <v>42.629778999999992</v>
      </c>
      <c r="AE210">
        <v>8</v>
      </c>
      <c r="AF210">
        <v>42.573566774193544</v>
      </c>
      <c r="AH210">
        <v>8</v>
      </c>
      <c r="AI210">
        <v>40.509010966666672</v>
      </c>
      <c r="AK210">
        <v>8</v>
      </c>
      <c r="AL210">
        <v>52.780232806451615</v>
      </c>
    </row>
    <row r="211" spans="1:38">
      <c r="A211">
        <v>9</v>
      </c>
      <c r="B211">
        <v>48.951299282191776</v>
      </c>
      <c r="D211">
        <v>9</v>
      </c>
      <c r="E211">
        <v>77.0604169032258</v>
      </c>
      <c r="G211">
        <v>9</v>
      </c>
      <c r="H211">
        <v>66.872657500000017</v>
      </c>
      <c r="J211">
        <v>9</v>
      </c>
      <c r="K211">
        <v>46.267302483870964</v>
      </c>
      <c r="M211">
        <v>9</v>
      </c>
      <c r="N211">
        <v>40.777431233333338</v>
      </c>
      <c r="P211">
        <v>9</v>
      </c>
      <c r="Q211">
        <v>41.822226709677402</v>
      </c>
      <c r="S211">
        <v>9</v>
      </c>
      <c r="T211">
        <v>41.576393433333337</v>
      </c>
      <c r="V211">
        <v>9</v>
      </c>
      <c r="W211">
        <v>46.812218580645151</v>
      </c>
      <c r="Y211">
        <v>9</v>
      </c>
      <c r="Z211">
        <v>46.346762516129033</v>
      </c>
      <c r="AB211">
        <v>9</v>
      </c>
      <c r="AC211">
        <v>44.561333933333344</v>
      </c>
      <c r="AE211">
        <v>9</v>
      </c>
      <c r="AF211">
        <v>43.168148032258067</v>
      </c>
      <c r="AH211">
        <v>9</v>
      </c>
      <c r="AI211">
        <v>40.635280466666671</v>
      </c>
      <c r="AK211">
        <v>9</v>
      </c>
      <c r="AL211">
        <v>52.338300774193556</v>
      </c>
    </row>
    <row r="212" spans="1:38">
      <c r="A212">
        <v>10</v>
      </c>
      <c r="B212">
        <v>49.664886873972598</v>
      </c>
      <c r="D212">
        <v>10</v>
      </c>
      <c r="E212">
        <v>75.816135709677411</v>
      </c>
      <c r="G212">
        <v>10</v>
      </c>
      <c r="H212">
        <v>66.595290607142857</v>
      </c>
      <c r="J212">
        <v>10</v>
      </c>
      <c r="K212">
        <v>47.003381032258069</v>
      </c>
      <c r="M212">
        <v>10</v>
      </c>
      <c r="N212">
        <v>41.59713090000001</v>
      </c>
      <c r="P212">
        <v>10</v>
      </c>
      <c r="Q212">
        <v>42.473920064516136</v>
      </c>
      <c r="S212">
        <v>10</v>
      </c>
      <c r="T212">
        <v>42.856203866666661</v>
      </c>
      <c r="V212">
        <v>10</v>
      </c>
      <c r="W212">
        <v>48.574323129032244</v>
      </c>
      <c r="Y212">
        <v>10</v>
      </c>
      <c r="Z212">
        <v>49.681481161290336</v>
      </c>
      <c r="AB212">
        <v>10</v>
      </c>
      <c r="AC212">
        <v>45.818342733333338</v>
      </c>
      <c r="AE212">
        <v>10</v>
      </c>
      <c r="AF212">
        <v>43.621566064516138</v>
      </c>
      <c r="AH212">
        <v>10</v>
      </c>
      <c r="AI212">
        <v>40.314207600000003</v>
      </c>
      <c r="AK212">
        <v>10</v>
      </c>
      <c r="AL212">
        <v>52.359483774193535</v>
      </c>
    </row>
    <row r="213" spans="1:38">
      <c r="A213">
        <v>11</v>
      </c>
      <c r="B213">
        <v>49.481499756164325</v>
      </c>
      <c r="D213">
        <v>11</v>
      </c>
      <c r="E213">
        <v>72.919353387096763</v>
      </c>
      <c r="G213">
        <v>11</v>
      </c>
      <c r="H213">
        <v>64.220143607142845</v>
      </c>
      <c r="J213">
        <v>11</v>
      </c>
      <c r="K213">
        <v>46.465140419354846</v>
      </c>
      <c r="M213">
        <v>11</v>
      </c>
      <c r="N213">
        <v>41.542810966666671</v>
      </c>
      <c r="P213">
        <v>11</v>
      </c>
      <c r="Q213">
        <v>41.780906935483863</v>
      </c>
      <c r="S213">
        <v>11</v>
      </c>
      <c r="T213">
        <v>43.96170983333333</v>
      </c>
      <c r="V213">
        <v>11</v>
      </c>
      <c r="W213">
        <v>50.117374387096781</v>
      </c>
      <c r="Y213">
        <v>11</v>
      </c>
      <c r="Z213">
        <v>51.679786645161293</v>
      </c>
      <c r="AB213">
        <v>11</v>
      </c>
      <c r="AC213">
        <v>46.285814099999996</v>
      </c>
      <c r="AE213">
        <v>11</v>
      </c>
      <c r="AF213">
        <v>43.195966677419356</v>
      </c>
      <c r="AH213">
        <v>11</v>
      </c>
      <c r="AI213">
        <v>40.18495883333334</v>
      </c>
      <c r="AK213">
        <v>11</v>
      </c>
      <c r="AL213">
        <v>52.013232129032275</v>
      </c>
    </row>
    <row r="214" spans="1:38">
      <c r="A214">
        <v>12</v>
      </c>
      <c r="B214">
        <v>49.030385635616462</v>
      </c>
      <c r="D214">
        <v>12</v>
      </c>
      <c r="E214">
        <v>69.530881709677431</v>
      </c>
      <c r="G214">
        <v>12</v>
      </c>
      <c r="H214">
        <v>61.805204499999988</v>
      </c>
      <c r="J214">
        <v>12</v>
      </c>
      <c r="K214">
        <v>46.202602999999989</v>
      </c>
      <c r="M214">
        <v>12</v>
      </c>
      <c r="N214">
        <v>40.702708199999996</v>
      </c>
      <c r="P214">
        <v>12</v>
      </c>
      <c r="Q214">
        <v>41.249660258064516</v>
      </c>
      <c r="S214">
        <v>12</v>
      </c>
      <c r="T214">
        <v>44.459674233333331</v>
      </c>
      <c r="V214">
        <v>12</v>
      </c>
      <c r="W214">
        <v>51.710165935483886</v>
      </c>
      <c r="Y214">
        <v>12</v>
      </c>
      <c r="Z214">
        <v>53.085998322580629</v>
      </c>
      <c r="AB214">
        <v>12</v>
      </c>
      <c r="AC214">
        <v>46.604315400000004</v>
      </c>
      <c r="AE214">
        <v>12</v>
      </c>
      <c r="AF214">
        <v>42.561122580645169</v>
      </c>
      <c r="AH214">
        <v>12</v>
      </c>
      <c r="AI214">
        <v>39.947364100000009</v>
      </c>
      <c r="AK214">
        <v>12</v>
      </c>
      <c r="AL214">
        <v>50.95386409677419</v>
      </c>
    </row>
    <row r="215" spans="1:38">
      <c r="A215">
        <v>13</v>
      </c>
      <c r="B215">
        <v>48.829627380821918</v>
      </c>
      <c r="D215">
        <v>13</v>
      </c>
      <c r="E215">
        <v>67.860323645161287</v>
      </c>
      <c r="G215">
        <v>13</v>
      </c>
      <c r="H215">
        <v>60.686951964285718</v>
      </c>
      <c r="J215">
        <v>13</v>
      </c>
      <c r="K215">
        <v>45.709003516129023</v>
      </c>
      <c r="M215">
        <v>13</v>
      </c>
      <c r="N215">
        <v>40.400427833333339</v>
      </c>
      <c r="P215">
        <v>13</v>
      </c>
      <c r="Q215">
        <v>40.936249483870959</v>
      </c>
      <c r="S215">
        <v>13</v>
      </c>
      <c r="T215">
        <v>44.587857100000001</v>
      </c>
      <c r="V215">
        <v>13</v>
      </c>
      <c r="W215">
        <v>52.665757129032265</v>
      </c>
      <c r="Y215">
        <v>13</v>
      </c>
      <c r="Z215">
        <v>54.493837483870962</v>
      </c>
      <c r="AB215">
        <v>13</v>
      </c>
      <c r="AC215">
        <v>47.060284333333328</v>
      </c>
      <c r="AE215">
        <v>13</v>
      </c>
      <c r="AF215">
        <v>42.061436870967739</v>
      </c>
      <c r="AH215">
        <v>13</v>
      </c>
      <c r="AI215">
        <v>39.724015100000003</v>
      </c>
      <c r="AK215">
        <v>13</v>
      </c>
      <c r="AL215">
        <v>50.157321161290334</v>
      </c>
    </row>
    <row r="216" spans="1:38">
      <c r="A216">
        <v>14</v>
      </c>
      <c r="B216">
        <v>48.218281271232833</v>
      </c>
      <c r="D216">
        <v>14</v>
      </c>
      <c r="E216">
        <v>66.341728903225814</v>
      </c>
      <c r="G216">
        <v>14</v>
      </c>
      <c r="H216">
        <v>58.630987214285732</v>
      </c>
      <c r="J216">
        <v>14</v>
      </c>
      <c r="K216">
        <v>44.929155419354849</v>
      </c>
      <c r="M216">
        <v>14</v>
      </c>
      <c r="N216">
        <v>40.333281633333328</v>
      </c>
      <c r="P216">
        <v>14</v>
      </c>
      <c r="Q216">
        <v>40.291990870967744</v>
      </c>
      <c r="S216">
        <v>14</v>
      </c>
      <c r="T216">
        <v>44.141403700000005</v>
      </c>
      <c r="V216">
        <v>14</v>
      </c>
      <c r="W216">
        <v>53.003731258064512</v>
      </c>
      <c r="Y216">
        <v>14</v>
      </c>
      <c r="Z216">
        <v>54.853031806451611</v>
      </c>
      <c r="AB216">
        <v>14</v>
      </c>
      <c r="AC216">
        <v>46.834499133333345</v>
      </c>
      <c r="AE216">
        <v>14</v>
      </c>
      <c r="AF216">
        <v>41.178184548387101</v>
      </c>
      <c r="AH216">
        <v>14</v>
      </c>
      <c r="AI216">
        <v>39.109080466666668</v>
      </c>
      <c r="AK216">
        <v>14</v>
      </c>
      <c r="AL216">
        <v>49.255631193548389</v>
      </c>
    </row>
    <row r="217" spans="1:38">
      <c r="A217">
        <v>15</v>
      </c>
      <c r="B217">
        <v>48.296018095890439</v>
      </c>
      <c r="D217">
        <v>15</v>
      </c>
      <c r="E217">
        <v>68.111031645161304</v>
      </c>
      <c r="G217">
        <v>15</v>
      </c>
      <c r="H217">
        <v>58.465459928571434</v>
      </c>
      <c r="J217">
        <v>15</v>
      </c>
      <c r="K217">
        <v>44.6090649032258</v>
      </c>
      <c r="M217">
        <v>15</v>
      </c>
      <c r="N217">
        <v>39.764645766666668</v>
      </c>
      <c r="P217">
        <v>15</v>
      </c>
      <c r="Q217">
        <v>39.61103335483871</v>
      </c>
      <c r="S217">
        <v>15</v>
      </c>
      <c r="T217">
        <v>44.30501206666667</v>
      </c>
      <c r="V217">
        <v>15</v>
      </c>
      <c r="W217">
        <v>53.067686354838706</v>
      </c>
      <c r="Y217">
        <v>15</v>
      </c>
      <c r="Z217">
        <v>55.029160032258062</v>
      </c>
      <c r="AB217">
        <v>15</v>
      </c>
      <c r="AC217">
        <v>47.074778233333326</v>
      </c>
      <c r="AE217">
        <v>15</v>
      </c>
      <c r="AF217">
        <v>41.040653709677414</v>
      </c>
      <c r="AH217">
        <v>15</v>
      </c>
      <c r="AI217">
        <v>38.686270900000004</v>
      </c>
      <c r="AK217">
        <v>15</v>
      </c>
      <c r="AL217">
        <v>50.018225419354835</v>
      </c>
    </row>
    <row r="218" spans="1:38">
      <c r="A218">
        <v>16</v>
      </c>
      <c r="B218">
        <v>49.684451586301343</v>
      </c>
      <c r="D218">
        <v>16</v>
      </c>
      <c r="E218">
        <v>73.201394967741948</v>
      </c>
      <c r="G218">
        <v>16</v>
      </c>
      <c r="H218">
        <v>60.438372499999993</v>
      </c>
      <c r="J218">
        <v>16</v>
      </c>
      <c r="K218">
        <v>45.159754258064524</v>
      </c>
      <c r="M218">
        <v>16</v>
      </c>
      <c r="N218">
        <v>40.506462666666678</v>
      </c>
      <c r="P218">
        <v>16</v>
      </c>
      <c r="Q218">
        <v>39.729520516129035</v>
      </c>
      <c r="S218">
        <v>16</v>
      </c>
      <c r="T218">
        <v>44.606455433333345</v>
      </c>
      <c r="V218">
        <v>16</v>
      </c>
      <c r="W218">
        <v>54.439315451612899</v>
      </c>
      <c r="Y218">
        <v>16</v>
      </c>
      <c r="Z218">
        <v>56.155910387096796</v>
      </c>
      <c r="AB218">
        <v>16</v>
      </c>
      <c r="AC218">
        <v>47.725143166666655</v>
      </c>
      <c r="AE218">
        <v>16</v>
      </c>
      <c r="AF218">
        <v>41.634022967741927</v>
      </c>
      <c r="AH218">
        <v>16</v>
      </c>
      <c r="AI218">
        <v>40.240352833333333</v>
      </c>
      <c r="AK218">
        <v>16</v>
      </c>
      <c r="AL218">
        <v>52.589693580645168</v>
      </c>
    </row>
    <row r="219" spans="1:38">
      <c r="A219">
        <v>17</v>
      </c>
      <c r="B219">
        <v>51.339314246575363</v>
      </c>
      <c r="D219">
        <v>17</v>
      </c>
      <c r="E219">
        <v>81.149298483870979</v>
      </c>
      <c r="G219">
        <v>17</v>
      </c>
      <c r="H219">
        <v>61.037217178571446</v>
      </c>
      <c r="J219">
        <v>17</v>
      </c>
      <c r="K219">
        <v>44.482583483870975</v>
      </c>
      <c r="M219">
        <v>17</v>
      </c>
      <c r="N219">
        <v>40.693441233333331</v>
      </c>
      <c r="P219">
        <v>17</v>
      </c>
      <c r="Q219">
        <v>40.031663741935482</v>
      </c>
      <c r="S219">
        <v>17</v>
      </c>
      <c r="T219">
        <v>44.566251600000001</v>
      </c>
      <c r="V219">
        <v>17</v>
      </c>
      <c r="W219">
        <v>54.366906387096769</v>
      </c>
      <c r="Y219">
        <v>17</v>
      </c>
      <c r="Z219">
        <v>55.132727870967749</v>
      </c>
      <c r="AB219">
        <v>17</v>
      </c>
      <c r="AC219">
        <v>47.339395933333343</v>
      </c>
      <c r="AE219">
        <v>17</v>
      </c>
      <c r="AF219">
        <v>43.060181580645171</v>
      </c>
      <c r="AH219">
        <v>17</v>
      </c>
      <c r="AI219">
        <v>44.759528299999992</v>
      </c>
      <c r="AK219">
        <v>17</v>
      </c>
      <c r="AL219">
        <v>59.487899967741932</v>
      </c>
    </row>
    <row r="220" spans="1:38">
      <c r="A220">
        <v>18</v>
      </c>
      <c r="B220">
        <v>51.931339309589035</v>
      </c>
      <c r="D220">
        <v>18</v>
      </c>
      <c r="E220">
        <v>83.197921225806468</v>
      </c>
      <c r="G220">
        <v>18</v>
      </c>
      <c r="H220">
        <v>65.987916678571438</v>
      </c>
      <c r="J220">
        <v>18</v>
      </c>
      <c r="K220">
        <v>46.925404096774194</v>
      </c>
      <c r="M220">
        <v>18</v>
      </c>
      <c r="N220">
        <v>41.629697533333321</v>
      </c>
      <c r="P220">
        <v>18</v>
      </c>
      <c r="Q220">
        <v>39.404082032258074</v>
      </c>
      <c r="S220">
        <v>18</v>
      </c>
      <c r="T220">
        <v>43.941616233333328</v>
      </c>
      <c r="V220">
        <v>18</v>
      </c>
      <c r="W220">
        <v>52.470761258064528</v>
      </c>
      <c r="Y220">
        <v>18</v>
      </c>
      <c r="Z220">
        <v>53.265448354838718</v>
      </c>
      <c r="AB220">
        <v>18</v>
      </c>
      <c r="AC220">
        <v>46.684087866666665</v>
      </c>
      <c r="AE220">
        <v>18</v>
      </c>
      <c r="AF220">
        <v>45.480048806451606</v>
      </c>
      <c r="AH220">
        <v>18</v>
      </c>
      <c r="AI220">
        <v>44.515280966666658</v>
      </c>
      <c r="AK220">
        <v>18</v>
      </c>
      <c r="AL220">
        <v>60.035582709677414</v>
      </c>
    </row>
    <row r="221" spans="1:38">
      <c r="A221">
        <v>19</v>
      </c>
      <c r="B221">
        <v>51.244456652054801</v>
      </c>
      <c r="D221">
        <v>19</v>
      </c>
      <c r="E221">
        <v>80.987692709677418</v>
      </c>
      <c r="G221">
        <v>19</v>
      </c>
      <c r="H221">
        <v>65.56458007142858</v>
      </c>
      <c r="J221">
        <v>19</v>
      </c>
      <c r="K221">
        <v>48.443429193548376</v>
      </c>
      <c r="M221">
        <v>19</v>
      </c>
      <c r="N221">
        <v>43.307059466666651</v>
      </c>
      <c r="P221">
        <v>19</v>
      </c>
      <c r="Q221">
        <v>39.948291677419348</v>
      </c>
      <c r="S221">
        <v>19</v>
      </c>
      <c r="T221">
        <v>42.050546566666668</v>
      </c>
      <c r="V221">
        <v>19</v>
      </c>
      <c r="W221">
        <v>49.732132032258079</v>
      </c>
      <c r="Y221">
        <v>19</v>
      </c>
      <c r="Z221">
        <v>51.157436419354823</v>
      </c>
      <c r="AB221">
        <v>19</v>
      </c>
      <c r="AC221">
        <v>47.424252733333333</v>
      </c>
      <c r="AE221">
        <v>19</v>
      </c>
      <c r="AF221">
        <v>46.847684580645158</v>
      </c>
      <c r="AH221">
        <v>19</v>
      </c>
      <c r="AI221">
        <v>42.189159400000001</v>
      </c>
      <c r="AK221">
        <v>19</v>
      </c>
      <c r="AL221">
        <v>57.699071806451613</v>
      </c>
    </row>
    <row r="222" spans="1:38">
      <c r="A222">
        <v>20</v>
      </c>
      <c r="B222">
        <v>50.338929504109593</v>
      </c>
      <c r="D222">
        <v>20</v>
      </c>
      <c r="E222">
        <v>77.668386258064515</v>
      </c>
      <c r="G222">
        <v>20</v>
      </c>
      <c r="H222">
        <v>64.931862107142848</v>
      </c>
      <c r="J222">
        <v>20</v>
      </c>
      <c r="K222">
        <v>46.112745741935491</v>
      </c>
      <c r="M222">
        <v>20</v>
      </c>
      <c r="N222">
        <v>45.048680166666671</v>
      </c>
      <c r="P222">
        <v>20</v>
      </c>
      <c r="Q222">
        <v>42.493369806451625</v>
      </c>
      <c r="S222">
        <v>20</v>
      </c>
      <c r="T222">
        <v>42.374804466666674</v>
      </c>
      <c r="V222">
        <v>20</v>
      </c>
      <c r="W222">
        <v>48.991587612903238</v>
      </c>
      <c r="Y222">
        <v>20</v>
      </c>
      <c r="Z222">
        <v>50.914753096774184</v>
      </c>
      <c r="AB222">
        <v>20</v>
      </c>
      <c r="AC222">
        <v>46.893515866666661</v>
      </c>
      <c r="AE222">
        <v>20</v>
      </c>
      <c r="AF222">
        <v>44.468170161290317</v>
      </c>
      <c r="AH222">
        <v>20</v>
      </c>
      <c r="AI222">
        <v>40.201638033333346</v>
      </c>
      <c r="AK222">
        <v>20</v>
      </c>
      <c r="AL222">
        <v>54.51414777419356</v>
      </c>
    </row>
    <row r="223" spans="1:38">
      <c r="A223">
        <v>21</v>
      </c>
      <c r="B223">
        <v>48.321966331506843</v>
      </c>
      <c r="D223">
        <v>21</v>
      </c>
      <c r="E223">
        <v>73.715887354838713</v>
      </c>
      <c r="G223">
        <v>21</v>
      </c>
      <c r="H223">
        <v>64.14852882142857</v>
      </c>
      <c r="J223">
        <v>21</v>
      </c>
      <c r="K223">
        <v>44.357316935483865</v>
      </c>
      <c r="M223">
        <v>21</v>
      </c>
      <c r="N223">
        <v>41.893276266666668</v>
      </c>
      <c r="P223">
        <v>21</v>
      </c>
      <c r="Q223">
        <v>41.926207741935485</v>
      </c>
      <c r="S223">
        <v>21</v>
      </c>
      <c r="T223">
        <v>42.868179800000007</v>
      </c>
      <c r="V223">
        <v>21</v>
      </c>
      <c r="W223">
        <v>48.902145612903226</v>
      </c>
      <c r="Y223">
        <v>21</v>
      </c>
      <c r="Z223">
        <v>48.094563032258058</v>
      </c>
      <c r="AB223">
        <v>21</v>
      </c>
      <c r="AC223">
        <v>43.002617300000004</v>
      </c>
      <c r="AE223">
        <v>21</v>
      </c>
      <c r="AF223">
        <v>41.746726548387116</v>
      </c>
      <c r="AH223">
        <v>21</v>
      </c>
      <c r="AI223">
        <v>38.235665433333331</v>
      </c>
      <c r="AK223">
        <v>21</v>
      </c>
      <c r="AL223">
        <v>51.623821806451616</v>
      </c>
    </row>
    <row r="224" spans="1:38">
      <c r="A224">
        <v>22</v>
      </c>
      <c r="B224">
        <v>45.798965591780849</v>
      </c>
      <c r="D224">
        <v>22</v>
      </c>
      <c r="E224">
        <v>69.918271967741944</v>
      </c>
      <c r="G224">
        <v>22</v>
      </c>
      <c r="H224">
        <v>61.165775214285716</v>
      </c>
      <c r="J224">
        <v>22</v>
      </c>
      <c r="K224">
        <v>45.403887903225815</v>
      </c>
      <c r="M224">
        <v>22</v>
      </c>
      <c r="N224">
        <v>40.229235300000006</v>
      </c>
      <c r="P224">
        <v>22</v>
      </c>
      <c r="Q224">
        <v>38.70815903225806</v>
      </c>
      <c r="S224">
        <v>22</v>
      </c>
      <c r="T224">
        <v>39.243323966666665</v>
      </c>
      <c r="V224">
        <v>22</v>
      </c>
      <c r="W224">
        <v>45.183304387096776</v>
      </c>
      <c r="Y224">
        <v>22</v>
      </c>
      <c r="Z224">
        <v>43.114227709677422</v>
      </c>
      <c r="AB224">
        <v>22</v>
      </c>
      <c r="AC224">
        <v>39.691817500000006</v>
      </c>
      <c r="AE224">
        <v>22</v>
      </c>
      <c r="AF224">
        <v>37.521974064516122</v>
      </c>
      <c r="AH224">
        <v>22</v>
      </c>
      <c r="AI224">
        <v>38.404371433333338</v>
      </c>
      <c r="AK224">
        <v>22</v>
      </c>
      <c r="AL224">
        <v>51.663668129032246</v>
      </c>
    </row>
    <row r="225" spans="1:38">
      <c r="A225">
        <v>23</v>
      </c>
      <c r="B225">
        <v>44.251718493150712</v>
      </c>
      <c r="D225">
        <v>23</v>
      </c>
      <c r="E225">
        <v>68.043243870967743</v>
      </c>
      <c r="G225">
        <v>23</v>
      </c>
      <c r="H225">
        <v>55.881171749999986</v>
      </c>
      <c r="J225">
        <v>23</v>
      </c>
      <c r="K225">
        <v>44.369258766666668</v>
      </c>
      <c r="M225">
        <v>23</v>
      </c>
      <c r="N225">
        <v>39.981912033333337</v>
      </c>
      <c r="P225">
        <v>23</v>
      </c>
      <c r="Q225">
        <v>38.508510483870957</v>
      </c>
      <c r="S225">
        <v>23</v>
      </c>
      <c r="T225">
        <v>39.206399099999999</v>
      </c>
      <c r="V225">
        <v>23</v>
      </c>
      <c r="W225">
        <v>42.404258806451608</v>
      </c>
      <c r="Y225">
        <v>23</v>
      </c>
      <c r="Z225">
        <v>39.124219580645168</v>
      </c>
      <c r="AB225">
        <v>23</v>
      </c>
      <c r="AC225">
        <v>39.283204999999995</v>
      </c>
      <c r="AE225">
        <v>23</v>
      </c>
      <c r="AF225">
        <v>37.057513161290316</v>
      </c>
      <c r="AH225">
        <v>23</v>
      </c>
      <c r="AI225">
        <v>38.392488032258065</v>
      </c>
      <c r="AK225">
        <v>23</v>
      </c>
      <c r="AL225">
        <v>49.436901354838717</v>
      </c>
    </row>
    <row r="226" spans="1:38">
      <c r="A226" t="s">
        <v>328</v>
      </c>
      <c r="B226">
        <v>46.896727700342467</v>
      </c>
      <c r="D226" t="s">
        <v>328</v>
      </c>
      <c r="E226">
        <v>70.915443209677434</v>
      </c>
      <c r="G226" t="s">
        <v>328</v>
      </c>
      <c r="H226">
        <v>60.399283613095243</v>
      </c>
      <c r="J226" t="s">
        <v>328</v>
      </c>
      <c r="K226">
        <v>44.994105424417548</v>
      </c>
      <c r="M226" t="s">
        <v>328</v>
      </c>
      <c r="N226">
        <v>40.11380768888889</v>
      </c>
      <c r="P226" t="s">
        <v>328</v>
      </c>
      <c r="Q226">
        <v>39.379858235215053</v>
      </c>
      <c r="S226" t="s">
        <v>328</v>
      </c>
      <c r="T226">
        <v>41.14605893472222</v>
      </c>
      <c r="V226" t="s">
        <v>328</v>
      </c>
      <c r="W226">
        <v>46.716700418010753</v>
      </c>
      <c r="Y226" t="s">
        <v>328</v>
      </c>
      <c r="Z226">
        <v>46.176430443548384</v>
      </c>
      <c r="AB226" t="s">
        <v>328</v>
      </c>
      <c r="AC226">
        <v>42.607010080555547</v>
      </c>
      <c r="AE226" t="s">
        <v>328</v>
      </c>
      <c r="AF226">
        <v>40.251506094086018</v>
      </c>
      <c r="AH226" t="s">
        <v>328</v>
      </c>
      <c r="AI226">
        <v>39.342593194399633</v>
      </c>
      <c r="AK226" t="s">
        <v>328</v>
      </c>
      <c r="AL226">
        <v>51.246298259408604</v>
      </c>
    </row>
    <row r="229" spans="1:38">
      <c r="A229" s="94">
        <v>2023</v>
      </c>
      <c r="B229" s="99" t="s">
        <v>325</v>
      </c>
      <c r="D229">
        <v>1</v>
      </c>
      <c r="E229" s="99" t="s">
        <v>316</v>
      </c>
      <c r="G229">
        <v>2</v>
      </c>
      <c r="H229" s="99" t="s">
        <v>316</v>
      </c>
      <c r="J229">
        <v>3</v>
      </c>
      <c r="K229" s="99" t="s">
        <v>316</v>
      </c>
      <c r="M229">
        <v>4</v>
      </c>
      <c r="N229" s="99" t="s">
        <v>316</v>
      </c>
      <c r="P229">
        <v>5</v>
      </c>
      <c r="Q229" s="99" t="s">
        <v>316</v>
      </c>
      <c r="S229">
        <v>6</v>
      </c>
      <c r="T229" s="99" t="s">
        <v>316</v>
      </c>
      <c r="V229">
        <v>7</v>
      </c>
      <c r="W229" s="99" t="s">
        <v>316</v>
      </c>
      <c r="Y229">
        <v>8</v>
      </c>
      <c r="Z229" s="99" t="s">
        <v>316</v>
      </c>
      <c r="AB229">
        <v>9</v>
      </c>
      <c r="AC229" s="99" t="s">
        <v>316</v>
      </c>
      <c r="AE229">
        <v>10</v>
      </c>
      <c r="AF229" s="99" t="s">
        <v>316</v>
      </c>
      <c r="AH229">
        <v>11</v>
      </c>
      <c r="AI229" s="99" t="s">
        <v>316</v>
      </c>
      <c r="AK229">
        <v>12</v>
      </c>
      <c r="AL229" s="99" t="s">
        <v>316</v>
      </c>
    </row>
    <row r="230" spans="1:38">
      <c r="A230" s="94" t="s">
        <v>308</v>
      </c>
      <c r="B230" s="58">
        <v>8760</v>
      </c>
      <c r="D230" s="94" t="s">
        <v>397</v>
      </c>
      <c r="E230" s="58">
        <v>744</v>
      </c>
      <c r="G230" s="94" t="s">
        <v>398</v>
      </c>
      <c r="H230" s="58">
        <v>672</v>
      </c>
      <c r="J230" s="94" t="s">
        <v>399</v>
      </c>
      <c r="K230" s="58">
        <v>743</v>
      </c>
      <c r="M230" s="94" t="s">
        <v>400</v>
      </c>
      <c r="N230" s="58">
        <v>720</v>
      </c>
      <c r="P230" s="94" t="s">
        <v>401</v>
      </c>
      <c r="Q230" s="58">
        <v>744</v>
      </c>
      <c r="S230" s="94" t="s">
        <v>402</v>
      </c>
      <c r="T230" s="58">
        <v>720</v>
      </c>
      <c r="V230" s="94" t="s">
        <v>403</v>
      </c>
      <c r="W230" s="58">
        <v>744</v>
      </c>
      <c r="Y230" s="94" t="s">
        <v>404</v>
      </c>
      <c r="Z230" s="58">
        <v>744</v>
      </c>
      <c r="AB230" s="94" t="s">
        <v>405</v>
      </c>
      <c r="AC230" s="58">
        <v>720</v>
      </c>
      <c r="AE230" s="94" t="s">
        <v>406</v>
      </c>
      <c r="AF230" s="58">
        <v>744</v>
      </c>
      <c r="AH230" s="94" t="s">
        <v>407</v>
      </c>
      <c r="AI230" s="58">
        <v>721</v>
      </c>
      <c r="AK230" s="94" t="s">
        <v>408</v>
      </c>
      <c r="AL230" s="58">
        <v>744</v>
      </c>
    </row>
    <row r="231" spans="1:38">
      <c r="A231" s="94" t="s">
        <v>326</v>
      </c>
      <c r="B231" s="58">
        <v>0</v>
      </c>
      <c r="D231" s="94" t="s">
        <v>326</v>
      </c>
      <c r="E231" s="58">
        <v>0</v>
      </c>
      <c r="G231" s="94" t="s">
        <v>326</v>
      </c>
      <c r="H231" s="58">
        <v>744</v>
      </c>
      <c r="J231" s="94" t="s">
        <v>326</v>
      </c>
      <c r="K231" s="58">
        <v>1416</v>
      </c>
      <c r="M231" s="94" t="s">
        <v>326</v>
      </c>
      <c r="N231" s="58">
        <v>2159</v>
      </c>
      <c r="P231" s="94" t="s">
        <v>326</v>
      </c>
      <c r="Q231" s="58">
        <v>2879</v>
      </c>
      <c r="S231" s="94" t="s">
        <v>326</v>
      </c>
      <c r="T231" s="58">
        <v>3623</v>
      </c>
      <c r="V231" s="94" t="s">
        <v>326</v>
      </c>
      <c r="W231" s="58">
        <v>4343</v>
      </c>
      <c r="Y231" s="94" t="s">
        <v>326</v>
      </c>
      <c r="Z231" s="58">
        <v>5087</v>
      </c>
      <c r="AB231" s="94" t="s">
        <v>326</v>
      </c>
      <c r="AC231" s="58">
        <v>5831</v>
      </c>
      <c r="AE231" s="94" t="s">
        <v>326</v>
      </c>
      <c r="AF231" s="58">
        <v>6551</v>
      </c>
      <c r="AH231" s="94" t="s">
        <v>326</v>
      </c>
      <c r="AI231" s="58">
        <v>7295</v>
      </c>
      <c r="AK231" s="94" t="s">
        <v>326</v>
      </c>
      <c r="AL231" s="58">
        <v>8016</v>
      </c>
    </row>
    <row r="232" spans="1:38">
      <c r="A232" s="94" t="s">
        <v>327</v>
      </c>
      <c r="B232" s="58">
        <v>8760</v>
      </c>
      <c r="D232" s="94" t="s">
        <v>327</v>
      </c>
      <c r="E232" s="58">
        <v>744</v>
      </c>
      <c r="G232" s="94" t="s">
        <v>327</v>
      </c>
      <c r="H232" s="58">
        <v>1416</v>
      </c>
      <c r="J232" s="94" t="s">
        <v>327</v>
      </c>
      <c r="K232" s="58">
        <v>2159</v>
      </c>
      <c r="M232" s="94" t="s">
        <v>327</v>
      </c>
      <c r="N232" s="58">
        <v>2879</v>
      </c>
      <c r="P232" s="94" t="s">
        <v>327</v>
      </c>
      <c r="Q232" s="58">
        <v>3623</v>
      </c>
      <c r="S232" s="94" t="s">
        <v>327</v>
      </c>
      <c r="T232" s="58">
        <v>4343</v>
      </c>
      <c r="V232" s="94" t="s">
        <v>327</v>
      </c>
      <c r="W232" s="58">
        <v>5087</v>
      </c>
      <c r="Y232" s="94" t="s">
        <v>327</v>
      </c>
      <c r="Z232" s="58">
        <v>5831</v>
      </c>
      <c r="AB232" s="94" t="s">
        <v>327</v>
      </c>
      <c r="AC232" s="58">
        <v>6551</v>
      </c>
      <c r="AE232" s="94" t="s">
        <v>327</v>
      </c>
      <c r="AF232" s="58">
        <v>7295</v>
      </c>
      <c r="AH232" s="94" t="s">
        <v>327</v>
      </c>
      <c r="AI232" s="58">
        <v>8016</v>
      </c>
      <c r="AK232" s="94" t="s">
        <v>327</v>
      </c>
      <c r="AL232" s="58">
        <v>8760</v>
      </c>
    </row>
    <row r="233" spans="1:38">
      <c r="A233" t="s">
        <v>293</v>
      </c>
      <c r="B233" s="16" t="s">
        <v>294</v>
      </c>
      <c r="D233" t="s">
        <v>293</v>
      </c>
      <c r="E233" s="16" t="s">
        <v>294</v>
      </c>
      <c r="G233" t="s">
        <v>293</v>
      </c>
      <c r="H233" s="16" t="s">
        <v>294</v>
      </c>
      <c r="J233" t="s">
        <v>293</v>
      </c>
      <c r="K233" s="16" t="s">
        <v>294</v>
      </c>
      <c r="M233" t="s">
        <v>293</v>
      </c>
      <c r="N233" s="16" t="s">
        <v>294</v>
      </c>
      <c r="P233" t="s">
        <v>293</v>
      </c>
      <c r="Q233" s="16" t="s">
        <v>294</v>
      </c>
      <c r="S233" t="s">
        <v>293</v>
      </c>
      <c r="T233" s="16" t="s">
        <v>294</v>
      </c>
      <c r="V233" t="s">
        <v>293</v>
      </c>
      <c r="W233" s="16" t="s">
        <v>294</v>
      </c>
      <c r="Y233" t="s">
        <v>293</v>
      </c>
      <c r="Z233" s="16" t="s">
        <v>294</v>
      </c>
      <c r="AB233" t="s">
        <v>293</v>
      </c>
      <c r="AC233" s="16" t="s">
        <v>294</v>
      </c>
      <c r="AE233" t="s">
        <v>293</v>
      </c>
      <c r="AF233" s="16" t="s">
        <v>294</v>
      </c>
      <c r="AH233" t="s">
        <v>293</v>
      </c>
      <c r="AI233" s="16" t="s">
        <v>294</v>
      </c>
      <c r="AK233" t="s">
        <v>293</v>
      </c>
      <c r="AL233" s="16" t="s">
        <v>294</v>
      </c>
    </row>
    <row r="234" spans="1:38">
      <c r="A234">
        <v>0</v>
      </c>
      <c r="B234">
        <v>44.341238389041116</v>
      </c>
      <c r="D234">
        <v>0</v>
      </c>
      <c r="E234">
        <v>58.027868645161305</v>
      </c>
      <c r="G234">
        <v>0</v>
      </c>
      <c r="H234">
        <v>53.071126821428585</v>
      </c>
      <c r="J234">
        <v>0</v>
      </c>
      <c r="K234">
        <v>44.204897064516132</v>
      </c>
      <c r="M234">
        <v>0</v>
      </c>
      <c r="N234">
        <v>40.92580233333333</v>
      </c>
      <c r="P234">
        <v>0</v>
      </c>
      <c r="Q234">
        <v>41.534018645161296</v>
      </c>
      <c r="S234">
        <v>0</v>
      </c>
      <c r="T234">
        <v>42.428859366666657</v>
      </c>
      <c r="V234">
        <v>0</v>
      </c>
      <c r="W234">
        <v>44.1791859032258</v>
      </c>
      <c r="Y234">
        <v>0</v>
      </c>
      <c r="Z234">
        <v>41.15165383870967</v>
      </c>
      <c r="AB234">
        <v>0</v>
      </c>
      <c r="AC234">
        <v>40.242564800000004</v>
      </c>
      <c r="AE234">
        <v>0</v>
      </c>
      <c r="AF234">
        <v>38.46813393548387</v>
      </c>
      <c r="AH234">
        <v>0</v>
      </c>
      <c r="AI234">
        <v>37.651160133333342</v>
      </c>
      <c r="AK234">
        <v>0</v>
      </c>
      <c r="AL234">
        <v>50.534527838709685</v>
      </c>
    </row>
    <row r="235" spans="1:38">
      <c r="A235">
        <v>1</v>
      </c>
      <c r="B235">
        <v>42.802504205479444</v>
      </c>
      <c r="D235">
        <v>1</v>
      </c>
      <c r="E235">
        <v>56.846990806451615</v>
      </c>
      <c r="G235">
        <v>1</v>
      </c>
      <c r="H235">
        <v>51.630886785714267</v>
      </c>
      <c r="J235">
        <v>1</v>
      </c>
      <c r="K235">
        <v>43.704425870967746</v>
      </c>
      <c r="M235">
        <v>1</v>
      </c>
      <c r="N235">
        <v>39.199986933333335</v>
      </c>
      <c r="P235">
        <v>1</v>
      </c>
      <c r="Q235">
        <v>38.795468741935487</v>
      </c>
      <c r="S235">
        <v>1</v>
      </c>
      <c r="T235">
        <v>40.723522633333332</v>
      </c>
      <c r="V235">
        <v>1</v>
      </c>
      <c r="W235">
        <v>42.255603838709675</v>
      </c>
      <c r="Y235">
        <v>1</v>
      </c>
      <c r="Z235">
        <v>40.00863770967743</v>
      </c>
      <c r="AB235">
        <v>1</v>
      </c>
      <c r="AC235">
        <v>38.462237200000011</v>
      </c>
      <c r="AE235">
        <v>1</v>
      </c>
      <c r="AF235">
        <v>36.826202483870965</v>
      </c>
      <c r="AH235">
        <v>1</v>
      </c>
      <c r="AI235">
        <v>36.354099600000005</v>
      </c>
      <c r="AK235">
        <v>1</v>
      </c>
      <c r="AL235">
        <v>49.145051645161296</v>
      </c>
    </row>
    <row r="236" spans="1:38">
      <c r="A236">
        <v>2</v>
      </c>
      <c r="B236">
        <v>41.797625216438362</v>
      </c>
      <c r="D236">
        <v>2</v>
      </c>
      <c r="E236">
        <v>56.272046774193548</v>
      </c>
      <c r="G236">
        <v>2</v>
      </c>
      <c r="H236">
        <v>51.909257607142862</v>
      </c>
      <c r="J236">
        <v>2</v>
      </c>
      <c r="K236">
        <v>42.796145580645153</v>
      </c>
      <c r="M236">
        <v>2</v>
      </c>
      <c r="N236">
        <v>37.736299999999993</v>
      </c>
      <c r="P236">
        <v>2</v>
      </c>
      <c r="Q236">
        <v>37.720268548387104</v>
      </c>
      <c r="S236">
        <v>2</v>
      </c>
      <c r="T236">
        <v>39.350140966666679</v>
      </c>
      <c r="V236">
        <v>2</v>
      </c>
      <c r="W236">
        <v>41.272228612903227</v>
      </c>
      <c r="Y236">
        <v>2</v>
      </c>
      <c r="Z236">
        <v>38.923930645161292</v>
      </c>
      <c r="AB236">
        <v>2</v>
      </c>
      <c r="AC236">
        <v>37.131865866666658</v>
      </c>
      <c r="AE236">
        <v>2</v>
      </c>
      <c r="AF236">
        <v>35.92575070967743</v>
      </c>
      <c r="AH236">
        <v>2</v>
      </c>
      <c r="AI236">
        <v>34.740878799999997</v>
      </c>
      <c r="AK236">
        <v>2</v>
      </c>
      <c r="AL236">
        <v>48.18312661290323</v>
      </c>
    </row>
    <row r="237" spans="1:38">
      <c r="A237">
        <v>3</v>
      </c>
      <c r="B237">
        <v>41.283013126027399</v>
      </c>
      <c r="D237">
        <v>3</v>
      </c>
      <c r="E237">
        <v>56.829112129032254</v>
      </c>
      <c r="G237">
        <v>3</v>
      </c>
      <c r="H237">
        <v>51.732030000000009</v>
      </c>
      <c r="J237">
        <v>3</v>
      </c>
      <c r="K237">
        <v>42.693899096774203</v>
      </c>
      <c r="M237">
        <v>3</v>
      </c>
      <c r="N237">
        <v>36.771892800000003</v>
      </c>
      <c r="P237">
        <v>3</v>
      </c>
      <c r="Q237">
        <v>37.365648677419358</v>
      </c>
      <c r="S237">
        <v>3</v>
      </c>
      <c r="T237">
        <v>38.665776433333328</v>
      </c>
      <c r="V237">
        <v>3</v>
      </c>
      <c r="W237">
        <v>40.457725419354837</v>
      </c>
      <c r="Y237">
        <v>3</v>
      </c>
      <c r="Z237">
        <v>37.828402612903226</v>
      </c>
      <c r="AB237">
        <v>3</v>
      </c>
      <c r="AC237">
        <v>36.274886233333334</v>
      </c>
      <c r="AE237">
        <v>3</v>
      </c>
      <c r="AF237">
        <v>35.332569064516129</v>
      </c>
      <c r="AH237">
        <v>3</v>
      </c>
      <c r="AI237">
        <v>33.8191864</v>
      </c>
      <c r="AK237">
        <v>3</v>
      </c>
      <c r="AL237">
        <v>48.003955741935478</v>
      </c>
    </row>
    <row r="238" spans="1:38">
      <c r="A238">
        <v>4</v>
      </c>
      <c r="B238">
        <v>41.88189719999999</v>
      </c>
      <c r="D238">
        <v>4</v>
      </c>
      <c r="E238">
        <v>59.348055870967748</v>
      </c>
      <c r="G238">
        <v>4</v>
      </c>
      <c r="H238">
        <v>52.887823464285717</v>
      </c>
      <c r="J238">
        <v>4</v>
      </c>
      <c r="K238">
        <v>43.173803032258064</v>
      </c>
      <c r="M238">
        <v>4</v>
      </c>
      <c r="N238">
        <v>36.930716333333336</v>
      </c>
      <c r="P238">
        <v>4</v>
      </c>
      <c r="Q238">
        <v>37.31792577419354</v>
      </c>
      <c r="S238">
        <v>4</v>
      </c>
      <c r="T238">
        <v>38.681423466666679</v>
      </c>
      <c r="V238">
        <v>4</v>
      </c>
      <c r="W238">
        <v>40.443195322580642</v>
      </c>
      <c r="Y238">
        <v>4</v>
      </c>
      <c r="Z238">
        <v>37.457128419354838</v>
      </c>
      <c r="AB238">
        <v>4</v>
      </c>
      <c r="AC238">
        <v>36.318479433333337</v>
      </c>
      <c r="AE238">
        <v>4</v>
      </c>
      <c r="AF238">
        <v>35.514724999999999</v>
      </c>
      <c r="AH238">
        <v>4</v>
      </c>
      <c r="AI238">
        <v>35.906516966666672</v>
      </c>
      <c r="AK238">
        <v>4</v>
      </c>
      <c r="AL238">
        <v>49.032887064516132</v>
      </c>
    </row>
    <row r="239" spans="1:38">
      <c r="A239">
        <v>5</v>
      </c>
      <c r="B239">
        <v>44.679269679452041</v>
      </c>
      <c r="D239">
        <v>5</v>
      </c>
      <c r="E239">
        <v>66.814929741935472</v>
      </c>
      <c r="G239">
        <v>5</v>
      </c>
      <c r="H239">
        <v>57.658178142857146</v>
      </c>
      <c r="J239">
        <v>5</v>
      </c>
      <c r="K239">
        <v>44.995512709677421</v>
      </c>
      <c r="M239">
        <v>5</v>
      </c>
      <c r="N239">
        <v>38.89484186666666</v>
      </c>
      <c r="P239">
        <v>5</v>
      </c>
      <c r="Q239">
        <v>39.120570000000001</v>
      </c>
      <c r="S239">
        <v>5</v>
      </c>
      <c r="T239">
        <v>39.623015333333335</v>
      </c>
      <c r="V239">
        <v>5</v>
      </c>
      <c r="W239">
        <v>40.955680225806447</v>
      </c>
      <c r="Y239">
        <v>5</v>
      </c>
      <c r="Z239">
        <v>38.670552193548389</v>
      </c>
      <c r="AB239">
        <v>5</v>
      </c>
      <c r="AC239">
        <v>39.721871100000008</v>
      </c>
      <c r="AE239">
        <v>5</v>
      </c>
      <c r="AF239">
        <v>39.258311935483867</v>
      </c>
      <c r="AH239">
        <v>5</v>
      </c>
      <c r="AI239">
        <v>39.322156833333338</v>
      </c>
      <c r="AK239">
        <v>5</v>
      </c>
      <c r="AL239">
        <v>51.689213870967734</v>
      </c>
    </row>
    <row r="240" spans="1:38">
      <c r="A240">
        <v>6</v>
      </c>
      <c r="B240">
        <v>48.515097082191772</v>
      </c>
      <c r="D240">
        <v>6</v>
      </c>
      <c r="E240">
        <v>80.38138829032259</v>
      </c>
      <c r="G240">
        <v>6</v>
      </c>
      <c r="H240">
        <v>66.770240642857161</v>
      </c>
      <c r="J240">
        <v>6</v>
      </c>
      <c r="K240">
        <v>47.741722290322578</v>
      </c>
      <c r="M240">
        <v>6</v>
      </c>
      <c r="N240">
        <v>40.22927193333333</v>
      </c>
      <c r="P240">
        <v>6</v>
      </c>
      <c r="Q240">
        <v>41.331507709677425</v>
      </c>
      <c r="S240">
        <v>6</v>
      </c>
      <c r="T240">
        <v>41.460924100000007</v>
      </c>
      <c r="V240">
        <v>6</v>
      </c>
      <c r="W240">
        <v>43.001031193548386</v>
      </c>
      <c r="Y240">
        <v>6</v>
      </c>
      <c r="Z240">
        <v>40.847268387096776</v>
      </c>
      <c r="AB240">
        <v>6</v>
      </c>
      <c r="AC240">
        <v>42.285201833333332</v>
      </c>
      <c r="AE240">
        <v>6</v>
      </c>
      <c r="AF240">
        <v>42.338539870967736</v>
      </c>
      <c r="AH240">
        <v>6</v>
      </c>
      <c r="AI240">
        <v>41.563825433333335</v>
      </c>
      <c r="AK240">
        <v>6</v>
      </c>
      <c r="AL240">
        <v>55.076832516129045</v>
      </c>
    </row>
    <row r="241" spans="1:38">
      <c r="A241">
        <v>7</v>
      </c>
      <c r="B241">
        <v>50.029429271232857</v>
      </c>
      <c r="D241">
        <v>7</v>
      </c>
      <c r="E241">
        <v>83.071369741935499</v>
      </c>
      <c r="G241">
        <v>7</v>
      </c>
      <c r="H241">
        <v>71.308639107142852</v>
      </c>
      <c r="J241">
        <v>7</v>
      </c>
      <c r="K241">
        <v>48.428977935483879</v>
      </c>
      <c r="M241">
        <v>7</v>
      </c>
      <c r="N241">
        <v>40.413173533333328</v>
      </c>
      <c r="P241">
        <v>7</v>
      </c>
      <c r="Q241">
        <v>42.274259129032259</v>
      </c>
      <c r="S241">
        <v>7</v>
      </c>
      <c r="T241">
        <v>42.741324733333343</v>
      </c>
      <c r="V241">
        <v>7</v>
      </c>
      <c r="W241">
        <v>44.983377225806457</v>
      </c>
      <c r="Y241">
        <v>7</v>
      </c>
      <c r="Z241">
        <v>43.53926645161291</v>
      </c>
      <c r="AB241">
        <v>7</v>
      </c>
      <c r="AC241">
        <v>43.599748633333327</v>
      </c>
      <c r="AE241">
        <v>7</v>
      </c>
      <c r="AF241">
        <v>42.763925225806446</v>
      </c>
      <c r="AH241">
        <v>7</v>
      </c>
      <c r="AI241">
        <v>42.946031066666663</v>
      </c>
      <c r="AK241">
        <v>7</v>
      </c>
      <c r="AL241">
        <v>55.361129129032257</v>
      </c>
    </row>
    <row r="242" spans="1:38">
      <c r="A242">
        <v>8</v>
      </c>
      <c r="B242">
        <v>50.225529673972638</v>
      </c>
      <c r="D242">
        <v>8</v>
      </c>
      <c r="E242">
        <v>80.186910709677406</v>
      </c>
      <c r="G242">
        <v>8</v>
      </c>
      <c r="H242">
        <v>69.33226578571427</v>
      </c>
      <c r="J242">
        <v>8</v>
      </c>
      <c r="K242">
        <v>47.803948451612911</v>
      </c>
      <c r="M242">
        <v>8</v>
      </c>
      <c r="N242">
        <v>41.026596733333335</v>
      </c>
      <c r="P242">
        <v>8</v>
      </c>
      <c r="Q242">
        <v>43.336406516129024</v>
      </c>
      <c r="S242">
        <v>8</v>
      </c>
      <c r="T242">
        <v>43.560884866666669</v>
      </c>
      <c r="V242">
        <v>8</v>
      </c>
      <c r="W242">
        <v>45.98869306451612</v>
      </c>
      <c r="Y242">
        <v>8</v>
      </c>
      <c r="Z242">
        <v>45.762558677419356</v>
      </c>
      <c r="AB242">
        <v>8</v>
      </c>
      <c r="AC242">
        <v>44.993072600000005</v>
      </c>
      <c r="AE242">
        <v>8</v>
      </c>
      <c r="AF242">
        <v>44.014104645161289</v>
      </c>
      <c r="AH242">
        <v>8</v>
      </c>
      <c r="AI242">
        <v>41.980678399999995</v>
      </c>
      <c r="AK242">
        <v>8</v>
      </c>
      <c r="AL242">
        <v>55.62279441935484</v>
      </c>
    </row>
    <row r="243" spans="1:38">
      <c r="A243">
        <v>9</v>
      </c>
      <c r="B243">
        <v>50.805435852054792</v>
      </c>
      <c r="D243">
        <v>9</v>
      </c>
      <c r="E243">
        <v>76.64305248387096</v>
      </c>
      <c r="G243">
        <v>9</v>
      </c>
      <c r="H243">
        <v>68.667013178571423</v>
      </c>
      <c r="J243">
        <v>9</v>
      </c>
      <c r="K243">
        <v>48.415839096774199</v>
      </c>
      <c r="M243">
        <v>9</v>
      </c>
      <c r="N243">
        <v>42.367523700000007</v>
      </c>
      <c r="P243">
        <v>9</v>
      </c>
      <c r="Q243">
        <v>44.237544999999997</v>
      </c>
      <c r="S243">
        <v>9</v>
      </c>
      <c r="T243">
        <v>44.031567866666641</v>
      </c>
      <c r="V243">
        <v>9</v>
      </c>
      <c r="W243">
        <v>47.784571419354855</v>
      </c>
      <c r="Y243">
        <v>9</v>
      </c>
      <c r="Z243">
        <v>49.10879970967742</v>
      </c>
      <c r="AB243">
        <v>9</v>
      </c>
      <c r="AC243">
        <v>46.640733099999991</v>
      </c>
      <c r="AE243">
        <v>9</v>
      </c>
      <c r="AF243">
        <v>45.046021709677419</v>
      </c>
      <c r="AH243">
        <v>9</v>
      </c>
      <c r="AI243">
        <v>42.261963966666649</v>
      </c>
      <c r="AK243">
        <v>9</v>
      </c>
      <c r="AL243">
        <v>55.288495032258069</v>
      </c>
    </row>
    <row r="244" spans="1:38">
      <c r="A244">
        <v>10</v>
      </c>
      <c r="B244">
        <v>51.49403725479452</v>
      </c>
      <c r="D244">
        <v>10</v>
      </c>
      <c r="E244">
        <v>75.523948709677413</v>
      </c>
      <c r="G244">
        <v>10</v>
      </c>
      <c r="H244">
        <v>68.065487607142842</v>
      </c>
      <c r="J244">
        <v>10</v>
      </c>
      <c r="K244">
        <v>49.053071387096772</v>
      </c>
      <c r="M244">
        <v>10</v>
      </c>
      <c r="N244">
        <v>43.131622633333329</v>
      </c>
      <c r="P244">
        <v>10</v>
      </c>
      <c r="Q244">
        <v>45.344589999999997</v>
      </c>
      <c r="S244">
        <v>10</v>
      </c>
      <c r="T244">
        <v>45.523173366666668</v>
      </c>
      <c r="V244">
        <v>10</v>
      </c>
      <c r="W244">
        <v>49.623125709677417</v>
      </c>
      <c r="Y244">
        <v>10</v>
      </c>
      <c r="Z244">
        <v>52.311021580645168</v>
      </c>
      <c r="AB244">
        <v>10</v>
      </c>
      <c r="AC244">
        <v>47.703067333333344</v>
      </c>
      <c r="AE244">
        <v>10</v>
      </c>
      <c r="AF244">
        <v>45.364885516129036</v>
      </c>
      <c r="AH244">
        <v>10</v>
      </c>
      <c r="AI244">
        <v>41.955720599999992</v>
      </c>
      <c r="AK244">
        <v>10</v>
      </c>
      <c r="AL244">
        <v>55.04008054838711</v>
      </c>
    </row>
    <row r="245" spans="1:38">
      <c r="A245">
        <v>11</v>
      </c>
      <c r="B245">
        <v>51.421289265753408</v>
      </c>
      <c r="D245">
        <v>11</v>
      </c>
      <c r="E245">
        <v>72.775250935483868</v>
      </c>
      <c r="G245">
        <v>11</v>
      </c>
      <c r="H245">
        <v>65.430091035714298</v>
      </c>
      <c r="J245">
        <v>11</v>
      </c>
      <c r="K245">
        <v>48.278677096774196</v>
      </c>
      <c r="M245">
        <v>11</v>
      </c>
      <c r="N245">
        <v>42.787957499999976</v>
      </c>
      <c r="P245">
        <v>11</v>
      </c>
      <c r="Q245">
        <v>44.702034064516127</v>
      </c>
      <c r="S245">
        <v>11</v>
      </c>
      <c r="T245">
        <v>46.963357800000011</v>
      </c>
      <c r="V245">
        <v>11</v>
      </c>
      <c r="W245">
        <v>51.349260903225797</v>
      </c>
      <c r="Y245">
        <v>11</v>
      </c>
      <c r="Z245">
        <v>55.025739225806461</v>
      </c>
      <c r="AB245">
        <v>11</v>
      </c>
      <c r="AC245">
        <v>48.650944133333319</v>
      </c>
      <c r="AE245">
        <v>11</v>
      </c>
      <c r="AF245">
        <v>45.33060016129032</v>
      </c>
      <c r="AH245">
        <v>11</v>
      </c>
      <c r="AI245">
        <v>41.878867233333338</v>
      </c>
      <c r="AK245">
        <v>11</v>
      </c>
      <c r="AL245">
        <v>54.418896741935484</v>
      </c>
    </row>
    <row r="246" spans="1:38">
      <c r="A246">
        <v>12</v>
      </c>
      <c r="B246">
        <v>50.974518309589016</v>
      </c>
      <c r="D246">
        <v>12</v>
      </c>
      <c r="E246">
        <v>70.204641612903217</v>
      </c>
      <c r="G246">
        <v>12</v>
      </c>
      <c r="H246">
        <v>62.33208299999999</v>
      </c>
      <c r="J246">
        <v>12</v>
      </c>
      <c r="K246">
        <v>48.005728870967744</v>
      </c>
      <c r="M246">
        <v>12</v>
      </c>
      <c r="N246">
        <v>42.007459433333338</v>
      </c>
      <c r="P246">
        <v>12</v>
      </c>
      <c r="Q246">
        <v>43.544391193548385</v>
      </c>
      <c r="S246">
        <v>12</v>
      </c>
      <c r="T246">
        <v>47.848851866666678</v>
      </c>
      <c r="V246">
        <v>12</v>
      </c>
      <c r="W246">
        <v>52.750825096774193</v>
      </c>
      <c r="Y246">
        <v>12</v>
      </c>
      <c r="Z246">
        <v>56.20589925806452</v>
      </c>
      <c r="AB246">
        <v>12</v>
      </c>
      <c r="AC246">
        <v>49.32525356666666</v>
      </c>
      <c r="AE246">
        <v>12</v>
      </c>
      <c r="AF246">
        <v>44.954917806451611</v>
      </c>
      <c r="AH246">
        <v>12</v>
      </c>
      <c r="AI246">
        <v>41.407579599999998</v>
      </c>
      <c r="AK246">
        <v>12</v>
      </c>
      <c r="AL246">
        <v>53.453806645161279</v>
      </c>
    </row>
    <row r="247" spans="1:38">
      <c r="A247">
        <v>13</v>
      </c>
      <c r="B247">
        <v>50.824193873972597</v>
      </c>
      <c r="D247">
        <v>13</v>
      </c>
      <c r="E247">
        <v>68.876005935483889</v>
      </c>
      <c r="G247">
        <v>13</v>
      </c>
      <c r="H247">
        <v>60.690612571428581</v>
      </c>
      <c r="J247">
        <v>13</v>
      </c>
      <c r="K247">
        <v>47.441074580645157</v>
      </c>
      <c r="M247">
        <v>13</v>
      </c>
      <c r="N247">
        <v>42.129335066666684</v>
      </c>
      <c r="P247">
        <v>13</v>
      </c>
      <c r="Q247">
        <v>43.497666258064513</v>
      </c>
      <c r="S247">
        <v>13</v>
      </c>
      <c r="T247">
        <v>47.976852533333336</v>
      </c>
      <c r="V247">
        <v>13</v>
      </c>
      <c r="W247">
        <v>53.964458193548381</v>
      </c>
      <c r="Y247">
        <v>13</v>
      </c>
      <c r="Z247">
        <v>57.685110096774189</v>
      </c>
      <c r="AB247">
        <v>13</v>
      </c>
      <c r="AC247">
        <v>49.724878833333328</v>
      </c>
      <c r="AE247">
        <v>13</v>
      </c>
      <c r="AF247">
        <v>44.559841774193544</v>
      </c>
      <c r="AH247">
        <v>13</v>
      </c>
      <c r="AI247">
        <v>41.016475733333323</v>
      </c>
      <c r="AK247">
        <v>13</v>
      </c>
      <c r="AL247">
        <v>52.55866080645162</v>
      </c>
    </row>
    <row r="248" spans="1:38">
      <c r="A248">
        <v>14</v>
      </c>
      <c r="B248">
        <v>50.34900218356163</v>
      </c>
      <c r="D248">
        <v>14</v>
      </c>
      <c r="E248">
        <v>66.867023709677426</v>
      </c>
      <c r="G248">
        <v>14</v>
      </c>
      <c r="H248">
        <v>59.389712535714281</v>
      </c>
      <c r="J248">
        <v>14</v>
      </c>
      <c r="K248">
        <v>46.753031225806446</v>
      </c>
      <c r="M248">
        <v>14</v>
      </c>
      <c r="N248">
        <v>41.925847733333327</v>
      </c>
      <c r="P248">
        <v>14</v>
      </c>
      <c r="Q248">
        <v>42.531628677419356</v>
      </c>
      <c r="S248">
        <v>14</v>
      </c>
      <c r="T248">
        <v>48.398886999999988</v>
      </c>
      <c r="V248">
        <v>14</v>
      </c>
      <c r="W248">
        <v>54.935047870967736</v>
      </c>
      <c r="Y248">
        <v>14</v>
      </c>
      <c r="Z248">
        <v>58.110960709677414</v>
      </c>
      <c r="AB248">
        <v>14</v>
      </c>
      <c r="AC248">
        <v>49.664515100000003</v>
      </c>
      <c r="AE248">
        <v>14</v>
      </c>
      <c r="AF248">
        <v>43.470244870967747</v>
      </c>
      <c r="AH248">
        <v>14</v>
      </c>
      <c r="AI248">
        <v>40.436449266666656</v>
      </c>
      <c r="AK248">
        <v>14</v>
      </c>
      <c r="AL248">
        <v>51.903123354838719</v>
      </c>
    </row>
    <row r="249" spans="1:38">
      <c r="A249">
        <v>15</v>
      </c>
      <c r="B249">
        <v>50.466223200000009</v>
      </c>
      <c r="D249">
        <v>15</v>
      </c>
      <c r="E249">
        <v>68.186931806451611</v>
      </c>
      <c r="G249">
        <v>15</v>
      </c>
      <c r="H249">
        <v>59.683335535714299</v>
      </c>
      <c r="J249">
        <v>15</v>
      </c>
      <c r="K249">
        <v>46.360337290322576</v>
      </c>
      <c r="M249">
        <v>15</v>
      </c>
      <c r="N249">
        <v>41.721610266666666</v>
      </c>
      <c r="P249">
        <v>15</v>
      </c>
      <c r="Q249">
        <v>41.939532645161293</v>
      </c>
      <c r="S249">
        <v>15</v>
      </c>
      <c r="T249">
        <v>48.19844186666667</v>
      </c>
      <c r="V249">
        <v>15</v>
      </c>
      <c r="W249">
        <v>55.28313222580644</v>
      </c>
      <c r="Y249">
        <v>15</v>
      </c>
      <c r="Z249">
        <v>58.562997612903224</v>
      </c>
      <c r="AB249">
        <v>15</v>
      </c>
      <c r="AC249">
        <v>49.406059366666675</v>
      </c>
      <c r="AE249">
        <v>15</v>
      </c>
      <c r="AF249">
        <v>43.189102258064516</v>
      </c>
      <c r="AH249">
        <v>15</v>
      </c>
      <c r="AI249">
        <v>40.383039099999991</v>
      </c>
      <c r="AK249">
        <v>15</v>
      </c>
      <c r="AL249">
        <v>52.85743567741936</v>
      </c>
    </row>
    <row r="250" spans="1:38">
      <c r="A250">
        <v>16</v>
      </c>
      <c r="B250">
        <v>51.612078545205463</v>
      </c>
      <c r="D250">
        <v>16</v>
      </c>
      <c r="E250">
        <v>73.833979096774186</v>
      </c>
      <c r="G250">
        <v>16</v>
      </c>
      <c r="H250">
        <v>61.453681107142856</v>
      </c>
      <c r="J250">
        <v>16</v>
      </c>
      <c r="K250">
        <v>46.059195451612901</v>
      </c>
      <c r="M250">
        <v>16</v>
      </c>
      <c r="N250">
        <v>42.547252066666651</v>
      </c>
      <c r="P250">
        <v>16</v>
      </c>
      <c r="Q250">
        <v>42.101400580645155</v>
      </c>
      <c r="S250">
        <v>16</v>
      </c>
      <c r="T250">
        <v>48.564571933333347</v>
      </c>
      <c r="V250">
        <v>16</v>
      </c>
      <c r="W250">
        <v>56.508271612903222</v>
      </c>
      <c r="Y250">
        <v>16</v>
      </c>
      <c r="Z250">
        <v>59.204559064516118</v>
      </c>
      <c r="AB250">
        <v>16</v>
      </c>
      <c r="AC250">
        <v>50.151460499999999</v>
      </c>
      <c r="AE250">
        <v>16</v>
      </c>
      <c r="AF250">
        <v>43.584057193548389</v>
      </c>
      <c r="AH250">
        <v>16</v>
      </c>
      <c r="AI250">
        <v>41.310080733333322</v>
      </c>
      <c r="AK250">
        <v>16</v>
      </c>
      <c r="AL250">
        <v>54.20868670967743</v>
      </c>
    </row>
    <row r="251" spans="1:38">
      <c r="A251">
        <v>17</v>
      </c>
      <c r="B251">
        <v>54.113678758904172</v>
      </c>
      <c r="D251">
        <v>17</v>
      </c>
      <c r="E251">
        <v>83.483646516129028</v>
      </c>
      <c r="G251">
        <v>17</v>
      </c>
      <c r="H251">
        <v>63.839684821428555</v>
      </c>
      <c r="J251">
        <v>17</v>
      </c>
      <c r="K251">
        <v>46.183880129032246</v>
      </c>
      <c r="M251">
        <v>17</v>
      </c>
      <c r="N251">
        <v>42.942976133333339</v>
      </c>
      <c r="P251">
        <v>17</v>
      </c>
      <c r="Q251">
        <v>42.373661612903213</v>
      </c>
      <c r="S251">
        <v>17</v>
      </c>
      <c r="T251">
        <v>48.470715266666666</v>
      </c>
      <c r="V251">
        <v>17</v>
      </c>
      <c r="W251">
        <v>56.790204193548391</v>
      </c>
      <c r="Y251">
        <v>17</v>
      </c>
      <c r="Z251">
        <v>58.649699483870975</v>
      </c>
      <c r="AB251">
        <v>17</v>
      </c>
      <c r="AC251">
        <v>50.327540066666657</v>
      </c>
      <c r="AE251">
        <v>17</v>
      </c>
      <c r="AF251">
        <v>44.876143322580653</v>
      </c>
      <c r="AH251">
        <v>17</v>
      </c>
      <c r="AI251">
        <v>46.561748733333339</v>
      </c>
      <c r="AK251">
        <v>17</v>
      </c>
      <c r="AL251">
        <v>64.897350741935483</v>
      </c>
    </row>
    <row r="252" spans="1:38">
      <c r="A252">
        <v>18</v>
      </c>
      <c r="B252">
        <v>54.609118312328782</v>
      </c>
      <c r="D252">
        <v>18</v>
      </c>
      <c r="E252">
        <v>85.582433161290325</v>
      </c>
      <c r="G252">
        <v>18</v>
      </c>
      <c r="H252">
        <v>69.437263785714293</v>
      </c>
      <c r="J252">
        <v>18</v>
      </c>
      <c r="K252">
        <v>48.334474290322561</v>
      </c>
      <c r="M252">
        <v>18</v>
      </c>
      <c r="N252">
        <v>43.090211133333341</v>
      </c>
      <c r="P252">
        <v>18</v>
      </c>
      <c r="Q252">
        <v>41.457253806451611</v>
      </c>
      <c r="S252">
        <v>18</v>
      </c>
      <c r="T252">
        <v>47.282011033333333</v>
      </c>
      <c r="V252">
        <v>18</v>
      </c>
      <c r="W252">
        <v>54.795913161290329</v>
      </c>
      <c r="Y252">
        <v>18</v>
      </c>
      <c r="Z252">
        <v>56.414192322580639</v>
      </c>
      <c r="AB252">
        <v>18</v>
      </c>
      <c r="AC252">
        <v>49.531403733333349</v>
      </c>
      <c r="AE252">
        <v>18</v>
      </c>
      <c r="AF252">
        <v>47.870449225806446</v>
      </c>
      <c r="AH252">
        <v>18</v>
      </c>
      <c r="AI252">
        <v>46.245769833333313</v>
      </c>
      <c r="AK252">
        <v>18</v>
      </c>
      <c r="AL252">
        <v>65.661507451612891</v>
      </c>
    </row>
    <row r="253" spans="1:38">
      <c r="A253">
        <v>19</v>
      </c>
      <c r="B253">
        <v>53.940280364383533</v>
      </c>
      <c r="D253">
        <v>19</v>
      </c>
      <c r="E253">
        <v>82.995218935483877</v>
      </c>
      <c r="G253">
        <v>19</v>
      </c>
      <c r="H253">
        <v>67.996759892857142</v>
      </c>
      <c r="J253">
        <v>19</v>
      </c>
      <c r="K253">
        <v>51.297503612903213</v>
      </c>
      <c r="M253">
        <v>19</v>
      </c>
      <c r="N253">
        <v>44.442712033333329</v>
      </c>
      <c r="P253">
        <v>19</v>
      </c>
      <c r="Q253">
        <v>41.785453258064521</v>
      </c>
      <c r="S253">
        <v>19</v>
      </c>
      <c r="T253">
        <v>45.732163066666672</v>
      </c>
      <c r="V253">
        <v>19</v>
      </c>
      <c r="W253">
        <v>52.646585064516124</v>
      </c>
      <c r="Y253">
        <v>19</v>
      </c>
      <c r="Z253">
        <v>54.338419161290332</v>
      </c>
      <c r="AB253">
        <v>19</v>
      </c>
      <c r="AC253">
        <v>50.787724033333326</v>
      </c>
      <c r="AE253">
        <v>19</v>
      </c>
      <c r="AF253">
        <v>48.34394796774194</v>
      </c>
      <c r="AH253">
        <v>19</v>
      </c>
      <c r="AI253">
        <v>44.69645633333333</v>
      </c>
      <c r="AK253">
        <v>19</v>
      </c>
      <c r="AL253">
        <v>62.609691096774185</v>
      </c>
    </row>
    <row r="254" spans="1:38">
      <c r="A254">
        <v>20</v>
      </c>
      <c r="B254">
        <v>52.727247975342479</v>
      </c>
      <c r="D254">
        <v>20</v>
      </c>
      <c r="E254">
        <v>78.238986870967736</v>
      </c>
      <c r="G254">
        <v>20</v>
      </c>
      <c r="H254">
        <v>66.792792357142858</v>
      </c>
      <c r="J254">
        <v>20</v>
      </c>
      <c r="K254">
        <v>49.227293774193555</v>
      </c>
      <c r="M254">
        <v>20</v>
      </c>
      <c r="N254">
        <v>47.039713433333326</v>
      </c>
      <c r="P254">
        <v>20</v>
      </c>
      <c r="Q254">
        <v>44.340560516129024</v>
      </c>
      <c r="S254">
        <v>20</v>
      </c>
      <c r="T254">
        <v>45.686763800000001</v>
      </c>
      <c r="V254">
        <v>20</v>
      </c>
      <c r="W254">
        <v>51.848072161290318</v>
      </c>
      <c r="Y254">
        <v>20</v>
      </c>
      <c r="Z254">
        <v>54.510052000000002</v>
      </c>
      <c r="AB254">
        <v>20</v>
      </c>
      <c r="AC254">
        <v>49.625583233333337</v>
      </c>
      <c r="AE254">
        <v>20</v>
      </c>
      <c r="AF254">
        <v>45.928988870967743</v>
      </c>
      <c r="AH254">
        <v>20</v>
      </c>
      <c r="AI254">
        <v>41.691625133333332</v>
      </c>
      <c r="AK254">
        <v>20</v>
      </c>
      <c r="AL254">
        <v>58.291102483870965</v>
      </c>
    </row>
    <row r="255" spans="1:38">
      <c r="A255">
        <v>21</v>
      </c>
      <c r="B255">
        <v>50.301973024657514</v>
      </c>
      <c r="D255">
        <v>21</v>
      </c>
      <c r="E255">
        <v>73.886978225806459</v>
      </c>
      <c r="G255">
        <v>21</v>
      </c>
      <c r="H255">
        <v>66.380109000000004</v>
      </c>
      <c r="J255">
        <v>21</v>
      </c>
      <c r="K255">
        <v>46.498817096774189</v>
      </c>
      <c r="M255">
        <v>21</v>
      </c>
      <c r="N255">
        <v>44.11081930000001</v>
      </c>
      <c r="P255">
        <v>21</v>
      </c>
      <c r="Q255">
        <v>44.148124677419354</v>
      </c>
      <c r="S255">
        <v>21</v>
      </c>
      <c r="T255">
        <v>45.848526700000001</v>
      </c>
      <c r="V255">
        <v>21</v>
      </c>
      <c r="W255">
        <v>51.196047387096776</v>
      </c>
      <c r="Y255">
        <v>21</v>
      </c>
      <c r="Z255">
        <v>51.1958816129032</v>
      </c>
      <c r="AB255">
        <v>21</v>
      </c>
      <c r="AC255">
        <v>44.630528733333335</v>
      </c>
      <c r="AE255">
        <v>21</v>
      </c>
      <c r="AF255">
        <v>42.703090935483871</v>
      </c>
      <c r="AH255">
        <v>21</v>
      </c>
      <c r="AI255">
        <v>39.673247566666653</v>
      </c>
      <c r="AK255">
        <v>21</v>
      </c>
      <c r="AL255">
        <v>54.038267580645169</v>
      </c>
    </row>
    <row r="256" spans="1:38">
      <c r="A256">
        <v>22</v>
      </c>
      <c r="B256">
        <v>47.909948632876748</v>
      </c>
      <c r="D256">
        <v>22</v>
      </c>
      <c r="E256">
        <v>71.899361419354847</v>
      </c>
      <c r="G256">
        <v>22</v>
      </c>
      <c r="H256">
        <v>64.03258110714286</v>
      </c>
      <c r="J256">
        <v>22</v>
      </c>
      <c r="K256">
        <v>46.462183516129024</v>
      </c>
      <c r="M256">
        <v>22</v>
      </c>
      <c r="N256">
        <v>41.634746833333331</v>
      </c>
      <c r="P256">
        <v>22</v>
      </c>
      <c r="Q256">
        <v>41.512557161290324</v>
      </c>
      <c r="S256">
        <v>22</v>
      </c>
      <c r="T256">
        <v>42.181240899999992</v>
      </c>
      <c r="V256">
        <v>22</v>
      </c>
      <c r="W256">
        <v>47.144205967741946</v>
      </c>
      <c r="Y256">
        <v>22</v>
      </c>
      <c r="Z256">
        <v>45.266204709677424</v>
      </c>
      <c r="AB256">
        <v>22</v>
      </c>
      <c r="AC256">
        <v>41.695931400000013</v>
      </c>
      <c r="AE256">
        <v>22</v>
      </c>
      <c r="AF256">
        <v>40.034562870967747</v>
      </c>
      <c r="AH256">
        <v>22</v>
      </c>
      <c r="AI256">
        <v>39.684429966666677</v>
      </c>
      <c r="AK256">
        <v>22</v>
      </c>
      <c r="AL256">
        <v>54.078618129032265</v>
      </c>
    </row>
    <row r="257" spans="1:38">
      <c r="A257">
        <v>23</v>
      </c>
      <c r="B257">
        <v>45.884290271232857</v>
      </c>
      <c r="D257">
        <v>23</v>
      </c>
      <c r="E257">
        <v>66.969654483870968</v>
      </c>
      <c r="G257">
        <v>23</v>
      </c>
      <c r="H257">
        <v>57.966264535714281</v>
      </c>
      <c r="J257">
        <v>23</v>
      </c>
      <c r="K257">
        <v>45.74497083333334</v>
      </c>
      <c r="M257">
        <v>23</v>
      </c>
      <c r="N257">
        <v>41.211308633333338</v>
      </c>
      <c r="P257">
        <v>23</v>
      </c>
      <c r="Q257">
        <v>40.91916148387098</v>
      </c>
      <c r="S257">
        <v>23</v>
      </c>
      <c r="T257">
        <v>41.057155133333339</v>
      </c>
      <c r="V257">
        <v>23</v>
      </c>
      <c r="W257">
        <v>43.683539935483871</v>
      </c>
      <c r="Y257">
        <v>23</v>
      </c>
      <c r="Z257">
        <v>41.525126838709674</v>
      </c>
      <c r="AB257">
        <v>23</v>
      </c>
      <c r="AC257">
        <v>40.749869533333332</v>
      </c>
      <c r="AE257">
        <v>23</v>
      </c>
      <c r="AF257">
        <v>39.189074580645155</v>
      </c>
      <c r="AH257">
        <v>23</v>
      </c>
      <c r="AI257">
        <v>39.489990741935493</v>
      </c>
      <c r="AK257">
        <v>23</v>
      </c>
      <c r="AL257">
        <v>52.798013806451607</v>
      </c>
    </row>
    <row r="258" spans="1:38">
      <c r="A258" t="s">
        <v>328</v>
      </c>
      <c r="B258">
        <v>48.874538319520546</v>
      </c>
      <c r="D258" t="s">
        <v>328</v>
      </c>
      <c r="E258">
        <v>71.406074442204286</v>
      </c>
      <c r="G258" t="s">
        <v>328</v>
      </c>
      <c r="H258">
        <v>62.019080017857142</v>
      </c>
      <c r="J258" t="s">
        <v>328</v>
      </c>
      <c r="K258">
        <v>46.652475428539425</v>
      </c>
      <c r="M258" t="s">
        <v>328</v>
      </c>
      <c r="N258">
        <v>41.46748659861111</v>
      </c>
      <c r="P258" t="s">
        <v>328</v>
      </c>
      <c r="Q258">
        <v>41.801318111559141</v>
      </c>
      <c r="S258" t="s">
        <v>328</v>
      </c>
      <c r="T258">
        <v>44.208339668055551</v>
      </c>
      <c r="V258" t="s">
        <v>328</v>
      </c>
      <c r="W258">
        <v>48.49333257123655</v>
      </c>
      <c r="Y258" t="s">
        <v>328</v>
      </c>
      <c r="Z258">
        <v>48.846002596774191</v>
      </c>
      <c r="AB258" t="s">
        <v>328</v>
      </c>
      <c r="AC258">
        <v>44.901892515277787</v>
      </c>
      <c r="AE258" t="s">
        <v>328</v>
      </c>
      <c r="AF258">
        <v>42.287007997311825</v>
      </c>
      <c r="AH258" t="s">
        <v>328</v>
      </c>
      <c r="AI258">
        <v>40.540749090636197</v>
      </c>
      <c r="AK258" t="s">
        <v>328</v>
      </c>
      <c r="AL258">
        <v>54.364718985215056</v>
      </c>
    </row>
    <row r="261" spans="1:38">
      <c r="A261" s="94">
        <v>2024</v>
      </c>
      <c r="B261" s="99" t="s">
        <v>325</v>
      </c>
      <c r="D261">
        <v>1</v>
      </c>
      <c r="E261" s="99" t="s">
        <v>316</v>
      </c>
      <c r="G261">
        <v>2</v>
      </c>
      <c r="H261" s="99" t="s">
        <v>316</v>
      </c>
      <c r="J261">
        <v>3</v>
      </c>
      <c r="K261" s="99" t="s">
        <v>316</v>
      </c>
      <c r="M261">
        <v>4</v>
      </c>
      <c r="N261" s="99" t="s">
        <v>316</v>
      </c>
      <c r="P261">
        <v>5</v>
      </c>
      <c r="Q261" s="99" t="s">
        <v>316</v>
      </c>
      <c r="S261">
        <v>6</v>
      </c>
      <c r="T261" s="99" t="s">
        <v>316</v>
      </c>
      <c r="V261">
        <v>7</v>
      </c>
      <c r="W261" s="99" t="s">
        <v>316</v>
      </c>
      <c r="Y261">
        <v>8</v>
      </c>
      <c r="Z261" s="99" t="s">
        <v>316</v>
      </c>
      <c r="AB261">
        <v>9</v>
      </c>
      <c r="AC261" s="99" t="s">
        <v>316</v>
      </c>
      <c r="AE261">
        <v>10</v>
      </c>
      <c r="AF261" s="99" t="s">
        <v>316</v>
      </c>
      <c r="AH261">
        <v>11</v>
      </c>
      <c r="AI261" s="99" t="s">
        <v>316</v>
      </c>
      <c r="AK261">
        <v>12</v>
      </c>
      <c r="AL261" s="99" t="s">
        <v>316</v>
      </c>
    </row>
    <row r="262" spans="1:38">
      <c r="A262" s="94" t="s">
        <v>308</v>
      </c>
      <c r="B262" s="58">
        <v>8784</v>
      </c>
      <c r="D262" s="94" t="s">
        <v>397</v>
      </c>
      <c r="E262" s="58">
        <v>744</v>
      </c>
      <c r="G262" s="94" t="s">
        <v>398</v>
      </c>
      <c r="H262" s="58">
        <v>696</v>
      </c>
      <c r="J262" s="94" t="s">
        <v>399</v>
      </c>
      <c r="K262" s="58">
        <v>743</v>
      </c>
      <c r="M262" s="94" t="s">
        <v>400</v>
      </c>
      <c r="N262" s="58">
        <v>720</v>
      </c>
      <c r="P262" s="94" t="s">
        <v>401</v>
      </c>
      <c r="Q262" s="58">
        <v>744</v>
      </c>
      <c r="S262" s="94" t="s">
        <v>402</v>
      </c>
      <c r="T262" s="58">
        <v>720</v>
      </c>
      <c r="V262" s="94" t="s">
        <v>403</v>
      </c>
      <c r="W262" s="58">
        <v>744</v>
      </c>
      <c r="Y262" s="94" t="s">
        <v>404</v>
      </c>
      <c r="Z262" s="58">
        <v>744</v>
      </c>
      <c r="AB262" s="94" t="s">
        <v>405</v>
      </c>
      <c r="AC262" s="58">
        <v>720</v>
      </c>
      <c r="AE262" s="94" t="s">
        <v>406</v>
      </c>
      <c r="AF262" s="58">
        <v>744</v>
      </c>
      <c r="AH262" s="94" t="s">
        <v>407</v>
      </c>
      <c r="AI262" s="58">
        <v>721</v>
      </c>
      <c r="AK262" s="94" t="s">
        <v>408</v>
      </c>
      <c r="AL262" s="58">
        <v>744</v>
      </c>
    </row>
    <row r="263" spans="1:38">
      <c r="A263" s="94" t="s">
        <v>326</v>
      </c>
      <c r="B263" s="58">
        <v>0</v>
      </c>
      <c r="D263" s="94" t="s">
        <v>326</v>
      </c>
      <c r="E263" s="58">
        <v>0</v>
      </c>
      <c r="G263" s="94" t="s">
        <v>326</v>
      </c>
      <c r="H263" s="58">
        <v>744</v>
      </c>
      <c r="J263" s="94" t="s">
        <v>326</v>
      </c>
      <c r="K263" s="58">
        <v>1440</v>
      </c>
      <c r="M263" s="94" t="s">
        <v>326</v>
      </c>
      <c r="N263" s="58">
        <v>2183</v>
      </c>
      <c r="P263" s="94" t="s">
        <v>326</v>
      </c>
      <c r="Q263" s="58">
        <v>2903</v>
      </c>
      <c r="S263" s="94" t="s">
        <v>326</v>
      </c>
      <c r="T263" s="58">
        <v>3647</v>
      </c>
      <c r="V263" s="94" t="s">
        <v>326</v>
      </c>
      <c r="W263" s="58">
        <v>4367</v>
      </c>
      <c r="Y263" s="94" t="s">
        <v>326</v>
      </c>
      <c r="Z263" s="58">
        <v>5111</v>
      </c>
      <c r="AB263" s="94" t="s">
        <v>326</v>
      </c>
      <c r="AC263" s="58">
        <v>5855</v>
      </c>
      <c r="AE263" s="94" t="s">
        <v>326</v>
      </c>
      <c r="AF263" s="58">
        <v>6575</v>
      </c>
      <c r="AH263" s="94" t="s">
        <v>326</v>
      </c>
      <c r="AI263" s="58">
        <v>7319</v>
      </c>
      <c r="AK263" s="94" t="s">
        <v>326</v>
      </c>
      <c r="AL263" s="58">
        <v>8040</v>
      </c>
    </row>
    <row r="264" spans="1:38">
      <c r="A264" s="94" t="s">
        <v>327</v>
      </c>
      <c r="B264" s="58">
        <v>8784</v>
      </c>
      <c r="D264" s="94" t="s">
        <v>327</v>
      </c>
      <c r="E264" s="58">
        <v>744</v>
      </c>
      <c r="G264" s="94" t="s">
        <v>327</v>
      </c>
      <c r="H264" s="58">
        <v>1440</v>
      </c>
      <c r="J264" s="94" t="s">
        <v>327</v>
      </c>
      <c r="K264" s="58">
        <v>2183</v>
      </c>
      <c r="M264" s="94" t="s">
        <v>327</v>
      </c>
      <c r="N264" s="58">
        <v>2903</v>
      </c>
      <c r="P264" s="94" t="s">
        <v>327</v>
      </c>
      <c r="Q264" s="58">
        <v>3647</v>
      </c>
      <c r="S264" s="94" t="s">
        <v>327</v>
      </c>
      <c r="T264" s="58">
        <v>4367</v>
      </c>
      <c r="V264" s="94" t="s">
        <v>327</v>
      </c>
      <c r="W264" s="58">
        <v>5111</v>
      </c>
      <c r="Y264" s="94" t="s">
        <v>327</v>
      </c>
      <c r="Z264" s="58">
        <v>5855</v>
      </c>
      <c r="AB264" s="94" t="s">
        <v>327</v>
      </c>
      <c r="AC264" s="58">
        <v>6575</v>
      </c>
      <c r="AE264" s="94" t="s">
        <v>327</v>
      </c>
      <c r="AF264" s="58">
        <v>7319</v>
      </c>
      <c r="AH264" s="94" t="s">
        <v>327</v>
      </c>
      <c r="AI264" s="58">
        <v>8040</v>
      </c>
      <c r="AK264" s="94" t="s">
        <v>327</v>
      </c>
      <c r="AL264" s="58">
        <v>8784</v>
      </c>
    </row>
    <row r="265" spans="1:38">
      <c r="A265" t="s">
        <v>293</v>
      </c>
      <c r="B265" s="16" t="s">
        <v>294</v>
      </c>
      <c r="D265" t="s">
        <v>293</v>
      </c>
      <c r="E265" s="16" t="s">
        <v>294</v>
      </c>
      <c r="G265" t="s">
        <v>293</v>
      </c>
      <c r="H265" s="16" t="s">
        <v>294</v>
      </c>
      <c r="J265" t="s">
        <v>293</v>
      </c>
      <c r="K265" s="16" t="s">
        <v>294</v>
      </c>
      <c r="M265" t="s">
        <v>293</v>
      </c>
      <c r="N265" s="16" t="s">
        <v>294</v>
      </c>
      <c r="P265" t="s">
        <v>293</v>
      </c>
      <c r="Q265" s="16" t="s">
        <v>294</v>
      </c>
      <c r="S265" t="s">
        <v>293</v>
      </c>
      <c r="T265" s="16" t="s">
        <v>294</v>
      </c>
      <c r="V265" t="s">
        <v>293</v>
      </c>
      <c r="W265" s="16" t="s">
        <v>294</v>
      </c>
      <c r="Y265" t="s">
        <v>293</v>
      </c>
      <c r="Z265" s="16" t="s">
        <v>294</v>
      </c>
      <c r="AB265" t="s">
        <v>293</v>
      </c>
      <c r="AC265" s="16" t="s">
        <v>294</v>
      </c>
      <c r="AE265" t="s">
        <v>293</v>
      </c>
      <c r="AF265" s="16" t="s">
        <v>294</v>
      </c>
      <c r="AH265" t="s">
        <v>293</v>
      </c>
      <c r="AI265" s="16" t="s">
        <v>294</v>
      </c>
      <c r="AK265" t="s">
        <v>293</v>
      </c>
      <c r="AL265" s="16" t="s">
        <v>294</v>
      </c>
    </row>
    <row r="266" spans="1:38">
      <c r="A266">
        <v>0</v>
      </c>
      <c r="B266">
        <v>47.95935770491802</v>
      </c>
      <c r="D266">
        <v>0</v>
      </c>
      <c r="E266">
        <v>68.26167780645163</v>
      </c>
      <c r="G266">
        <v>0</v>
      </c>
      <c r="H266">
        <v>63.128301758620694</v>
      </c>
      <c r="J266">
        <v>0</v>
      </c>
      <c r="K266">
        <v>46.613003032258064</v>
      </c>
      <c r="M266">
        <v>0</v>
      </c>
      <c r="N266">
        <v>43.995237800000005</v>
      </c>
      <c r="P266">
        <v>0</v>
      </c>
      <c r="Q266">
        <v>41.908053612903231</v>
      </c>
      <c r="S266">
        <v>0</v>
      </c>
      <c r="T266">
        <v>41.970795466666665</v>
      </c>
      <c r="V266">
        <v>0</v>
      </c>
      <c r="W266">
        <v>46.137897000000009</v>
      </c>
      <c r="Y266">
        <v>0</v>
      </c>
      <c r="Z266">
        <v>44.133913774193552</v>
      </c>
      <c r="AB266">
        <v>0</v>
      </c>
      <c r="AC266">
        <v>40.692997166666665</v>
      </c>
      <c r="AE266">
        <v>0</v>
      </c>
      <c r="AF266">
        <v>40.547840548387086</v>
      </c>
      <c r="AH266">
        <v>0</v>
      </c>
      <c r="AI266">
        <v>42.873979100000007</v>
      </c>
      <c r="AK266">
        <v>0</v>
      </c>
      <c r="AL266">
        <v>55.507739483870971</v>
      </c>
    </row>
    <row r="267" spans="1:38">
      <c r="A267">
        <v>1</v>
      </c>
      <c r="B267">
        <v>45.948707882513666</v>
      </c>
      <c r="D267">
        <v>1</v>
      </c>
      <c r="E267">
        <v>67.210744612903213</v>
      </c>
      <c r="G267">
        <v>1</v>
      </c>
      <c r="H267">
        <v>61.561166206896544</v>
      </c>
      <c r="J267">
        <v>1</v>
      </c>
      <c r="K267">
        <v>45.194694032258063</v>
      </c>
      <c r="M267">
        <v>1</v>
      </c>
      <c r="N267">
        <v>41.685498666666675</v>
      </c>
      <c r="P267">
        <v>1</v>
      </c>
      <c r="Q267">
        <v>39.395153483870963</v>
      </c>
      <c r="S267">
        <v>1</v>
      </c>
      <c r="T267">
        <v>40.089662566666661</v>
      </c>
      <c r="V267">
        <v>1</v>
      </c>
      <c r="W267">
        <v>43.966009129032258</v>
      </c>
      <c r="Y267">
        <v>1</v>
      </c>
      <c r="Z267">
        <v>41.898400387096764</v>
      </c>
      <c r="AB267">
        <v>1</v>
      </c>
      <c r="AC267">
        <v>37.654714199999987</v>
      </c>
      <c r="AE267">
        <v>1</v>
      </c>
      <c r="AF267">
        <v>38.462444322580644</v>
      </c>
      <c r="AH267">
        <v>1</v>
      </c>
      <c r="AI267">
        <v>41.042827233333334</v>
      </c>
      <c r="AK267">
        <v>1</v>
      </c>
      <c r="AL267">
        <v>53.478108387096775</v>
      </c>
    </row>
    <row r="268" spans="1:38">
      <c r="A268">
        <v>2</v>
      </c>
      <c r="B268">
        <v>44.724775379781441</v>
      </c>
      <c r="D268">
        <v>2</v>
      </c>
      <c r="E268">
        <v>67.219988354838705</v>
      </c>
      <c r="G268">
        <v>2</v>
      </c>
      <c r="H268">
        <v>60.924148310344819</v>
      </c>
      <c r="J268">
        <v>2</v>
      </c>
      <c r="K268">
        <v>44.445651096774192</v>
      </c>
      <c r="M268">
        <v>2</v>
      </c>
      <c r="N268">
        <v>40.419417500000009</v>
      </c>
      <c r="P268">
        <v>2</v>
      </c>
      <c r="Q268">
        <v>38.523600161290318</v>
      </c>
      <c r="S268">
        <v>2</v>
      </c>
      <c r="T268">
        <v>38.669457699999995</v>
      </c>
      <c r="V268">
        <v>2</v>
      </c>
      <c r="W268">
        <v>42.756500612903231</v>
      </c>
      <c r="Y268">
        <v>2</v>
      </c>
      <c r="Z268">
        <v>40.045293258064511</v>
      </c>
      <c r="AB268">
        <v>2</v>
      </c>
      <c r="AC268">
        <v>35.74473523333333</v>
      </c>
      <c r="AE268">
        <v>2</v>
      </c>
      <c r="AF268">
        <v>36.620852612903228</v>
      </c>
      <c r="AH268">
        <v>2</v>
      </c>
      <c r="AI268">
        <v>39.580127833333322</v>
      </c>
      <c r="AK268">
        <v>2</v>
      </c>
      <c r="AL268">
        <v>52.002802290322585</v>
      </c>
    </row>
    <row r="269" spans="1:38">
      <c r="A269">
        <v>3</v>
      </c>
      <c r="B269">
        <v>44.035220745901654</v>
      </c>
      <c r="D269">
        <v>3</v>
      </c>
      <c r="E269">
        <v>67.26563664516128</v>
      </c>
      <c r="G269">
        <v>3</v>
      </c>
      <c r="H269">
        <v>60.603601793103451</v>
      </c>
      <c r="J269">
        <v>3</v>
      </c>
      <c r="K269">
        <v>44.163428032258068</v>
      </c>
      <c r="M269">
        <v>3</v>
      </c>
      <c r="N269">
        <v>39.763700533333335</v>
      </c>
      <c r="P269">
        <v>3</v>
      </c>
      <c r="Q269">
        <v>38.056151677419351</v>
      </c>
      <c r="S269">
        <v>3</v>
      </c>
      <c r="T269">
        <v>37.711142099999996</v>
      </c>
      <c r="V269">
        <v>3</v>
      </c>
      <c r="W269">
        <v>41.418062032258064</v>
      </c>
      <c r="Y269">
        <v>3</v>
      </c>
      <c r="Z269">
        <v>38.832206258064517</v>
      </c>
      <c r="AB269">
        <v>3</v>
      </c>
      <c r="AC269">
        <v>34.493344266666668</v>
      </c>
      <c r="AE269">
        <v>3</v>
      </c>
      <c r="AF269">
        <v>35.659937096774193</v>
      </c>
      <c r="AH269">
        <v>3</v>
      </c>
      <c r="AI269">
        <v>39.408778900000001</v>
      </c>
      <c r="AK269">
        <v>3</v>
      </c>
      <c r="AL269">
        <v>51.316751387096751</v>
      </c>
    </row>
    <row r="270" spans="1:38">
      <c r="A270">
        <v>4</v>
      </c>
      <c r="B270">
        <v>44.492489721311472</v>
      </c>
      <c r="D270">
        <v>4</v>
      </c>
      <c r="E270">
        <v>68.544586870967734</v>
      </c>
      <c r="G270">
        <v>4</v>
      </c>
      <c r="H270">
        <v>61.414544758620679</v>
      </c>
      <c r="J270">
        <v>4</v>
      </c>
      <c r="K270">
        <v>44.854462741935492</v>
      </c>
      <c r="M270">
        <v>4</v>
      </c>
      <c r="N270">
        <v>40.264071966666663</v>
      </c>
      <c r="P270">
        <v>4</v>
      </c>
      <c r="Q270">
        <v>38.260595483870958</v>
      </c>
      <c r="S270">
        <v>4</v>
      </c>
      <c r="T270">
        <v>37.551339066666657</v>
      </c>
      <c r="V270">
        <v>4</v>
      </c>
      <c r="W270">
        <v>41.044744999999999</v>
      </c>
      <c r="Y270">
        <v>4</v>
      </c>
      <c r="Z270">
        <v>38.244030354838713</v>
      </c>
      <c r="AB270">
        <v>4</v>
      </c>
      <c r="AC270">
        <v>34.5535225</v>
      </c>
      <c r="AE270">
        <v>4</v>
      </c>
      <c r="AF270">
        <v>36.639550354838711</v>
      </c>
      <c r="AH270">
        <v>4</v>
      </c>
      <c r="AI270">
        <v>40.365429466666669</v>
      </c>
      <c r="AK270">
        <v>4</v>
      </c>
      <c r="AL270">
        <v>52.450692096774198</v>
      </c>
    </row>
    <row r="271" spans="1:38">
      <c r="A271">
        <v>5</v>
      </c>
      <c r="B271">
        <v>47.543002792349682</v>
      </c>
      <c r="D271">
        <v>5</v>
      </c>
      <c r="E271">
        <v>76.714941838709677</v>
      </c>
      <c r="G271">
        <v>5</v>
      </c>
      <c r="H271">
        <v>65.754763103448269</v>
      </c>
      <c r="J271">
        <v>5</v>
      </c>
      <c r="K271">
        <v>47.742762451612911</v>
      </c>
      <c r="M271">
        <v>5</v>
      </c>
      <c r="N271">
        <v>43.384706999999985</v>
      </c>
      <c r="P271">
        <v>5</v>
      </c>
      <c r="Q271">
        <v>40.101771935483875</v>
      </c>
      <c r="S271">
        <v>5</v>
      </c>
      <c r="T271">
        <v>38.331618166666658</v>
      </c>
      <c r="V271">
        <v>5</v>
      </c>
      <c r="W271">
        <v>42.099411548387089</v>
      </c>
      <c r="Y271">
        <v>5</v>
      </c>
      <c r="Z271">
        <v>39.235217967741939</v>
      </c>
      <c r="AB271">
        <v>5</v>
      </c>
      <c r="AC271">
        <v>37.793434333333337</v>
      </c>
      <c r="AE271">
        <v>5</v>
      </c>
      <c r="AF271">
        <v>40.700020322580642</v>
      </c>
      <c r="AH271">
        <v>5</v>
      </c>
      <c r="AI271">
        <v>43.641963099999998</v>
      </c>
      <c r="AK271">
        <v>5</v>
      </c>
      <c r="AL271">
        <v>55.318751806451623</v>
      </c>
    </row>
    <row r="272" spans="1:38">
      <c r="A272">
        <v>6</v>
      </c>
      <c r="B272">
        <v>52.171478483606542</v>
      </c>
      <c r="D272">
        <v>6</v>
      </c>
      <c r="E272">
        <v>89.641462516129025</v>
      </c>
      <c r="G272">
        <v>6</v>
      </c>
      <c r="H272">
        <v>71.58393217241381</v>
      </c>
      <c r="J272">
        <v>6</v>
      </c>
      <c r="K272">
        <v>52.158058483870967</v>
      </c>
      <c r="M272">
        <v>6</v>
      </c>
      <c r="N272">
        <v>48.706309799999993</v>
      </c>
      <c r="P272">
        <v>6</v>
      </c>
      <c r="Q272">
        <v>44.301713322580653</v>
      </c>
      <c r="S272">
        <v>6</v>
      </c>
      <c r="T272">
        <v>40.321074000000003</v>
      </c>
      <c r="V272">
        <v>6</v>
      </c>
      <c r="W272">
        <v>44.817155387096797</v>
      </c>
      <c r="Y272">
        <v>6</v>
      </c>
      <c r="Z272">
        <v>41.608451838709676</v>
      </c>
      <c r="AB272">
        <v>6</v>
      </c>
      <c r="AC272">
        <v>42.093834800000003</v>
      </c>
      <c r="AE272">
        <v>6</v>
      </c>
      <c r="AF272">
        <v>45.170584225806451</v>
      </c>
      <c r="AH272">
        <v>6</v>
      </c>
      <c r="AI272">
        <v>47.674387566666688</v>
      </c>
      <c r="AK272">
        <v>6</v>
      </c>
      <c r="AL272">
        <v>58.268990580645166</v>
      </c>
    </row>
    <row r="273" spans="1:38">
      <c r="A273">
        <v>7</v>
      </c>
      <c r="B273">
        <v>55.487379147540992</v>
      </c>
      <c r="D273">
        <v>7</v>
      </c>
      <c r="E273">
        <v>95.078829612903235</v>
      </c>
      <c r="G273">
        <v>7</v>
      </c>
      <c r="H273">
        <v>74.875325551724131</v>
      </c>
      <c r="J273">
        <v>7</v>
      </c>
      <c r="K273">
        <v>54.774907419354832</v>
      </c>
      <c r="M273">
        <v>7</v>
      </c>
      <c r="N273">
        <v>51.27657563333333</v>
      </c>
      <c r="P273">
        <v>7</v>
      </c>
      <c r="Q273">
        <v>48.322690000000001</v>
      </c>
      <c r="S273">
        <v>7</v>
      </c>
      <c r="T273">
        <v>43.085871300000008</v>
      </c>
      <c r="V273">
        <v>7</v>
      </c>
      <c r="W273">
        <v>48.705304741935471</v>
      </c>
      <c r="Y273">
        <v>7</v>
      </c>
      <c r="Z273">
        <v>45.737955741935494</v>
      </c>
      <c r="AB273">
        <v>7</v>
      </c>
      <c r="AC273">
        <v>45.283068233333331</v>
      </c>
      <c r="AE273">
        <v>7</v>
      </c>
      <c r="AF273">
        <v>49.146227258064521</v>
      </c>
      <c r="AH273">
        <v>7</v>
      </c>
      <c r="AI273">
        <v>49.182944333333324</v>
      </c>
      <c r="AK273">
        <v>7</v>
      </c>
      <c r="AL273">
        <v>60.561264000000001</v>
      </c>
    </row>
    <row r="274" spans="1:38">
      <c r="A274">
        <v>8</v>
      </c>
      <c r="B274">
        <v>56.842715598360627</v>
      </c>
      <c r="D274">
        <v>8</v>
      </c>
      <c r="E274">
        <v>93.819728774193564</v>
      </c>
      <c r="G274">
        <v>8</v>
      </c>
      <c r="H274">
        <v>73.908309965517276</v>
      </c>
      <c r="J274">
        <v>8</v>
      </c>
      <c r="K274">
        <v>56.874406838709682</v>
      </c>
      <c r="M274">
        <v>8</v>
      </c>
      <c r="N274">
        <v>53.062759933333339</v>
      </c>
      <c r="P274">
        <v>8</v>
      </c>
      <c r="Q274">
        <v>50.514038612903235</v>
      </c>
      <c r="S274">
        <v>8</v>
      </c>
      <c r="T274">
        <v>44.5257127</v>
      </c>
      <c r="V274">
        <v>8</v>
      </c>
      <c r="W274">
        <v>51.483797548387081</v>
      </c>
      <c r="Y274">
        <v>8</v>
      </c>
      <c r="Z274">
        <v>49.12059706451614</v>
      </c>
      <c r="AB274">
        <v>8</v>
      </c>
      <c r="AC274">
        <v>47.482126699999995</v>
      </c>
      <c r="AE274">
        <v>8</v>
      </c>
      <c r="AF274">
        <v>51.079809064516141</v>
      </c>
      <c r="AH274">
        <v>8</v>
      </c>
      <c r="AI274">
        <v>50.32682106666666</v>
      </c>
      <c r="AK274">
        <v>8</v>
      </c>
      <c r="AL274">
        <v>59.984083645161299</v>
      </c>
    </row>
    <row r="275" spans="1:38">
      <c r="A275">
        <v>9</v>
      </c>
      <c r="B275">
        <v>58.713944751366093</v>
      </c>
      <c r="D275">
        <v>9</v>
      </c>
      <c r="E275">
        <v>91.12717499999998</v>
      </c>
      <c r="G275">
        <v>9</v>
      </c>
      <c r="H275">
        <v>73.493258999999995</v>
      </c>
      <c r="J275">
        <v>9</v>
      </c>
      <c r="K275">
        <v>57.898381677419358</v>
      </c>
      <c r="M275">
        <v>9</v>
      </c>
      <c r="N275">
        <v>55.676563466666657</v>
      </c>
      <c r="P275">
        <v>9</v>
      </c>
      <c r="Q275">
        <v>52.948407354838707</v>
      </c>
      <c r="S275">
        <v>9</v>
      </c>
      <c r="T275">
        <v>47.790745700000002</v>
      </c>
      <c r="V275">
        <v>9</v>
      </c>
      <c r="W275">
        <v>55.689659322580653</v>
      </c>
      <c r="Y275">
        <v>9</v>
      </c>
      <c r="Z275">
        <v>54.97096622580645</v>
      </c>
      <c r="AB275">
        <v>9</v>
      </c>
      <c r="AC275">
        <v>50.662023399999988</v>
      </c>
      <c r="AE275">
        <v>9</v>
      </c>
      <c r="AF275">
        <v>52.677871161290319</v>
      </c>
      <c r="AH275">
        <v>9</v>
      </c>
      <c r="AI275">
        <v>51.915543100000001</v>
      </c>
      <c r="AK275">
        <v>9</v>
      </c>
      <c r="AL275">
        <v>59.740861774193561</v>
      </c>
    </row>
    <row r="276" spans="1:38">
      <c r="A276">
        <v>10</v>
      </c>
      <c r="B276">
        <v>60.288436382513666</v>
      </c>
      <c r="D276">
        <v>10</v>
      </c>
      <c r="E276">
        <v>90.888291903225806</v>
      </c>
      <c r="G276">
        <v>10</v>
      </c>
      <c r="H276">
        <v>72.254633034482751</v>
      </c>
      <c r="J276">
        <v>10</v>
      </c>
      <c r="K276">
        <v>58.203583483870958</v>
      </c>
      <c r="M276">
        <v>10</v>
      </c>
      <c r="N276">
        <v>58.038042066666669</v>
      </c>
      <c r="P276">
        <v>10</v>
      </c>
      <c r="Q276">
        <v>53.797361419354836</v>
      </c>
      <c r="S276">
        <v>10</v>
      </c>
      <c r="T276">
        <v>50.4153685</v>
      </c>
      <c r="V276">
        <v>10</v>
      </c>
      <c r="W276">
        <v>60.326664935483869</v>
      </c>
      <c r="Y276">
        <v>10</v>
      </c>
      <c r="Z276">
        <v>60.174427580645165</v>
      </c>
      <c r="AB276">
        <v>10</v>
      </c>
      <c r="AC276">
        <v>53.719449100000006</v>
      </c>
      <c r="AE276">
        <v>10</v>
      </c>
      <c r="AF276">
        <v>53.62707309677419</v>
      </c>
      <c r="AH276">
        <v>10</v>
      </c>
      <c r="AI276">
        <v>52.422115166666686</v>
      </c>
      <c r="AK276">
        <v>10</v>
      </c>
      <c r="AL276">
        <v>59.509504451612898</v>
      </c>
    </row>
    <row r="277" spans="1:38">
      <c r="A277">
        <v>11</v>
      </c>
      <c r="B277">
        <v>60.525943385245867</v>
      </c>
      <c r="D277">
        <v>11</v>
      </c>
      <c r="E277">
        <v>87.710424161290319</v>
      </c>
      <c r="G277">
        <v>11</v>
      </c>
      <c r="H277">
        <v>69.771503689655177</v>
      </c>
      <c r="J277">
        <v>11</v>
      </c>
      <c r="K277">
        <v>57.347635645161297</v>
      </c>
      <c r="M277">
        <v>11</v>
      </c>
      <c r="N277">
        <v>58.285108199999996</v>
      </c>
      <c r="P277">
        <v>11</v>
      </c>
      <c r="Q277">
        <v>54.163501258064521</v>
      </c>
      <c r="S277">
        <v>11</v>
      </c>
      <c r="T277">
        <v>52.397493399999995</v>
      </c>
      <c r="V277">
        <v>11</v>
      </c>
      <c r="W277">
        <v>63.879402419354832</v>
      </c>
      <c r="Y277">
        <v>11</v>
      </c>
      <c r="Z277">
        <v>63.59817922580644</v>
      </c>
      <c r="AB277">
        <v>11</v>
      </c>
      <c r="AC277">
        <v>54.908464966666664</v>
      </c>
      <c r="AE277">
        <v>11</v>
      </c>
      <c r="AF277">
        <v>53.534718903225816</v>
      </c>
      <c r="AH277">
        <v>11</v>
      </c>
      <c r="AI277">
        <v>52.241137099999996</v>
      </c>
      <c r="AK277">
        <v>11</v>
      </c>
      <c r="AL277">
        <v>58.287285548387096</v>
      </c>
    </row>
    <row r="278" spans="1:38">
      <c r="A278">
        <v>12</v>
      </c>
      <c r="B278">
        <v>59.864790806010909</v>
      </c>
      <c r="D278">
        <v>12</v>
      </c>
      <c r="E278">
        <v>82.280573580645154</v>
      </c>
      <c r="G278">
        <v>12</v>
      </c>
      <c r="H278">
        <v>67.684719068965521</v>
      </c>
      <c r="J278">
        <v>12</v>
      </c>
      <c r="K278">
        <v>56.148052322580646</v>
      </c>
      <c r="M278">
        <v>12</v>
      </c>
      <c r="N278">
        <v>57.807814766666674</v>
      </c>
      <c r="P278">
        <v>12</v>
      </c>
      <c r="Q278">
        <v>54.189136451612889</v>
      </c>
      <c r="S278">
        <v>12</v>
      </c>
      <c r="T278">
        <v>53.057116033333344</v>
      </c>
      <c r="V278">
        <v>12</v>
      </c>
      <c r="W278">
        <v>66.015686580645138</v>
      </c>
      <c r="Y278">
        <v>12</v>
      </c>
      <c r="Z278">
        <v>64.135003709677406</v>
      </c>
      <c r="AB278">
        <v>12</v>
      </c>
      <c r="AC278">
        <v>55.261676166666675</v>
      </c>
      <c r="AE278">
        <v>12</v>
      </c>
      <c r="AF278">
        <v>52.83825319354839</v>
      </c>
      <c r="AH278">
        <v>12</v>
      </c>
      <c r="AI278">
        <v>51.1654324</v>
      </c>
      <c r="AK278">
        <v>12</v>
      </c>
      <c r="AL278">
        <v>57.583468387096765</v>
      </c>
    </row>
    <row r="279" spans="1:38">
      <c r="A279">
        <v>13</v>
      </c>
      <c r="B279">
        <v>59.486926213114806</v>
      </c>
      <c r="D279">
        <v>13</v>
      </c>
      <c r="E279">
        <v>79.119601161290362</v>
      </c>
      <c r="G279">
        <v>13</v>
      </c>
      <c r="H279">
        <v>66.268003551724135</v>
      </c>
      <c r="J279">
        <v>13</v>
      </c>
      <c r="K279">
        <v>55.194067548387089</v>
      </c>
      <c r="M279">
        <v>13</v>
      </c>
      <c r="N279">
        <v>56.884896033333327</v>
      </c>
      <c r="P279">
        <v>13</v>
      </c>
      <c r="Q279">
        <v>54.095244516129043</v>
      </c>
      <c r="S279">
        <v>13</v>
      </c>
      <c r="T279">
        <v>53.021556033333326</v>
      </c>
      <c r="V279">
        <v>13</v>
      </c>
      <c r="W279">
        <v>67.229490032258056</v>
      </c>
      <c r="Y279">
        <v>13</v>
      </c>
      <c r="Z279">
        <v>66.468256354838701</v>
      </c>
      <c r="AB279">
        <v>13</v>
      </c>
      <c r="AC279">
        <v>55.957999200000017</v>
      </c>
      <c r="AE279">
        <v>13</v>
      </c>
      <c r="AF279">
        <v>52.081673161290311</v>
      </c>
      <c r="AH279">
        <v>13</v>
      </c>
      <c r="AI279">
        <v>50.500635566666674</v>
      </c>
      <c r="AK279">
        <v>13</v>
      </c>
      <c r="AL279">
        <v>56.762966774193544</v>
      </c>
    </row>
    <row r="280" spans="1:38">
      <c r="A280">
        <v>14</v>
      </c>
      <c r="B280">
        <v>58.959467819672078</v>
      </c>
      <c r="D280">
        <v>14</v>
      </c>
      <c r="E280">
        <v>77.733633806451607</v>
      </c>
      <c r="G280">
        <v>14</v>
      </c>
      <c r="H280">
        <v>64.546835862068988</v>
      </c>
      <c r="J280">
        <v>14</v>
      </c>
      <c r="K280">
        <v>53.175966612903238</v>
      </c>
      <c r="M280">
        <v>14</v>
      </c>
      <c r="N280">
        <v>55.80441913333334</v>
      </c>
      <c r="P280">
        <v>14</v>
      </c>
      <c r="Q280">
        <v>53.182208193548377</v>
      </c>
      <c r="S280">
        <v>14</v>
      </c>
      <c r="T280">
        <v>53.215713099999995</v>
      </c>
      <c r="V280">
        <v>14</v>
      </c>
      <c r="W280">
        <v>68.727925387096761</v>
      </c>
      <c r="Y280">
        <v>14</v>
      </c>
      <c r="Z280">
        <v>68.217495354838732</v>
      </c>
      <c r="AB280">
        <v>14</v>
      </c>
      <c r="AC280">
        <v>55.779740000000018</v>
      </c>
      <c r="AE280">
        <v>14</v>
      </c>
      <c r="AF280">
        <v>51.041653290322579</v>
      </c>
      <c r="AH280">
        <v>14</v>
      </c>
      <c r="AI280">
        <v>49.628418133333327</v>
      </c>
      <c r="AK280">
        <v>14</v>
      </c>
      <c r="AL280">
        <v>56.129448677419354</v>
      </c>
    </row>
    <row r="281" spans="1:38">
      <c r="A281">
        <v>15</v>
      </c>
      <c r="B281">
        <v>59.087930879781396</v>
      </c>
      <c r="D281">
        <v>15</v>
      </c>
      <c r="E281">
        <v>79.378848838709672</v>
      </c>
      <c r="G281">
        <v>15</v>
      </c>
      <c r="H281">
        <v>64.394622586206864</v>
      </c>
      <c r="J281">
        <v>15</v>
      </c>
      <c r="K281">
        <v>52.682733225806459</v>
      </c>
      <c r="M281">
        <v>15</v>
      </c>
      <c r="N281">
        <v>54.979164266666658</v>
      </c>
      <c r="P281">
        <v>15</v>
      </c>
      <c r="Q281">
        <v>52.50486112903225</v>
      </c>
      <c r="S281">
        <v>15</v>
      </c>
      <c r="T281">
        <v>54.146483266666671</v>
      </c>
      <c r="V281">
        <v>15</v>
      </c>
      <c r="W281">
        <v>68.941728161290328</v>
      </c>
      <c r="Y281">
        <v>15</v>
      </c>
      <c r="Z281">
        <v>68.407263516129049</v>
      </c>
      <c r="AB281">
        <v>15</v>
      </c>
      <c r="AC281">
        <v>55.470459799999993</v>
      </c>
      <c r="AE281">
        <v>15</v>
      </c>
      <c r="AF281">
        <v>50.711202</v>
      </c>
      <c r="AH281">
        <v>15</v>
      </c>
      <c r="AI281">
        <v>49.970351433333342</v>
      </c>
      <c r="AK281">
        <v>15</v>
      </c>
      <c r="AL281">
        <v>57.107069064516132</v>
      </c>
    </row>
    <row r="282" spans="1:38">
      <c r="A282">
        <v>16</v>
      </c>
      <c r="B282">
        <v>61.109497882513672</v>
      </c>
      <c r="D282">
        <v>16</v>
      </c>
      <c r="E282">
        <v>86.240639225806447</v>
      </c>
      <c r="G282">
        <v>16</v>
      </c>
      <c r="H282">
        <v>66.291501275862061</v>
      </c>
      <c r="J282">
        <v>16</v>
      </c>
      <c r="K282">
        <v>53.542151387096766</v>
      </c>
      <c r="M282">
        <v>16</v>
      </c>
      <c r="N282">
        <v>55.68764786666668</v>
      </c>
      <c r="P282">
        <v>16</v>
      </c>
      <c r="Q282">
        <v>52.824420741935477</v>
      </c>
      <c r="S282">
        <v>16</v>
      </c>
      <c r="T282">
        <v>54.604674866666663</v>
      </c>
      <c r="V282">
        <v>16</v>
      </c>
      <c r="W282">
        <v>70.730020096774211</v>
      </c>
      <c r="Y282">
        <v>16</v>
      </c>
      <c r="Z282">
        <v>69.919392612903252</v>
      </c>
      <c r="AB282">
        <v>16</v>
      </c>
      <c r="AC282">
        <v>57.116181533333332</v>
      </c>
      <c r="AE282">
        <v>16</v>
      </c>
      <c r="AF282">
        <v>51.627576096774192</v>
      </c>
      <c r="AH282">
        <v>16</v>
      </c>
      <c r="AI282">
        <v>54.333295266666674</v>
      </c>
      <c r="AK282">
        <v>16</v>
      </c>
      <c r="AL282">
        <v>59.998661193548379</v>
      </c>
    </row>
    <row r="283" spans="1:38">
      <c r="A283">
        <v>17</v>
      </c>
      <c r="B283">
        <v>64.571054183060127</v>
      </c>
      <c r="D283">
        <v>17</v>
      </c>
      <c r="E283">
        <v>98.960890451612912</v>
      </c>
      <c r="G283">
        <v>17</v>
      </c>
      <c r="H283">
        <v>71.546633758620686</v>
      </c>
      <c r="J283">
        <v>17</v>
      </c>
      <c r="K283">
        <v>55.787399258064504</v>
      </c>
      <c r="M283">
        <v>17</v>
      </c>
      <c r="N283">
        <v>56.328326699999998</v>
      </c>
      <c r="P283">
        <v>17</v>
      </c>
      <c r="Q283">
        <v>52.753819419354841</v>
      </c>
      <c r="S283">
        <v>17</v>
      </c>
      <c r="T283">
        <v>54.666085333333328</v>
      </c>
      <c r="V283">
        <v>17</v>
      </c>
      <c r="W283">
        <v>71.241242580645164</v>
      </c>
      <c r="Y283">
        <v>17</v>
      </c>
      <c r="Z283">
        <v>68.545400741935495</v>
      </c>
      <c r="AB283">
        <v>17</v>
      </c>
      <c r="AC283">
        <v>57.362319466666662</v>
      </c>
      <c r="AE283">
        <v>17</v>
      </c>
      <c r="AF283">
        <v>54.539739032258055</v>
      </c>
      <c r="AH283">
        <v>17</v>
      </c>
      <c r="AI283">
        <v>60.43616433333333</v>
      </c>
      <c r="AK283">
        <v>17</v>
      </c>
      <c r="AL283">
        <v>72.183333580645154</v>
      </c>
    </row>
    <row r="284" spans="1:38">
      <c r="A284">
        <v>18</v>
      </c>
      <c r="B284">
        <v>65.426119964480918</v>
      </c>
      <c r="D284">
        <v>18</v>
      </c>
      <c r="E284">
        <v>101.71524893548387</v>
      </c>
      <c r="G284">
        <v>18</v>
      </c>
      <c r="H284">
        <v>79.047072103448286</v>
      </c>
      <c r="J284">
        <v>18</v>
      </c>
      <c r="K284">
        <v>60.727739483870963</v>
      </c>
      <c r="M284">
        <v>18</v>
      </c>
      <c r="N284">
        <v>56.24862743333334</v>
      </c>
      <c r="P284">
        <v>18</v>
      </c>
      <c r="Q284">
        <v>51.232659774193536</v>
      </c>
      <c r="S284">
        <v>18</v>
      </c>
      <c r="T284">
        <v>52.555229266666665</v>
      </c>
      <c r="V284">
        <v>18</v>
      </c>
      <c r="W284">
        <v>69.729691677419368</v>
      </c>
      <c r="Y284">
        <v>18</v>
      </c>
      <c r="Z284">
        <v>66.101402322580654</v>
      </c>
      <c r="AB284">
        <v>18</v>
      </c>
      <c r="AC284">
        <v>56.742394499999996</v>
      </c>
      <c r="AE284">
        <v>18</v>
      </c>
      <c r="AF284">
        <v>58.198111354838701</v>
      </c>
      <c r="AH284">
        <v>18</v>
      </c>
      <c r="AI284">
        <v>60.10717003333334</v>
      </c>
      <c r="AK284">
        <v>18</v>
      </c>
      <c r="AL284">
        <v>72.423926419354842</v>
      </c>
    </row>
    <row r="285" spans="1:38">
      <c r="A285">
        <v>19</v>
      </c>
      <c r="B285">
        <v>64.593076874316964</v>
      </c>
      <c r="D285">
        <v>19</v>
      </c>
      <c r="E285">
        <v>98.37761912903224</v>
      </c>
      <c r="G285">
        <v>19</v>
      </c>
      <c r="H285">
        <v>77.972562137931035</v>
      </c>
      <c r="J285">
        <v>19</v>
      </c>
      <c r="K285">
        <v>62.963648645161285</v>
      </c>
      <c r="M285">
        <v>19</v>
      </c>
      <c r="N285">
        <v>58.892880233333322</v>
      </c>
      <c r="P285">
        <v>19</v>
      </c>
      <c r="Q285">
        <v>50.87091751612904</v>
      </c>
      <c r="S285">
        <v>19</v>
      </c>
      <c r="T285">
        <v>52.333803199999998</v>
      </c>
      <c r="V285">
        <v>19</v>
      </c>
      <c r="W285">
        <v>67.126013935483883</v>
      </c>
      <c r="Y285">
        <v>19</v>
      </c>
      <c r="Z285">
        <v>63.476676709677413</v>
      </c>
      <c r="AB285">
        <v>19</v>
      </c>
      <c r="AC285">
        <v>57.806205300000002</v>
      </c>
      <c r="AE285">
        <v>19</v>
      </c>
      <c r="AF285">
        <v>58.488481064516137</v>
      </c>
      <c r="AH285">
        <v>19</v>
      </c>
      <c r="AI285">
        <v>58.216373466666667</v>
      </c>
      <c r="AK285">
        <v>19</v>
      </c>
      <c r="AL285">
        <v>68.450964548387105</v>
      </c>
    </row>
    <row r="286" spans="1:38">
      <c r="A286">
        <v>20</v>
      </c>
      <c r="B286">
        <v>63.175511680327816</v>
      </c>
      <c r="D286">
        <v>20</v>
      </c>
      <c r="E286">
        <v>91.751317387096762</v>
      </c>
      <c r="G286">
        <v>20</v>
      </c>
      <c r="H286">
        <v>76.567318689655167</v>
      </c>
      <c r="J286">
        <v>20</v>
      </c>
      <c r="K286">
        <v>60.685352645161295</v>
      </c>
      <c r="M286">
        <v>20</v>
      </c>
      <c r="N286">
        <v>61.746655799999985</v>
      </c>
      <c r="P286">
        <v>20</v>
      </c>
      <c r="Q286">
        <v>54.307846354838702</v>
      </c>
      <c r="S286">
        <v>20</v>
      </c>
      <c r="T286">
        <v>51.959488566666671</v>
      </c>
      <c r="V286">
        <v>20</v>
      </c>
      <c r="W286">
        <v>65.312668000000002</v>
      </c>
      <c r="Y286">
        <v>20</v>
      </c>
      <c r="Z286">
        <v>63.370355483870981</v>
      </c>
      <c r="AB286">
        <v>20</v>
      </c>
      <c r="AC286">
        <v>57.451691499999995</v>
      </c>
      <c r="AE286">
        <v>20</v>
      </c>
      <c r="AF286">
        <v>56.375154419354828</v>
      </c>
      <c r="AH286">
        <v>20</v>
      </c>
      <c r="AI286">
        <v>54.046569233333337</v>
      </c>
      <c r="AK286">
        <v>20</v>
      </c>
      <c r="AL286">
        <v>64.508688935483875</v>
      </c>
    </row>
    <row r="287" spans="1:38">
      <c r="A287">
        <v>21</v>
      </c>
      <c r="B287">
        <v>59.79836361475413</v>
      </c>
      <c r="D287">
        <v>21</v>
      </c>
      <c r="E287">
        <v>86.66570674193548</v>
      </c>
      <c r="G287">
        <v>21</v>
      </c>
      <c r="H287">
        <v>70.676876103448279</v>
      </c>
      <c r="J287">
        <v>21</v>
      </c>
      <c r="K287">
        <v>56.215945999999988</v>
      </c>
      <c r="M287">
        <v>21</v>
      </c>
      <c r="N287">
        <v>57.480481166666657</v>
      </c>
      <c r="P287">
        <v>21</v>
      </c>
      <c r="Q287">
        <v>55.28356545161293</v>
      </c>
      <c r="S287">
        <v>21</v>
      </c>
      <c r="T287">
        <v>53.050004199999989</v>
      </c>
      <c r="V287">
        <v>21</v>
      </c>
      <c r="W287">
        <v>63.6852077419355</v>
      </c>
      <c r="Y287">
        <v>21</v>
      </c>
      <c r="Z287">
        <v>60.030208129032246</v>
      </c>
      <c r="AB287">
        <v>21</v>
      </c>
      <c r="AC287">
        <v>53.165309433333327</v>
      </c>
      <c r="AE287">
        <v>21</v>
      </c>
      <c r="AF287">
        <v>52.081295967741937</v>
      </c>
      <c r="AH287">
        <v>21</v>
      </c>
      <c r="AI287">
        <v>49.610563966666675</v>
      </c>
      <c r="AK287">
        <v>21</v>
      </c>
      <c r="AL287">
        <v>59.501970387096762</v>
      </c>
    </row>
    <row r="288" spans="1:38">
      <c r="A288">
        <v>22</v>
      </c>
      <c r="B288">
        <v>55.388799505464533</v>
      </c>
      <c r="D288">
        <v>22</v>
      </c>
      <c r="E288">
        <v>82.29488725806452</v>
      </c>
      <c r="G288">
        <v>22</v>
      </c>
      <c r="H288">
        <v>67.274368482758618</v>
      </c>
      <c r="J288">
        <v>22</v>
      </c>
      <c r="K288">
        <v>52.143268677419371</v>
      </c>
      <c r="M288">
        <v>22</v>
      </c>
      <c r="N288">
        <v>52.06093409999999</v>
      </c>
      <c r="P288">
        <v>22</v>
      </c>
      <c r="Q288">
        <v>52.04639741935484</v>
      </c>
      <c r="S288">
        <v>22</v>
      </c>
      <c r="T288">
        <v>48.512637300000002</v>
      </c>
      <c r="V288">
        <v>22</v>
      </c>
      <c r="W288">
        <v>56.567946935483853</v>
      </c>
      <c r="Y288">
        <v>22</v>
      </c>
      <c r="Z288">
        <v>51.087904967741935</v>
      </c>
      <c r="AB288">
        <v>22</v>
      </c>
      <c r="AC288">
        <v>48.727032766666667</v>
      </c>
      <c r="AE288">
        <v>22</v>
      </c>
      <c r="AF288">
        <v>49.198434419354832</v>
      </c>
      <c r="AH288">
        <v>22</v>
      </c>
      <c r="AI288">
        <v>47.371355499999986</v>
      </c>
      <c r="AK288">
        <v>22</v>
      </c>
      <c r="AL288">
        <v>57.344552032258065</v>
      </c>
    </row>
    <row r="289" spans="1:38">
      <c r="A289">
        <v>23</v>
      </c>
      <c r="B289">
        <v>51.191775002732243</v>
      </c>
      <c r="D289">
        <v>23</v>
      </c>
      <c r="E289">
        <v>75.613174774193538</v>
      </c>
      <c r="G289">
        <v>23</v>
      </c>
      <c r="H289">
        <v>65.871957068965514</v>
      </c>
      <c r="J289">
        <v>23</v>
      </c>
      <c r="K289">
        <v>48.76452013333332</v>
      </c>
      <c r="M289">
        <v>23</v>
      </c>
      <c r="N289">
        <v>48.565077466666672</v>
      </c>
      <c r="P289">
        <v>23</v>
      </c>
      <c r="Q289">
        <v>46.935140741935498</v>
      </c>
      <c r="S289">
        <v>23</v>
      </c>
      <c r="T289">
        <v>44.069523333333336</v>
      </c>
      <c r="V289">
        <v>23</v>
      </c>
      <c r="W289">
        <v>49.809517419354854</v>
      </c>
      <c r="Y289">
        <v>23</v>
      </c>
      <c r="Z289">
        <v>46.565147612903225</v>
      </c>
      <c r="AB289">
        <v>23</v>
      </c>
      <c r="AC289">
        <v>43.20352106666666</v>
      </c>
      <c r="AE289">
        <v>23</v>
      </c>
      <c r="AF289">
        <v>44.290231419354832</v>
      </c>
      <c r="AH289">
        <v>23</v>
      </c>
      <c r="AI289">
        <v>45.588396516129038</v>
      </c>
      <c r="AK289">
        <v>23</v>
      </c>
      <c r="AL289">
        <v>55.321734612903228</v>
      </c>
    </row>
    <row r="290" spans="1:38">
      <c r="A290" t="s">
        <v>328</v>
      </c>
      <c r="B290">
        <v>55.891115266734971</v>
      </c>
      <c r="D290" t="s">
        <v>328</v>
      </c>
      <c r="E290">
        <v>83.483984557795694</v>
      </c>
      <c r="G290" t="s">
        <v>328</v>
      </c>
      <c r="H290">
        <v>68.642331668103438</v>
      </c>
      <c r="J290" t="s">
        <v>328</v>
      </c>
      <c r="K290">
        <v>53.262575869802873</v>
      </c>
      <c r="M290" t="s">
        <v>328</v>
      </c>
      <c r="N290">
        <v>51.960204897222219</v>
      </c>
      <c r="P290" t="s">
        <v>328</v>
      </c>
      <c r="Q290">
        <v>48.771635668010759</v>
      </c>
      <c r="S290" t="s">
        <v>328</v>
      </c>
      <c r="T290">
        <v>47.418858131944454</v>
      </c>
      <c r="V290" t="s">
        <v>328</v>
      </c>
      <c r="W290">
        <v>56.97673950940861</v>
      </c>
      <c r="Y290" t="s">
        <v>328</v>
      </c>
      <c r="Z290">
        <v>54.746839466397851</v>
      </c>
      <c r="AB290" t="s">
        <v>328</v>
      </c>
      <c r="AC290">
        <v>48.713593568055558</v>
      </c>
      <c r="AE290" t="s">
        <v>328</v>
      </c>
      <c r="AF290">
        <v>48.555780599462359</v>
      </c>
      <c r="AH290" t="s">
        <v>328</v>
      </c>
      <c r="AI290">
        <v>49.235449159005363</v>
      </c>
      <c r="AK290" t="s">
        <v>328</v>
      </c>
      <c r="AL290">
        <v>58.905984169354817</v>
      </c>
    </row>
    <row r="293" spans="1:38">
      <c r="A293" s="94">
        <v>2025</v>
      </c>
      <c r="B293" s="99" t="s">
        <v>325</v>
      </c>
      <c r="D293">
        <v>1</v>
      </c>
      <c r="E293" s="99" t="s">
        <v>316</v>
      </c>
      <c r="G293">
        <v>2</v>
      </c>
      <c r="H293" s="99" t="s">
        <v>316</v>
      </c>
      <c r="J293">
        <v>3</v>
      </c>
      <c r="K293" s="99" t="s">
        <v>316</v>
      </c>
      <c r="M293">
        <v>4</v>
      </c>
      <c r="N293" s="99" t="s">
        <v>316</v>
      </c>
      <c r="P293">
        <v>5</v>
      </c>
      <c r="Q293" s="99" t="s">
        <v>316</v>
      </c>
      <c r="S293">
        <v>6</v>
      </c>
      <c r="T293" s="99" t="s">
        <v>316</v>
      </c>
      <c r="V293">
        <v>7</v>
      </c>
      <c r="W293" s="99" t="s">
        <v>316</v>
      </c>
      <c r="Y293">
        <v>8</v>
      </c>
      <c r="Z293" s="99" t="s">
        <v>316</v>
      </c>
      <c r="AB293">
        <v>9</v>
      </c>
      <c r="AC293" s="99" t="s">
        <v>316</v>
      </c>
      <c r="AE293">
        <v>10</v>
      </c>
      <c r="AF293" s="99" t="s">
        <v>316</v>
      </c>
      <c r="AH293">
        <v>11</v>
      </c>
      <c r="AI293" s="99" t="s">
        <v>316</v>
      </c>
      <c r="AK293">
        <v>12</v>
      </c>
      <c r="AL293" s="99" t="s">
        <v>316</v>
      </c>
    </row>
    <row r="294" spans="1:38">
      <c r="A294" s="94" t="s">
        <v>308</v>
      </c>
      <c r="B294" s="58">
        <v>8760</v>
      </c>
      <c r="D294" s="94" t="s">
        <v>397</v>
      </c>
      <c r="E294" s="58">
        <v>744</v>
      </c>
      <c r="G294" s="94" t="s">
        <v>398</v>
      </c>
      <c r="H294" s="58">
        <v>672</v>
      </c>
      <c r="J294" s="94" t="s">
        <v>399</v>
      </c>
      <c r="K294" s="58">
        <v>743</v>
      </c>
      <c r="M294" s="94" t="s">
        <v>400</v>
      </c>
      <c r="N294" s="58">
        <v>720</v>
      </c>
      <c r="P294" s="94" t="s">
        <v>401</v>
      </c>
      <c r="Q294" s="58">
        <v>744</v>
      </c>
      <c r="S294" s="94" t="s">
        <v>402</v>
      </c>
      <c r="T294" s="58">
        <v>720</v>
      </c>
      <c r="V294" s="94" t="s">
        <v>403</v>
      </c>
      <c r="W294" s="58">
        <v>744</v>
      </c>
      <c r="Y294" s="94" t="s">
        <v>404</v>
      </c>
      <c r="Z294" s="58">
        <v>744</v>
      </c>
      <c r="AB294" s="94" t="s">
        <v>405</v>
      </c>
      <c r="AC294" s="58">
        <v>720</v>
      </c>
      <c r="AE294" s="94" t="s">
        <v>406</v>
      </c>
      <c r="AF294" s="58">
        <v>744</v>
      </c>
      <c r="AH294" s="94" t="s">
        <v>407</v>
      </c>
      <c r="AI294" s="58">
        <v>721</v>
      </c>
      <c r="AK294" s="94" t="s">
        <v>408</v>
      </c>
      <c r="AL294" s="58">
        <v>744</v>
      </c>
    </row>
    <row r="295" spans="1:38">
      <c r="A295" s="94" t="s">
        <v>326</v>
      </c>
      <c r="B295" s="58">
        <v>0</v>
      </c>
      <c r="D295" s="94" t="s">
        <v>326</v>
      </c>
      <c r="E295" s="58">
        <v>0</v>
      </c>
      <c r="G295" s="94" t="s">
        <v>326</v>
      </c>
      <c r="H295" s="58">
        <v>744</v>
      </c>
      <c r="J295" s="94" t="s">
        <v>326</v>
      </c>
      <c r="K295" s="58">
        <v>1416</v>
      </c>
      <c r="M295" s="94" t="s">
        <v>326</v>
      </c>
      <c r="N295" s="58">
        <v>2159</v>
      </c>
      <c r="P295" s="94" t="s">
        <v>326</v>
      </c>
      <c r="Q295" s="58">
        <v>2879</v>
      </c>
      <c r="S295" s="94" t="s">
        <v>326</v>
      </c>
      <c r="T295" s="58">
        <v>3623</v>
      </c>
      <c r="V295" s="94" t="s">
        <v>326</v>
      </c>
      <c r="W295" s="58">
        <v>4343</v>
      </c>
      <c r="Y295" s="94" t="s">
        <v>326</v>
      </c>
      <c r="Z295" s="58">
        <v>5087</v>
      </c>
      <c r="AB295" s="94" t="s">
        <v>326</v>
      </c>
      <c r="AC295" s="58">
        <v>5831</v>
      </c>
      <c r="AE295" s="94" t="s">
        <v>326</v>
      </c>
      <c r="AF295" s="58">
        <v>6551</v>
      </c>
      <c r="AH295" s="94" t="s">
        <v>326</v>
      </c>
      <c r="AI295" s="58">
        <v>7295</v>
      </c>
      <c r="AK295" s="94" t="s">
        <v>326</v>
      </c>
      <c r="AL295" s="58">
        <v>8016</v>
      </c>
    </row>
    <row r="296" spans="1:38">
      <c r="A296" s="94" t="s">
        <v>327</v>
      </c>
      <c r="B296" s="58">
        <v>8760</v>
      </c>
      <c r="D296" s="94" t="s">
        <v>327</v>
      </c>
      <c r="E296" s="58">
        <v>744</v>
      </c>
      <c r="G296" s="94" t="s">
        <v>327</v>
      </c>
      <c r="H296" s="58">
        <v>1416</v>
      </c>
      <c r="J296" s="94" t="s">
        <v>327</v>
      </c>
      <c r="K296" s="58">
        <v>2159</v>
      </c>
      <c r="M296" s="94" t="s">
        <v>327</v>
      </c>
      <c r="N296" s="58">
        <v>2879</v>
      </c>
      <c r="P296" s="94" t="s">
        <v>327</v>
      </c>
      <c r="Q296" s="58">
        <v>3623</v>
      </c>
      <c r="S296" s="94" t="s">
        <v>327</v>
      </c>
      <c r="T296" s="58">
        <v>4343</v>
      </c>
      <c r="V296" s="94" t="s">
        <v>327</v>
      </c>
      <c r="W296" s="58">
        <v>5087</v>
      </c>
      <c r="Y296" s="94" t="s">
        <v>327</v>
      </c>
      <c r="Z296" s="58">
        <v>5831</v>
      </c>
      <c r="AB296" s="94" t="s">
        <v>327</v>
      </c>
      <c r="AC296" s="58">
        <v>6551</v>
      </c>
      <c r="AE296" s="94" t="s">
        <v>327</v>
      </c>
      <c r="AF296" s="58">
        <v>7295</v>
      </c>
      <c r="AH296" s="94" t="s">
        <v>327</v>
      </c>
      <c r="AI296" s="58">
        <v>8016</v>
      </c>
      <c r="AK296" s="94" t="s">
        <v>327</v>
      </c>
      <c r="AL296" s="58">
        <v>8760</v>
      </c>
    </row>
    <row r="297" spans="1:38">
      <c r="A297" t="s">
        <v>293</v>
      </c>
      <c r="B297" s="16" t="s">
        <v>294</v>
      </c>
      <c r="D297" t="s">
        <v>293</v>
      </c>
      <c r="E297" s="16" t="s">
        <v>294</v>
      </c>
      <c r="G297" t="s">
        <v>293</v>
      </c>
      <c r="H297" s="16" t="s">
        <v>294</v>
      </c>
      <c r="J297" t="s">
        <v>293</v>
      </c>
      <c r="K297" s="16" t="s">
        <v>294</v>
      </c>
      <c r="M297" t="s">
        <v>293</v>
      </c>
      <c r="N297" s="16" t="s">
        <v>294</v>
      </c>
      <c r="P297" t="s">
        <v>293</v>
      </c>
      <c r="Q297" s="16" t="s">
        <v>294</v>
      </c>
      <c r="S297" t="s">
        <v>293</v>
      </c>
      <c r="T297" s="16" t="s">
        <v>294</v>
      </c>
      <c r="V297" t="s">
        <v>293</v>
      </c>
      <c r="W297" s="16" t="s">
        <v>294</v>
      </c>
      <c r="Y297" t="s">
        <v>293</v>
      </c>
      <c r="Z297" s="16" t="s">
        <v>294</v>
      </c>
      <c r="AB297" t="s">
        <v>293</v>
      </c>
      <c r="AC297" s="16" t="s">
        <v>294</v>
      </c>
      <c r="AE297" t="s">
        <v>293</v>
      </c>
      <c r="AF297" s="16" t="s">
        <v>294</v>
      </c>
      <c r="AH297" t="s">
        <v>293</v>
      </c>
      <c r="AI297" s="16" t="s">
        <v>294</v>
      </c>
      <c r="AK297" t="s">
        <v>293</v>
      </c>
      <c r="AL297" s="16" t="s">
        <v>294</v>
      </c>
    </row>
    <row r="298" spans="1:38">
      <c r="A298">
        <v>0</v>
      </c>
      <c r="B298">
        <v>49.989935915068422</v>
      </c>
      <c r="D298">
        <v>0</v>
      </c>
      <c r="E298">
        <v>69.935913032258071</v>
      </c>
      <c r="G298">
        <v>0</v>
      </c>
      <c r="H298">
        <v>65.102824500000011</v>
      </c>
      <c r="J298">
        <v>0</v>
      </c>
      <c r="K298">
        <v>47.665815709677418</v>
      </c>
      <c r="M298">
        <v>0</v>
      </c>
      <c r="N298">
        <v>46.134013566666674</v>
      </c>
      <c r="P298">
        <v>0</v>
      </c>
      <c r="Q298">
        <v>44.324788129032243</v>
      </c>
      <c r="S298">
        <v>0</v>
      </c>
      <c r="T298">
        <v>43.326681399999991</v>
      </c>
      <c r="V298">
        <v>0</v>
      </c>
      <c r="W298">
        <v>47.355770806451616</v>
      </c>
      <c r="Y298">
        <v>0</v>
      </c>
      <c r="Z298">
        <v>46.301437999999997</v>
      </c>
      <c r="AB298">
        <v>0</v>
      </c>
      <c r="AC298">
        <v>43.17596116666666</v>
      </c>
      <c r="AE298">
        <v>0</v>
      </c>
      <c r="AF298">
        <v>43.960726258064518</v>
      </c>
      <c r="AH298">
        <v>0</v>
      </c>
      <c r="AI298">
        <v>45.245535433333337</v>
      </c>
      <c r="AK298">
        <v>0</v>
      </c>
      <c r="AL298">
        <v>58.100121483870957</v>
      </c>
    </row>
    <row r="299" spans="1:38">
      <c r="A299">
        <v>1</v>
      </c>
      <c r="B299">
        <v>47.954948731506896</v>
      </c>
      <c r="D299">
        <v>1</v>
      </c>
      <c r="E299">
        <v>70.249135806451605</v>
      </c>
      <c r="G299">
        <v>1</v>
      </c>
      <c r="H299">
        <v>63.899905535714275</v>
      </c>
      <c r="J299">
        <v>1</v>
      </c>
      <c r="K299">
        <v>45.944216548387075</v>
      </c>
      <c r="M299">
        <v>1</v>
      </c>
      <c r="N299">
        <v>43.715047133333336</v>
      </c>
      <c r="P299">
        <v>1</v>
      </c>
      <c r="Q299">
        <v>41.767511774193551</v>
      </c>
      <c r="S299">
        <v>1</v>
      </c>
      <c r="T299">
        <v>41.341942899999999</v>
      </c>
      <c r="V299">
        <v>1</v>
      </c>
      <c r="W299">
        <v>44.564606387096774</v>
      </c>
      <c r="Y299">
        <v>1</v>
      </c>
      <c r="Z299">
        <v>43.71386709677418</v>
      </c>
      <c r="AB299">
        <v>1</v>
      </c>
      <c r="AC299">
        <v>40.344487800000003</v>
      </c>
      <c r="AE299">
        <v>1</v>
      </c>
      <c r="AF299">
        <v>41.010503290322575</v>
      </c>
      <c r="AH299">
        <v>1</v>
      </c>
      <c r="AI299">
        <v>42.391402500000005</v>
      </c>
      <c r="AK299">
        <v>1</v>
      </c>
      <c r="AL299">
        <v>57.284756580645158</v>
      </c>
    </row>
    <row r="300" spans="1:38">
      <c r="A300">
        <v>2</v>
      </c>
      <c r="B300">
        <v>46.698963079452064</v>
      </c>
      <c r="D300">
        <v>2</v>
      </c>
      <c r="E300">
        <v>70.784804645161302</v>
      </c>
      <c r="G300">
        <v>2</v>
      </c>
      <c r="H300">
        <v>62.855046392857147</v>
      </c>
      <c r="J300">
        <v>2</v>
      </c>
      <c r="K300">
        <v>44.839300064516131</v>
      </c>
      <c r="M300">
        <v>2</v>
      </c>
      <c r="N300">
        <v>42.54599473333333</v>
      </c>
      <c r="P300">
        <v>2</v>
      </c>
      <c r="Q300">
        <v>40.604870580645162</v>
      </c>
      <c r="S300">
        <v>2</v>
      </c>
      <c r="T300">
        <v>39.8120604</v>
      </c>
      <c r="V300">
        <v>2</v>
      </c>
      <c r="W300">
        <v>43.128646516129017</v>
      </c>
      <c r="Y300">
        <v>2</v>
      </c>
      <c r="Z300">
        <v>41.986946290322578</v>
      </c>
      <c r="AB300">
        <v>2</v>
      </c>
      <c r="AC300">
        <v>38.272802299999995</v>
      </c>
      <c r="AE300">
        <v>2</v>
      </c>
      <c r="AF300">
        <v>39.340976225806429</v>
      </c>
      <c r="AH300">
        <v>2</v>
      </c>
      <c r="AI300">
        <v>40.665847499999998</v>
      </c>
      <c r="AK300">
        <v>2</v>
      </c>
      <c r="AL300">
        <v>56.29120009677419</v>
      </c>
    </row>
    <row r="301" spans="1:38">
      <c r="A301">
        <v>3</v>
      </c>
      <c r="B301">
        <v>45.979371408219173</v>
      </c>
      <c r="D301">
        <v>3</v>
      </c>
      <c r="E301">
        <v>70.919867774193534</v>
      </c>
      <c r="G301">
        <v>3</v>
      </c>
      <c r="H301">
        <v>62.553080607142867</v>
      </c>
      <c r="J301">
        <v>3</v>
      </c>
      <c r="K301">
        <v>44.411265967741947</v>
      </c>
      <c r="M301">
        <v>3</v>
      </c>
      <c r="N301">
        <v>41.801265433333327</v>
      </c>
      <c r="P301">
        <v>3</v>
      </c>
      <c r="Q301">
        <v>40.066089258064522</v>
      </c>
      <c r="S301">
        <v>3</v>
      </c>
      <c r="T301">
        <v>38.918751399999998</v>
      </c>
      <c r="V301">
        <v>3</v>
      </c>
      <c r="W301">
        <v>41.851010032258067</v>
      </c>
      <c r="Y301">
        <v>3</v>
      </c>
      <c r="Z301">
        <v>40.621633870967749</v>
      </c>
      <c r="AB301">
        <v>3</v>
      </c>
      <c r="AC301">
        <v>37.181702666666666</v>
      </c>
      <c r="AE301">
        <v>3</v>
      </c>
      <c r="AF301">
        <v>38.039929870967747</v>
      </c>
      <c r="AH301">
        <v>3</v>
      </c>
      <c r="AI301">
        <v>40.445799600000001</v>
      </c>
      <c r="AK301">
        <v>3</v>
      </c>
      <c r="AL301">
        <v>55.721130129032247</v>
      </c>
    </row>
    <row r="302" spans="1:38">
      <c r="A302">
        <v>4</v>
      </c>
      <c r="B302">
        <v>46.506214520547964</v>
      </c>
      <c r="D302">
        <v>4</v>
      </c>
      <c r="E302">
        <v>72.407419032258062</v>
      </c>
      <c r="G302">
        <v>4</v>
      </c>
      <c r="H302">
        <v>63.810818392857144</v>
      </c>
      <c r="J302">
        <v>4</v>
      </c>
      <c r="K302">
        <v>45.359650838709683</v>
      </c>
      <c r="M302">
        <v>4</v>
      </c>
      <c r="N302">
        <v>42.284895600000006</v>
      </c>
      <c r="P302">
        <v>4</v>
      </c>
      <c r="Q302">
        <v>40.395207032258071</v>
      </c>
      <c r="S302">
        <v>4</v>
      </c>
      <c r="T302">
        <v>38.806941466666672</v>
      </c>
      <c r="V302">
        <v>4</v>
      </c>
      <c r="W302">
        <v>41.656313064516119</v>
      </c>
      <c r="Y302">
        <v>4</v>
      </c>
      <c r="Z302">
        <v>39.857105451612902</v>
      </c>
      <c r="AB302">
        <v>4</v>
      </c>
      <c r="AC302">
        <v>36.912383699999999</v>
      </c>
      <c r="AE302">
        <v>4</v>
      </c>
      <c r="AF302">
        <v>39.048286774193542</v>
      </c>
      <c r="AH302">
        <v>4</v>
      </c>
      <c r="AI302">
        <v>41.757925333333333</v>
      </c>
      <c r="AK302">
        <v>4</v>
      </c>
      <c r="AL302">
        <v>56.605082387096772</v>
      </c>
    </row>
    <row r="303" spans="1:38">
      <c r="A303">
        <v>5</v>
      </c>
      <c r="B303">
        <v>49.698768153424666</v>
      </c>
      <c r="D303">
        <v>5</v>
      </c>
      <c r="E303">
        <v>80.374778387096782</v>
      </c>
      <c r="G303">
        <v>5</v>
      </c>
      <c r="H303">
        <v>67.35997460714286</v>
      </c>
      <c r="J303">
        <v>5</v>
      </c>
      <c r="K303">
        <v>49.439143032258066</v>
      </c>
      <c r="M303">
        <v>5</v>
      </c>
      <c r="N303">
        <v>44.922194266666665</v>
      </c>
      <c r="P303">
        <v>5</v>
      </c>
      <c r="Q303">
        <v>43.051118967741942</v>
      </c>
      <c r="S303">
        <v>5</v>
      </c>
      <c r="T303">
        <v>39.730503200000008</v>
      </c>
      <c r="V303">
        <v>5</v>
      </c>
      <c r="W303">
        <v>42.592163032258071</v>
      </c>
      <c r="Y303">
        <v>5</v>
      </c>
      <c r="Z303">
        <v>40.974740064516112</v>
      </c>
      <c r="AB303">
        <v>5</v>
      </c>
      <c r="AC303">
        <v>39.85762969999999</v>
      </c>
      <c r="AE303">
        <v>5</v>
      </c>
      <c r="AF303">
        <v>43.903593258064518</v>
      </c>
      <c r="AH303">
        <v>5</v>
      </c>
      <c r="AI303">
        <v>45.914250199999984</v>
      </c>
      <c r="AK303">
        <v>5</v>
      </c>
      <c r="AL303">
        <v>59.059100870967754</v>
      </c>
    </row>
    <row r="304" spans="1:38">
      <c r="A304">
        <v>6</v>
      </c>
      <c r="B304">
        <v>54.558747073972562</v>
      </c>
      <c r="D304">
        <v>6</v>
      </c>
      <c r="E304">
        <v>93.400037516129046</v>
      </c>
      <c r="G304">
        <v>6</v>
      </c>
      <c r="H304">
        <v>73.561050249999994</v>
      </c>
      <c r="J304">
        <v>6</v>
      </c>
      <c r="K304">
        <v>54.126161709677426</v>
      </c>
      <c r="M304">
        <v>6</v>
      </c>
      <c r="N304">
        <v>49.7077952</v>
      </c>
      <c r="P304">
        <v>6</v>
      </c>
      <c r="Q304">
        <v>47.73965267741935</v>
      </c>
      <c r="S304">
        <v>6</v>
      </c>
      <c r="T304">
        <v>42.125383866666667</v>
      </c>
      <c r="V304">
        <v>6</v>
      </c>
      <c r="W304">
        <v>45.48583758064516</v>
      </c>
      <c r="Y304">
        <v>6</v>
      </c>
      <c r="Z304">
        <v>43.943039806451623</v>
      </c>
      <c r="AB304">
        <v>6</v>
      </c>
      <c r="AC304">
        <v>43.663479599999995</v>
      </c>
      <c r="AE304">
        <v>6</v>
      </c>
      <c r="AF304">
        <v>49.730598193548389</v>
      </c>
      <c r="AH304">
        <v>6</v>
      </c>
      <c r="AI304">
        <v>50.33001926666666</v>
      </c>
      <c r="AK304">
        <v>6</v>
      </c>
      <c r="AL304">
        <v>61.685412419354847</v>
      </c>
    </row>
    <row r="305" spans="1:38">
      <c r="A305">
        <v>7</v>
      </c>
      <c r="B305">
        <v>58.162664087671217</v>
      </c>
      <c r="D305">
        <v>7</v>
      </c>
      <c r="E305">
        <v>99.987632032258119</v>
      </c>
      <c r="G305">
        <v>7</v>
      </c>
      <c r="H305">
        <v>76.837541821428559</v>
      </c>
      <c r="J305">
        <v>7</v>
      </c>
      <c r="K305">
        <v>56.864096516129024</v>
      </c>
      <c r="M305">
        <v>7</v>
      </c>
      <c r="N305">
        <v>51.93464886666667</v>
      </c>
      <c r="P305">
        <v>7</v>
      </c>
      <c r="Q305">
        <v>51.002716612903221</v>
      </c>
      <c r="S305">
        <v>7</v>
      </c>
      <c r="T305">
        <v>45.155102800000002</v>
      </c>
      <c r="V305">
        <v>7</v>
      </c>
      <c r="W305">
        <v>49.211571903225803</v>
      </c>
      <c r="Y305">
        <v>7</v>
      </c>
      <c r="Z305">
        <v>48.055050967741927</v>
      </c>
      <c r="AB305">
        <v>7</v>
      </c>
      <c r="AC305">
        <v>47.698969033333327</v>
      </c>
      <c r="AE305">
        <v>7</v>
      </c>
      <c r="AF305">
        <v>54.200600225806454</v>
      </c>
      <c r="AH305">
        <v>7</v>
      </c>
      <c r="AI305">
        <v>53.202945200000002</v>
      </c>
      <c r="AK305">
        <v>7</v>
      </c>
      <c r="AL305">
        <v>64.490307354838691</v>
      </c>
    </row>
    <row r="306" spans="1:38">
      <c r="A306">
        <v>8</v>
      </c>
      <c r="B306">
        <v>59.392098810958878</v>
      </c>
      <c r="D306">
        <v>8</v>
      </c>
      <c r="E306">
        <v>97.837527838709704</v>
      </c>
      <c r="G306">
        <v>8</v>
      </c>
      <c r="H306">
        <v>76.775191428571432</v>
      </c>
      <c r="J306">
        <v>8</v>
      </c>
      <c r="K306">
        <v>58.084865064516123</v>
      </c>
      <c r="M306">
        <v>8</v>
      </c>
      <c r="N306">
        <v>54.255923466666665</v>
      </c>
      <c r="P306">
        <v>8</v>
      </c>
      <c r="Q306">
        <v>52.502132290322592</v>
      </c>
      <c r="S306">
        <v>8</v>
      </c>
      <c r="T306">
        <v>45.317251966666667</v>
      </c>
      <c r="V306">
        <v>8</v>
      </c>
      <c r="W306">
        <v>52.619973161290325</v>
      </c>
      <c r="Y306">
        <v>8</v>
      </c>
      <c r="Z306">
        <v>52.145859935483863</v>
      </c>
      <c r="AB306">
        <v>8</v>
      </c>
      <c r="AC306">
        <v>50.654289800000001</v>
      </c>
      <c r="AE306">
        <v>8</v>
      </c>
      <c r="AF306">
        <v>55.047251032258053</v>
      </c>
      <c r="AH306">
        <v>8</v>
      </c>
      <c r="AI306">
        <v>53.726593133333346</v>
      </c>
      <c r="AK306">
        <v>8</v>
      </c>
      <c r="AL306">
        <v>64.33622793548389</v>
      </c>
    </row>
    <row r="307" spans="1:38">
      <c r="A307">
        <v>9</v>
      </c>
      <c r="B307">
        <v>61.140220758904135</v>
      </c>
      <c r="D307">
        <v>9</v>
      </c>
      <c r="E307">
        <v>95.498312709677421</v>
      </c>
      <c r="G307">
        <v>9</v>
      </c>
      <c r="H307">
        <v>76.636987857142842</v>
      </c>
      <c r="J307">
        <v>9</v>
      </c>
      <c r="K307">
        <v>59.034438096774188</v>
      </c>
      <c r="M307">
        <v>9</v>
      </c>
      <c r="N307">
        <v>56.598873033333341</v>
      </c>
      <c r="P307">
        <v>9</v>
      </c>
      <c r="Q307">
        <v>54.559740354838731</v>
      </c>
      <c r="S307">
        <v>9</v>
      </c>
      <c r="T307">
        <v>47.656463466666665</v>
      </c>
      <c r="V307">
        <v>9</v>
      </c>
      <c r="W307">
        <v>57.324519548387094</v>
      </c>
      <c r="Y307">
        <v>9</v>
      </c>
      <c r="Z307">
        <v>57.303810935483867</v>
      </c>
      <c r="AB307">
        <v>9</v>
      </c>
      <c r="AC307">
        <v>53.877423066666665</v>
      </c>
      <c r="AE307">
        <v>9</v>
      </c>
      <c r="AF307">
        <v>56.622229258064536</v>
      </c>
      <c r="AH307">
        <v>9</v>
      </c>
      <c r="AI307">
        <v>54.922583566666667</v>
      </c>
      <c r="AK307">
        <v>9</v>
      </c>
      <c r="AL307">
        <v>64.130646612903234</v>
      </c>
    </row>
    <row r="308" spans="1:38">
      <c r="A308">
        <v>10</v>
      </c>
      <c r="B308">
        <v>62.617226868493184</v>
      </c>
      <c r="D308">
        <v>10</v>
      </c>
      <c r="E308">
        <v>95.627787161290314</v>
      </c>
      <c r="G308">
        <v>10</v>
      </c>
      <c r="H308">
        <v>75.461908428571419</v>
      </c>
      <c r="J308">
        <v>10</v>
      </c>
      <c r="K308">
        <v>59.561947387096758</v>
      </c>
      <c r="M308">
        <v>10</v>
      </c>
      <c r="N308">
        <v>58.136493600000001</v>
      </c>
      <c r="P308">
        <v>10</v>
      </c>
      <c r="Q308">
        <v>55.706230290322587</v>
      </c>
      <c r="S308">
        <v>10</v>
      </c>
      <c r="T308">
        <v>49.392690733333332</v>
      </c>
      <c r="V308">
        <v>10</v>
      </c>
      <c r="W308">
        <v>62.382328193548396</v>
      </c>
      <c r="Y308">
        <v>10</v>
      </c>
      <c r="Z308">
        <v>61.952224096774188</v>
      </c>
      <c r="AB308">
        <v>10</v>
      </c>
      <c r="AC308">
        <v>56.727748166666672</v>
      </c>
      <c r="AE308">
        <v>10</v>
      </c>
      <c r="AF308">
        <v>57.677752096774192</v>
      </c>
      <c r="AH308">
        <v>10</v>
      </c>
      <c r="AI308">
        <v>55.426018600000006</v>
      </c>
      <c r="AK308">
        <v>10</v>
      </c>
      <c r="AL308">
        <v>63.603532000000008</v>
      </c>
    </row>
    <row r="309" spans="1:38">
      <c r="A309">
        <v>11</v>
      </c>
      <c r="B309">
        <v>62.803923956164375</v>
      </c>
      <c r="D309">
        <v>11</v>
      </c>
      <c r="E309">
        <v>91.97724667741933</v>
      </c>
      <c r="G309">
        <v>11</v>
      </c>
      <c r="H309">
        <v>73.077182500000006</v>
      </c>
      <c r="J309">
        <v>11</v>
      </c>
      <c r="K309">
        <v>58.716020322580633</v>
      </c>
      <c r="M309">
        <v>11</v>
      </c>
      <c r="N309">
        <v>58.564320299999991</v>
      </c>
      <c r="P309">
        <v>11</v>
      </c>
      <c r="Q309">
        <v>55.104282419354853</v>
      </c>
      <c r="S309">
        <v>11</v>
      </c>
      <c r="T309">
        <v>51.100508599999998</v>
      </c>
      <c r="V309">
        <v>11</v>
      </c>
      <c r="W309">
        <v>66.100683064516119</v>
      </c>
      <c r="Y309">
        <v>11</v>
      </c>
      <c r="Z309">
        <v>65.213162612903218</v>
      </c>
      <c r="AB309">
        <v>11</v>
      </c>
      <c r="AC309">
        <v>58.387969166666657</v>
      </c>
      <c r="AE309">
        <v>11</v>
      </c>
      <c r="AF309">
        <v>57.876410870967739</v>
      </c>
      <c r="AH309">
        <v>11</v>
      </c>
      <c r="AI309">
        <v>55.171380966666668</v>
      </c>
      <c r="AK309">
        <v>11</v>
      </c>
      <c r="AL309">
        <v>62.449154129032237</v>
      </c>
    </row>
    <row r="310" spans="1:38">
      <c r="A310">
        <v>12</v>
      </c>
      <c r="B310">
        <v>62.229290254794563</v>
      </c>
      <c r="D310">
        <v>12</v>
      </c>
      <c r="E310">
        <v>87.943811258064528</v>
      </c>
      <c r="G310">
        <v>12</v>
      </c>
      <c r="H310">
        <v>70.396084285714281</v>
      </c>
      <c r="J310">
        <v>12</v>
      </c>
      <c r="K310">
        <v>57.233640774193546</v>
      </c>
      <c r="M310">
        <v>12</v>
      </c>
      <c r="N310">
        <v>57.925660366666683</v>
      </c>
      <c r="P310">
        <v>12</v>
      </c>
      <c r="Q310">
        <v>54.352691129032273</v>
      </c>
      <c r="S310">
        <v>12</v>
      </c>
      <c r="T310">
        <v>51.666433133333335</v>
      </c>
      <c r="V310">
        <v>12</v>
      </c>
      <c r="W310">
        <v>68.555652870967734</v>
      </c>
      <c r="Y310">
        <v>12</v>
      </c>
      <c r="Z310">
        <v>66.576125096774206</v>
      </c>
      <c r="AB310">
        <v>12</v>
      </c>
      <c r="AC310">
        <v>59.072964633333335</v>
      </c>
      <c r="AE310">
        <v>12</v>
      </c>
      <c r="AF310">
        <v>57.410863387096768</v>
      </c>
      <c r="AH310">
        <v>12</v>
      </c>
      <c r="AI310">
        <v>54.195852233333333</v>
      </c>
      <c r="AK310">
        <v>12</v>
      </c>
      <c r="AL310">
        <v>61.371514580645169</v>
      </c>
    </row>
    <row r="311" spans="1:38">
      <c r="A311">
        <v>13</v>
      </c>
      <c r="B311">
        <v>62.004049682191805</v>
      </c>
      <c r="D311">
        <v>13</v>
      </c>
      <c r="E311">
        <v>85.541797967741928</v>
      </c>
      <c r="G311">
        <v>13</v>
      </c>
      <c r="H311">
        <v>68.910678285714269</v>
      </c>
      <c r="J311">
        <v>13</v>
      </c>
      <c r="K311">
        <v>55.754382709677422</v>
      </c>
      <c r="M311">
        <v>13</v>
      </c>
      <c r="N311">
        <v>57.451164133333336</v>
      </c>
      <c r="P311">
        <v>13</v>
      </c>
      <c r="Q311">
        <v>54.034004516129023</v>
      </c>
      <c r="S311">
        <v>13</v>
      </c>
      <c r="T311">
        <v>52.934855633333335</v>
      </c>
      <c r="V311">
        <v>13</v>
      </c>
      <c r="W311">
        <v>70.231606645161307</v>
      </c>
      <c r="Y311">
        <v>13</v>
      </c>
      <c r="Z311">
        <v>68.593773387096803</v>
      </c>
      <c r="AB311">
        <v>13</v>
      </c>
      <c r="AC311">
        <v>59.071120066666666</v>
      </c>
      <c r="AE311">
        <v>13</v>
      </c>
      <c r="AF311">
        <v>57.149173064516134</v>
      </c>
      <c r="AH311">
        <v>13</v>
      </c>
      <c r="AI311">
        <v>53.571030733333338</v>
      </c>
      <c r="AK311">
        <v>13</v>
      </c>
      <c r="AL311">
        <v>60.667327032258065</v>
      </c>
    </row>
    <row r="312" spans="1:38">
      <c r="A312">
        <v>14</v>
      </c>
      <c r="B312">
        <v>61.334476249315095</v>
      </c>
      <c r="D312">
        <v>14</v>
      </c>
      <c r="E312">
        <v>83.548978967741945</v>
      </c>
      <c r="G312">
        <v>14</v>
      </c>
      <c r="H312">
        <v>67.608031857142876</v>
      </c>
      <c r="J312">
        <v>14</v>
      </c>
      <c r="K312">
        <v>54.036920806451619</v>
      </c>
      <c r="M312">
        <v>14</v>
      </c>
      <c r="N312">
        <v>56.218801266666674</v>
      </c>
      <c r="P312">
        <v>14</v>
      </c>
      <c r="Q312">
        <v>52.503672258064519</v>
      </c>
      <c r="S312">
        <v>14</v>
      </c>
      <c r="T312">
        <v>53.105058133333337</v>
      </c>
      <c r="V312">
        <v>14</v>
      </c>
      <c r="W312">
        <v>71.338110999999998</v>
      </c>
      <c r="Y312">
        <v>14</v>
      </c>
      <c r="Z312">
        <v>70.582642741935487</v>
      </c>
      <c r="AB312">
        <v>14</v>
      </c>
      <c r="AC312">
        <v>57.845035299999992</v>
      </c>
      <c r="AE312">
        <v>14</v>
      </c>
      <c r="AF312">
        <v>56.677301322580668</v>
      </c>
      <c r="AH312">
        <v>14</v>
      </c>
      <c r="AI312">
        <v>52.644537233333317</v>
      </c>
      <c r="AK312">
        <v>14</v>
      </c>
      <c r="AL312">
        <v>59.688372290322583</v>
      </c>
    </row>
    <row r="313" spans="1:38">
      <c r="A313">
        <v>15</v>
      </c>
      <c r="B313">
        <v>61.308942243835652</v>
      </c>
      <c r="D313">
        <v>15</v>
      </c>
      <c r="E313">
        <v>85.725901258064525</v>
      </c>
      <c r="G313">
        <v>15</v>
      </c>
      <c r="H313">
        <v>67.647206249999982</v>
      </c>
      <c r="J313">
        <v>15</v>
      </c>
      <c r="K313">
        <v>53.576056580645172</v>
      </c>
      <c r="M313">
        <v>15</v>
      </c>
      <c r="N313">
        <v>55.039190099999992</v>
      </c>
      <c r="P313">
        <v>15</v>
      </c>
      <c r="Q313">
        <v>50.855964709677437</v>
      </c>
      <c r="S313">
        <v>15</v>
      </c>
      <c r="T313">
        <v>52.823833666666673</v>
      </c>
      <c r="V313">
        <v>15</v>
      </c>
      <c r="W313">
        <v>71.746091387096769</v>
      </c>
      <c r="Y313">
        <v>15</v>
      </c>
      <c r="Z313">
        <v>71.647439935483888</v>
      </c>
      <c r="AB313">
        <v>15</v>
      </c>
      <c r="AC313">
        <v>57.199427699999994</v>
      </c>
      <c r="AE313">
        <v>15</v>
      </c>
      <c r="AF313">
        <v>55.871855580645168</v>
      </c>
      <c r="AH313">
        <v>15</v>
      </c>
      <c r="AI313">
        <v>52.631721400000011</v>
      </c>
      <c r="AK313">
        <v>15</v>
      </c>
      <c r="AL313">
        <v>60.667560161290311</v>
      </c>
    </row>
    <row r="314" spans="1:38">
      <c r="A314">
        <v>16</v>
      </c>
      <c r="B314">
        <v>63.510856728767116</v>
      </c>
      <c r="D314">
        <v>16</v>
      </c>
      <c r="E314">
        <v>91.018892870967747</v>
      </c>
      <c r="G314">
        <v>16</v>
      </c>
      <c r="H314">
        <v>69.530239392857141</v>
      </c>
      <c r="J314">
        <v>16</v>
      </c>
      <c r="K314">
        <v>54.268582580645166</v>
      </c>
      <c r="M314">
        <v>16</v>
      </c>
      <c r="N314">
        <v>55.644617400000008</v>
      </c>
      <c r="P314">
        <v>16</v>
      </c>
      <c r="Q314">
        <v>51.534197870967738</v>
      </c>
      <c r="S314">
        <v>16</v>
      </c>
      <c r="T314">
        <v>53.486946500000009</v>
      </c>
      <c r="V314">
        <v>16</v>
      </c>
      <c r="W314">
        <v>73.313139516129041</v>
      </c>
      <c r="Y314">
        <v>16</v>
      </c>
      <c r="Z314">
        <v>73.671340838709668</v>
      </c>
      <c r="AB314">
        <v>16</v>
      </c>
      <c r="AC314">
        <v>58.978379599999997</v>
      </c>
      <c r="AE314">
        <v>16</v>
      </c>
      <c r="AF314">
        <v>56.449042677419364</v>
      </c>
      <c r="AH314">
        <v>16</v>
      </c>
      <c r="AI314">
        <v>57.209777133333326</v>
      </c>
      <c r="AK314">
        <v>16</v>
      </c>
      <c r="AL314">
        <v>66.681074096774168</v>
      </c>
    </row>
    <row r="315" spans="1:38">
      <c r="A315">
        <v>17</v>
      </c>
      <c r="B315">
        <v>67.3101512054794</v>
      </c>
      <c r="D315">
        <v>17</v>
      </c>
      <c r="E315">
        <v>104.12232393548388</v>
      </c>
      <c r="G315">
        <v>17</v>
      </c>
      <c r="H315">
        <v>75.106065535714293</v>
      </c>
      <c r="J315">
        <v>17</v>
      </c>
      <c r="K315">
        <v>57.054436741935483</v>
      </c>
      <c r="M315">
        <v>17</v>
      </c>
      <c r="N315">
        <v>56.296411599999992</v>
      </c>
      <c r="P315">
        <v>17</v>
      </c>
      <c r="Q315">
        <v>52.816634290322583</v>
      </c>
      <c r="S315">
        <v>17</v>
      </c>
      <c r="T315">
        <v>53.996765933333336</v>
      </c>
      <c r="V315">
        <v>17</v>
      </c>
      <c r="W315">
        <v>73.61488261290323</v>
      </c>
      <c r="Y315">
        <v>17</v>
      </c>
      <c r="Z315">
        <v>72.675656806451613</v>
      </c>
      <c r="AB315">
        <v>17</v>
      </c>
      <c r="AC315">
        <v>59.69371756666667</v>
      </c>
      <c r="AE315">
        <v>17</v>
      </c>
      <c r="AF315">
        <v>57.58754070967742</v>
      </c>
      <c r="AH315">
        <v>17</v>
      </c>
      <c r="AI315">
        <v>64.585185633333339</v>
      </c>
      <c r="AK315">
        <v>17</v>
      </c>
      <c r="AL315">
        <v>79.808296935483853</v>
      </c>
    </row>
    <row r="316" spans="1:38">
      <c r="A316">
        <v>18</v>
      </c>
      <c r="B316">
        <v>68.076895564383534</v>
      </c>
      <c r="D316">
        <v>18</v>
      </c>
      <c r="E316">
        <v>106.6627958064516</v>
      </c>
      <c r="G316">
        <v>18</v>
      </c>
      <c r="H316">
        <v>81.247938142857151</v>
      </c>
      <c r="J316">
        <v>18</v>
      </c>
      <c r="K316">
        <v>63.323376645161304</v>
      </c>
      <c r="M316">
        <v>18</v>
      </c>
      <c r="N316">
        <v>57.158125966666674</v>
      </c>
      <c r="P316">
        <v>18</v>
      </c>
      <c r="Q316">
        <v>52.359681064516131</v>
      </c>
      <c r="S316">
        <v>18</v>
      </c>
      <c r="T316">
        <v>52.58962576666665</v>
      </c>
      <c r="V316">
        <v>18</v>
      </c>
      <c r="W316">
        <v>71.610189096774207</v>
      </c>
      <c r="Y316">
        <v>18</v>
      </c>
      <c r="Z316">
        <v>68.234355225806453</v>
      </c>
      <c r="AB316">
        <v>18</v>
      </c>
      <c r="AC316">
        <v>59.774626499999997</v>
      </c>
      <c r="AE316">
        <v>18</v>
      </c>
      <c r="AF316">
        <v>61.377042548387095</v>
      </c>
      <c r="AH316">
        <v>18</v>
      </c>
      <c r="AI316">
        <v>64.088639333333319</v>
      </c>
      <c r="AK316">
        <v>18</v>
      </c>
      <c r="AL316">
        <v>78.522691419354857</v>
      </c>
    </row>
    <row r="317" spans="1:38">
      <c r="A317">
        <v>19</v>
      </c>
      <c r="B317">
        <v>67.608311123287734</v>
      </c>
      <c r="D317">
        <v>19</v>
      </c>
      <c r="E317">
        <v>103.95496248387096</v>
      </c>
      <c r="G317">
        <v>19</v>
      </c>
      <c r="H317">
        <v>80.827590392857118</v>
      </c>
      <c r="J317">
        <v>19</v>
      </c>
      <c r="K317">
        <v>64.714884645161291</v>
      </c>
      <c r="M317">
        <v>19</v>
      </c>
      <c r="N317">
        <v>61.255276733333325</v>
      </c>
      <c r="P317">
        <v>19</v>
      </c>
      <c r="Q317">
        <v>52.63739283870968</v>
      </c>
      <c r="S317">
        <v>19</v>
      </c>
      <c r="T317">
        <v>52.084708133333308</v>
      </c>
      <c r="V317">
        <v>19</v>
      </c>
      <c r="W317">
        <v>68.621990838709678</v>
      </c>
      <c r="Y317">
        <v>19</v>
      </c>
      <c r="Z317">
        <v>66.348287129032244</v>
      </c>
      <c r="AB317">
        <v>19</v>
      </c>
      <c r="AC317">
        <v>61.282476233333334</v>
      </c>
      <c r="AE317">
        <v>19</v>
      </c>
      <c r="AF317">
        <v>62.479913548387096</v>
      </c>
      <c r="AH317">
        <v>19</v>
      </c>
      <c r="AI317">
        <v>61.893993733333311</v>
      </c>
      <c r="AK317">
        <v>19</v>
      </c>
      <c r="AL317">
        <v>75.383451870967733</v>
      </c>
    </row>
    <row r="318" spans="1:38">
      <c r="A318">
        <v>20</v>
      </c>
      <c r="B318">
        <v>66.01344812328766</v>
      </c>
      <c r="D318">
        <v>20</v>
      </c>
      <c r="E318">
        <v>98.594952999999975</v>
      </c>
      <c r="G318">
        <v>20</v>
      </c>
      <c r="H318">
        <v>78.113817142857172</v>
      </c>
      <c r="J318">
        <v>20</v>
      </c>
      <c r="K318">
        <v>61.819192967741927</v>
      </c>
      <c r="M318">
        <v>20</v>
      </c>
      <c r="N318">
        <v>61.669697033333328</v>
      </c>
      <c r="P318">
        <v>20</v>
      </c>
      <c r="Q318">
        <v>55.811561032258084</v>
      </c>
      <c r="S318">
        <v>20</v>
      </c>
      <c r="T318">
        <v>52.775010266666648</v>
      </c>
      <c r="V318">
        <v>20</v>
      </c>
      <c r="W318">
        <v>66.813656193548397</v>
      </c>
      <c r="Y318">
        <v>20</v>
      </c>
      <c r="Z318">
        <v>66.218569870967727</v>
      </c>
      <c r="AB318">
        <v>20</v>
      </c>
      <c r="AC318">
        <v>60.88539119999998</v>
      </c>
      <c r="AE318">
        <v>20</v>
      </c>
      <c r="AF318">
        <v>60.340076354838708</v>
      </c>
      <c r="AH318">
        <v>20</v>
      </c>
      <c r="AI318">
        <v>57.701661300000005</v>
      </c>
      <c r="AK318">
        <v>20</v>
      </c>
      <c r="AL318">
        <v>71.588083838709693</v>
      </c>
    </row>
    <row r="319" spans="1:38">
      <c r="A319">
        <v>21</v>
      </c>
      <c r="B319">
        <v>62.117290202739738</v>
      </c>
      <c r="D319">
        <v>21</v>
      </c>
      <c r="E319">
        <v>90.230489935483888</v>
      </c>
      <c r="G319">
        <v>21</v>
      </c>
      <c r="H319">
        <v>73.763987392857146</v>
      </c>
      <c r="J319">
        <v>21</v>
      </c>
      <c r="K319">
        <v>56.479620677419355</v>
      </c>
      <c r="M319">
        <v>21</v>
      </c>
      <c r="N319">
        <v>57.529847900000007</v>
      </c>
      <c r="P319">
        <v>21</v>
      </c>
      <c r="Q319">
        <v>55.433672419354842</v>
      </c>
      <c r="S319">
        <v>21</v>
      </c>
      <c r="T319">
        <v>53.233303766666673</v>
      </c>
      <c r="V319">
        <v>21</v>
      </c>
      <c r="W319">
        <v>65.503242193548388</v>
      </c>
      <c r="Y319">
        <v>21</v>
      </c>
      <c r="Z319">
        <v>62.935089096774192</v>
      </c>
      <c r="AB319">
        <v>21</v>
      </c>
      <c r="AC319">
        <v>56.22543679999999</v>
      </c>
      <c r="AE319">
        <v>21</v>
      </c>
      <c r="AF319">
        <v>58.053776516129041</v>
      </c>
      <c r="AH319">
        <v>21</v>
      </c>
      <c r="AI319">
        <v>52.215774166666662</v>
      </c>
      <c r="AK319">
        <v>21</v>
      </c>
      <c r="AL319">
        <v>63.986315548387104</v>
      </c>
    </row>
    <row r="320" spans="1:38">
      <c r="A320">
        <v>22</v>
      </c>
      <c r="B320">
        <v>58.150864405479425</v>
      </c>
      <c r="D320">
        <v>22</v>
      </c>
      <c r="E320">
        <v>88.777509612903231</v>
      </c>
      <c r="G320">
        <v>22</v>
      </c>
      <c r="H320">
        <v>70.369922000000003</v>
      </c>
      <c r="J320">
        <v>22</v>
      </c>
      <c r="K320">
        <v>52.915414129032264</v>
      </c>
      <c r="M320">
        <v>22</v>
      </c>
      <c r="N320">
        <v>52.272117066666667</v>
      </c>
      <c r="P320">
        <v>22</v>
      </c>
      <c r="Q320">
        <v>54.37651277419355</v>
      </c>
      <c r="S320">
        <v>22</v>
      </c>
      <c r="T320">
        <v>50.827328400000013</v>
      </c>
      <c r="V320">
        <v>22</v>
      </c>
      <c r="W320">
        <v>58.063502322580646</v>
      </c>
      <c r="Y320">
        <v>22</v>
      </c>
      <c r="Z320">
        <v>55.126862548387102</v>
      </c>
      <c r="AB320">
        <v>22</v>
      </c>
      <c r="AC320">
        <v>51.67866066666668</v>
      </c>
      <c r="AE320">
        <v>22</v>
      </c>
      <c r="AF320">
        <v>53.649209741935486</v>
      </c>
      <c r="AH320">
        <v>22</v>
      </c>
      <c r="AI320">
        <v>49.983017866666657</v>
      </c>
      <c r="AK320">
        <v>22</v>
      </c>
      <c r="AL320">
        <v>60.054665387096776</v>
      </c>
    </row>
    <row r="321" spans="1:38">
      <c r="A321">
        <v>23</v>
      </c>
      <c r="B321">
        <v>53.630780616438329</v>
      </c>
      <c r="D321">
        <v>23</v>
      </c>
      <c r="E321">
        <v>80.877832741935478</v>
      </c>
      <c r="G321">
        <v>23</v>
      </c>
      <c r="H321">
        <v>67.550662750000001</v>
      </c>
      <c r="J321">
        <v>23</v>
      </c>
      <c r="K321">
        <v>49.684324099999998</v>
      </c>
      <c r="M321">
        <v>23</v>
      </c>
      <c r="N321">
        <v>49.777658400000021</v>
      </c>
      <c r="P321">
        <v>23</v>
      </c>
      <c r="Q321">
        <v>49.913225677419369</v>
      </c>
      <c r="S321">
        <v>23</v>
      </c>
      <c r="T321">
        <v>45.738111633333325</v>
      </c>
      <c r="V321">
        <v>23</v>
      </c>
      <c r="W321">
        <v>51.056185806451616</v>
      </c>
      <c r="Y321">
        <v>23</v>
      </c>
      <c r="Z321">
        <v>49.582341516129041</v>
      </c>
      <c r="AB321">
        <v>23</v>
      </c>
      <c r="AC321">
        <v>45.017904399999999</v>
      </c>
      <c r="AE321">
        <v>23</v>
      </c>
      <c r="AF321">
        <v>48.424512935483861</v>
      </c>
      <c r="AH321">
        <v>23</v>
      </c>
      <c r="AI321">
        <v>47.52853861290324</v>
      </c>
      <c r="AK321">
        <v>23</v>
      </c>
      <c r="AL321">
        <v>58.98111793548388</v>
      </c>
    </row>
    <row r="322" spans="1:38">
      <c r="A322" t="s">
        <v>328</v>
      </c>
      <c r="B322">
        <v>58.283268323515976</v>
      </c>
      <c r="D322" t="s">
        <v>328</v>
      </c>
      <c r="E322">
        <v>88.166696352150552</v>
      </c>
      <c r="G322" t="s">
        <v>328</v>
      </c>
      <c r="H322">
        <v>71.208488989583344</v>
      </c>
      <c r="J322" t="s">
        <v>328</v>
      </c>
      <c r="K322">
        <v>54.371156442338709</v>
      </c>
      <c r="M322" t="s">
        <v>328</v>
      </c>
      <c r="N322">
        <v>52.868334715277776</v>
      </c>
      <c r="P322" t="s">
        <v>328</v>
      </c>
      <c r="Q322">
        <v>50.143897956989264</v>
      </c>
      <c r="S322" t="s">
        <v>328</v>
      </c>
      <c r="T322">
        <v>47.831094298611113</v>
      </c>
      <c r="V322" t="s">
        <v>328</v>
      </c>
      <c r="W322">
        <v>58.53090307392474</v>
      </c>
      <c r="Y322" t="s">
        <v>328</v>
      </c>
      <c r="Z322">
        <v>57.260890138440857</v>
      </c>
      <c r="AB322" t="s">
        <v>328</v>
      </c>
      <c r="AC322">
        <v>51.394999451388884</v>
      </c>
      <c r="AE322" t="s">
        <v>328</v>
      </c>
      <c r="AF322">
        <v>52.580381905913981</v>
      </c>
      <c r="AH322" t="s">
        <v>328</v>
      </c>
      <c r="AI322">
        <v>51.977084611648742</v>
      </c>
      <c r="AK322" t="s">
        <v>328</v>
      </c>
      <c r="AL322">
        <v>63.381547629032269</v>
      </c>
    </row>
    <row r="325" spans="1:38">
      <c r="A325" s="94">
        <v>2026</v>
      </c>
      <c r="B325" s="99" t="s">
        <v>325</v>
      </c>
      <c r="D325">
        <v>1</v>
      </c>
      <c r="E325" s="99" t="s">
        <v>316</v>
      </c>
      <c r="G325">
        <v>2</v>
      </c>
      <c r="H325" s="99" t="s">
        <v>316</v>
      </c>
      <c r="J325">
        <v>3</v>
      </c>
      <c r="K325" s="99" t="s">
        <v>316</v>
      </c>
      <c r="M325">
        <v>4</v>
      </c>
      <c r="N325" s="99" t="s">
        <v>316</v>
      </c>
      <c r="P325">
        <v>5</v>
      </c>
      <c r="Q325" s="99" t="s">
        <v>316</v>
      </c>
      <c r="S325">
        <v>6</v>
      </c>
      <c r="T325" s="99" t="s">
        <v>316</v>
      </c>
      <c r="V325">
        <v>7</v>
      </c>
      <c r="W325" s="99" t="s">
        <v>316</v>
      </c>
      <c r="Y325">
        <v>8</v>
      </c>
      <c r="Z325" s="99" t="s">
        <v>316</v>
      </c>
      <c r="AB325">
        <v>9</v>
      </c>
      <c r="AC325" s="99" t="s">
        <v>316</v>
      </c>
      <c r="AE325">
        <v>10</v>
      </c>
      <c r="AF325" s="99" t="s">
        <v>316</v>
      </c>
      <c r="AH325">
        <v>11</v>
      </c>
      <c r="AI325" s="99" t="s">
        <v>316</v>
      </c>
      <c r="AK325">
        <v>12</v>
      </c>
      <c r="AL325" s="99" t="s">
        <v>316</v>
      </c>
    </row>
    <row r="326" spans="1:38">
      <c r="A326" s="94" t="s">
        <v>308</v>
      </c>
      <c r="B326" s="58">
        <v>8760</v>
      </c>
      <c r="D326" s="94" t="s">
        <v>397</v>
      </c>
      <c r="E326" s="58">
        <v>744</v>
      </c>
      <c r="G326" s="94" t="s">
        <v>398</v>
      </c>
      <c r="H326" s="58">
        <v>672</v>
      </c>
      <c r="J326" s="94" t="s">
        <v>399</v>
      </c>
      <c r="K326" s="58">
        <v>743</v>
      </c>
      <c r="M326" s="94" t="s">
        <v>400</v>
      </c>
      <c r="N326" s="58">
        <v>720</v>
      </c>
      <c r="P326" s="94" t="s">
        <v>401</v>
      </c>
      <c r="Q326" s="58">
        <v>744</v>
      </c>
      <c r="S326" s="94" t="s">
        <v>402</v>
      </c>
      <c r="T326" s="58">
        <v>720</v>
      </c>
      <c r="V326" s="94" t="s">
        <v>403</v>
      </c>
      <c r="W326" s="58">
        <v>744</v>
      </c>
      <c r="Y326" s="94" t="s">
        <v>404</v>
      </c>
      <c r="Z326" s="58">
        <v>744</v>
      </c>
      <c r="AB326" s="94" t="s">
        <v>405</v>
      </c>
      <c r="AC326" s="58">
        <v>720</v>
      </c>
      <c r="AE326" s="94" t="s">
        <v>406</v>
      </c>
      <c r="AF326" s="58">
        <v>744</v>
      </c>
      <c r="AH326" s="94" t="s">
        <v>407</v>
      </c>
      <c r="AI326" s="58">
        <v>721</v>
      </c>
      <c r="AK326" s="94" t="s">
        <v>408</v>
      </c>
      <c r="AL326" s="58">
        <v>744</v>
      </c>
    </row>
    <row r="327" spans="1:38">
      <c r="A327" s="94" t="s">
        <v>326</v>
      </c>
      <c r="B327" s="58">
        <v>0</v>
      </c>
      <c r="D327" s="94" t="s">
        <v>326</v>
      </c>
      <c r="E327" s="58">
        <v>0</v>
      </c>
      <c r="G327" s="94" t="s">
        <v>326</v>
      </c>
      <c r="H327" s="58">
        <v>744</v>
      </c>
      <c r="J327" s="94" t="s">
        <v>326</v>
      </c>
      <c r="K327" s="58">
        <v>1416</v>
      </c>
      <c r="M327" s="94" t="s">
        <v>326</v>
      </c>
      <c r="N327" s="58">
        <v>2159</v>
      </c>
      <c r="P327" s="94" t="s">
        <v>326</v>
      </c>
      <c r="Q327" s="58">
        <v>2879</v>
      </c>
      <c r="S327" s="94" t="s">
        <v>326</v>
      </c>
      <c r="T327" s="58">
        <v>3623</v>
      </c>
      <c r="V327" s="94" t="s">
        <v>326</v>
      </c>
      <c r="W327" s="58">
        <v>4343</v>
      </c>
      <c r="Y327" s="94" t="s">
        <v>326</v>
      </c>
      <c r="Z327" s="58">
        <v>5087</v>
      </c>
      <c r="AB327" s="94" t="s">
        <v>326</v>
      </c>
      <c r="AC327" s="58">
        <v>5831</v>
      </c>
      <c r="AE327" s="94" t="s">
        <v>326</v>
      </c>
      <c r="AF327" s="58">
        <v>6551</v>
      </c>
      <c r="AH327" s="94" t="s">
        <v>326</v>
      </c>
      <c r="AI327" s="58">
        <v>7295</v>
      </c>
      <c r="AK327" s="94" t="s">
        <v>326</v>
      </c>
      <c r="AL327" s="58">
        <v>8016</v>
      </c>
    </row>
    <row r="328" spans="1:38">
      <c r="A328" s="94" t="s">
        <v>327</v>
      </c>
      <c r="B328" s="58">
        <v>8760</v>
      </c>
      <c r="D328" s="94" t="s">
        <v>327</v>
      </c>
      <c r="E328" s="58">
        <v>744</v>
      </c>
      <c r="G328" s="94" t="s">
        <v>327</v>
      </c>
      <c r="H328" s="58">
        <v>1416</v>
      </c>
      <c r="J328" s="94" t="s">
        <v>327</v>
      </c>
      <c r="K328" s="58">
        <v>2159</v>
      </c>
      <c r="M328" s="94" t="s">
        <v>327</v>
      </c>
      <c r="N328" s="58">
        <v>2879</v>
      </c>
      <c r="P328" s="94" t="s">
        <v>327</v>
      </c>
      <c r="Q328" s="58">
        <v>3623</v>
      </c>
      <c r="S328" s="94" t="s">
        <v>327</v>
      </c>
      <c r="T328" s="58">
        <v>4343</v>
      </c>
      <c r="V328" s="94" t="s">
        <v>327</v>
      </c>
      <c r="W328" s="58">
        <v>5087</v>
      </c>
      <c r="Y328" s="94" t="s">
        <v>327</v>
      </c>
      <c r="Z328" s="58">
        <v>5831</v>
      </c>
      <c r="AB328" s="94" t="s">
        <v>327</v>
      </c>
      <c r="AC328" s="58">
        <v>6551</v>
      </c>
      <c r="AE328" s="94" t="s">
        <v>327</v>
      </c>
      <c r="AF328" s="58">
        <v>7295</v>
      </c>
      <c r="AH328" s="94" t="s">
        <v>327</v>
      </c>
      <c r="AI328" s="58">
        <v>8016</v>
      </c>
      <c r="AK328" s="94" t="s">
        <v>327</v>
      </c>
      <c r="AL328" s="58">
        <v>8760</v>
      </c>
    </row>
    <row r="329" spans="1:38">
      <c r="A329" t="s">
        <v>293</v>
      </c>
      <c r="B329" s="16" t="s">
        <v>294</v>
      </c>
      <c r="D329" t="s">
        <v>293</v>
      </c>
      <c r="E329" s="16" t="s">
        <v>294</v>
      </c>
      <c r="G329" t="s">
        <v>293</v>
      </c>
      <c r="H329" s="16" t="s">
        <v>294</v>
      </c>
      <c r="J329" t="s">
        <v>293</v>
      </c>
      <c r="K329" s="16" t="s">
        <v>294</v>
      </c>
      <c r="M329" t="s">
        <v>293</v>
      </c>
      <c r="N329" s="16" t="s">
        <v>294</v>
      </c>
      <c r="P329" t="s">
        <v>293</v>
      </c>
      <c r="Q329" s="16" t="s">
        <v>294</v>
      </c>
      <c r="S329" t="s">
        <v>293</v>
      </c>
      <c r="T329" s="16" t="s">
        <v>294</v>
      </c>
      <c r="V329" t="s">
        <v>293</v>
      </c>
      <c r="W329" s="16" t="s">
        <v>294</v>
      </c>
      <c r="Y329" t="s">
        <v>293</v>
      </c>
      <c r="Z329" s="16" t="s">
        <v>294</v>
      </c>
      <c r="AB329" t="s">
        <v>293</v>
      </c>
      <c r="AC329" s="16" t="s">
        <v>294</v>
      </c>
      <c r="AE329" t="s">
        <v>293</v>
      </c>
      <c r="AF329" s="16" t="s">
        <v>294</v>
      </c>
      <c r="AH329" t="s">
        <v>293</v>
      </c>
      <c r="AI329" s="16" t="s">
        <v>294</v>
      </c>
      <c r="AK329" t="s">
        <v>293</v>
      </c>
      <c r="AL329" s="16" t="s">
        <v>294</v>
      </c>
    </row>
    <row r="330" spans="1:38">
      <c r="A330">
        <v>0</v>
      </c>
      <c r="B330">
        <v>52.056269761643826</v>
      </c>
      <c r="D330">
        <v>0</v>
      </c>
      <c r="E330">
        <v>73.430767419354837</v>
      </c>
      <c r="G330">
        <v>0</v>
      </c>
      <c r="H330">
        <v>67.833812928571433</v>
      </c>
      <c r="J330">
        <v>0</v>
      </c>
      <c r="K330">
        <v>48.654467709677412</v>
      </c>
      <c r="M330">
        <v>0</v>
      </c>
      <c r="N330">
        <v>48.440083166666653</v>
      </c>
      <c r="P330">
        <v>0</v>
      </c>
      <c r="Q330">
        <v>45.704733451612888</v>
      </c>
      <c r="S330">
        <v>0</v>
      </c>
      <c r="T330">
        <v>45.5895115</v>
      </c>
      <c r="V330">
        <v>0</v>
      </c>
      <c r="W330">
        <v>48.617048483870967</v>
      </c>
      <c r="Y330">
        <v>0</v>
      </c>
      <c r="Z330">
        <v>48.938433064516133</v>
      </c>
      <c r="AB330">
        <v>0</v>
      </c>
      <c r="AC330">
        <v>44.899365366666672</v>
      </c>
      <c r="AE330">
        <v>0</v>
      </c>
      <c r="AF330">
        <v>45.675856419354844</v>
      </c>
      <c r="AH330">
        <v>0</v>
      </c>
      <c r="AI330">
        <v>47.096313233333333</v>
      </c>
      <c r="AK330">
        <v>0</v>
      </c>
      <c r="AL330">
        <v>60.605580645161297</v>
      </c>
    </row>
    <row r="331" spans="1:38">
      <c r="A331">
        <v>1</v>
      </c>
      <c r="B331">
        <v>49.797243772602727</v>
      </c>
      <c r="D331">
        <v>1</v>
      </c>
      <c r="E331">
        <v>72.017868580645157</v>
      </c>
      <c r="G331">
        <v>1</v>
      </c>
      <c r="H331">
        <v>67.217241892857132</v>
      </c>
      <c r="J331">
        <v>1</v>
      </c>
      <c r="K331">
        <v>46.627035161290316</v>
      </c>
      <c r="M331">
        <v>1</v>
      </c>
      <c r="N331">
        <v>46.067922999999986</v>
      </c>
      <c r="P331">
        <v>1</v>
      </c>
      <c r="Q331">
        <v>43.318738709677397</v>
      </c>
      <c r="S331">
        <v>1</v>
      </c>
      <c r="T331">
        <v>43.345925900000005</v>
      </c>
      <c r="V331">
        <v>1</v>
      </c>
      <c r="W331">
        <v>45.978883741935483</v>
      </c>
      <c r="Y331">
        <v>1</v>
      </c>
      <c r="Z331">
        <v>46.239994903225806</v>
      </c>
      <c r="AB331">
        <v>1</v>
      </c>
      <c r="AC331">
        <v>41.708629600000002</v>
      </c>
      <c r="AE331">
        <v>1</v>
      </c>
      <c r="AF331">
        <v>42.718787774193551</v>
      </c>
      <c r="AH331">
        <v>1</v>
      </c>
      <c r="AI331">
        <v>44.215932900000006</v>
      </c>
      <c r="AK331">
        <v>1</v>
      </c>
      <c r="AL331">
        <v>59.02639635483871</v>
      </c>
    </row>
    <row r="332" spans="1:38">
      <c r="A332">
        <v>2</v>
      </c>
      <c r="B332">
        <v>48.396660668493134</v>
      </c>
      <c r="D332">
        <v>2</v>
      </c>
      <c r="E332">
        <v>71.764350903225818</v>
      </c>
      <c r="G332">
        <v>2</v>
      </c>
      <c r="H332">
        <v>66.584733642857145</v>
      </c>
      <c r="J332">
        <v>2</v>
      </c>
      <c r="K332">
        <v>45.174416580645165</v>
      </c>
      <c r="M332">
        <v>2</v>
      </c>
      <c r="N332">
        <v>45.057677033333349</v>
      </c>
      <c r="P332">
        <v>2</v>
      </c>
      <c r="Q332">
        <v>42.407766322580656</v>
      </c>
      <c r="S332">
        <v>2</v>
      </c>
      <c r="T332">
        <v>41.800873333333328</v>
      </c>
      <c r="V332">
        <v>2</v>
      </c>
      <c r="W332">
        <v>44.624442774193547</v>
      </c>
      <c r="Y332">
        <v>2</v>
      </c>
      <c r="Z332">
        <v>44.244621161290318</v>
      </c>
      <c r="AB332">
        <v>2</v>
      </c>
      <c r="AC332">
        <v>39.787170833333327</v>
      </c>
      <c r="AE332">
        <v>2</v>
      </c>
      <c r="AF332">
        <v>39.904897064516128</v>
      </c>
      <c r="AH332">
        <v>2</v>
      </c>
      <c r="AI332">
        <v>42.805909233333331</v>
      </c>
      <c r="AK332">
        <v>2</v>
      </c>
      <c r="AL332">
        <v>57.584656451612908</v>
      </c>
    </row>
    <row r="333" spans="1:38">
      <c r="A333">
        <v>3</v>
      </c>
      <c r="B333">
        <v>47.557124534246583</v>
      </c>
      <c r="D333">
        <v>3</v>
      </c>
      <c r="E333">
        <v>71.534345483870979</v>
      </c>
      <c r="G333">
        <v>3</v>
      </c>
      <c r="H333">
        <v>65.849011321428591</v>
      </c>
      <c r="J333">
        <v>3</v>
      </c>
      <c r="K333">
        <v>45.007730000000009</v>
      </c>
      <c r="M333">
        <v>3</v>
      </c>
      <c r="N333">
        <v>44.218592300000005</v>
      </c>
      <c r="P333">
        <v>3</v>
      </c>
      <c r="Q333">
        <v>41.99451077419355</v>
      </c>
      <c r="S333">
        <v>3</v>
      </c>
      <c r="T333">
        <v>40.773565999999988</v>
      </c>
      <c r="V333">
        <v>3</v>
      </c>
      <c r="W333">
        <v>43.474951774193549</v>
      </c>
      <c r="Y333">
        <v>3</v>
      </c>
      <c r="Z333">
        <v>42.701956161290326</v>
      </c>
      <c r="AB333">
        <v>3</v>
      </c>
      <c r="AC333">
        <v>38.557918433333334</v>
      </c>
      <c r="AE333">
        <v>3</v>
      </c>
      <c r="AF333">
        <v>38.192387387096772</v>
      </c>
      <c r="AH333">
        <v>3</v>
      </c>
      <c r="AI333">
        <v>42.52063793333334</v>
      </c>
      <c r="AK333">
        <v>3</v>
      </c>
      <c r="AL333">
        <v>56.8507860967742</v>
      </c>
    </row>
    <row r="334" spans="1:38">
      <c r="A334">
        <v>4</v>
      </c>
      <c r="B334">
        <v>48.143860490410958</v>
      </c>
      <c r="D334">
        <v>4</v>
      </c>
      <c r="E334">
        <v>73.155056677419353</v>
      </c>
      <c r="G334">
        <v>4</v>
      </c>
      <c r="H334">
        <v>67.035720678571408</v>
      </c>
      <c r="J334">
        <v>4</v>
      </c>
      <c r="K334">
        <v>45.929195290322568</v>
      </c>
      <c r="M334">
        <v>4</v>
      </c>
      <c r="N334">
        <v>44.620271699999996</v>
      </c>
      <c r="P334">
        <v>4</v>
      </c>
      <c r="Q334">
        <v>42.160605806451613</v>
      </c>
      <c r="S334">
        <v>4</v>
      </c>
      <c r="T334">
        <v>40.707656800000002</v>
      </c>
      <c r="V334">
        <v>4</v>
      </c>
      <c r="W334">
        <v>43.061949064516114</v>
      </c>
      <c r="Y334">
        <v>4</v>
      </c>
      <c r="Z334">
        <v>41.947431258064519</v>
      </c>
      <c r="AB334">
        <v>4</v>
      </c>
      <c r="AC334">
        <v>38.395271166666667</v>
      </c>
      <c r="AE334">
        <v>4</v>
      </c>
      <c r="AF334">
        <v>39.714133193548406</v>
      </c>
      <c r="AH334">
        <v>4</v>
      </c>
      <c r="AI334">
        <v>43.937746166666663</v>
      </c>
      <c r="AK334">
        <v>4</v>
      </c>
      <c r="AL334">
        <v>58.085839193548381</v>
      </c>
    </row>
    <row r="335" spans="1:38">
      <c r="A335">
        <v>5</v>
      </c>
      <c r="B335">
        <v>51.493748019178071</v>
      </c>
      <c r="D335">
        <v>5</v>
      </c>
      <c r="E335">
        <v>81.986943483871002</v>
      </c>
      <c r="G335">
        <v>5</v>
      </c>
      <c r="H335">
        <v>70.816149357142862</v>
      </c>
      <c r="J335">
        <v>5</v>
      </c>
      <c r="K335">
        <v>49.574549161290321</v>
      </c>
      <c r="M335">
        <v>5</v>
      </c>
      <c r="N335">
        <v>47.360183866666667</v>
      </c>
      <c r="P335">
        <v>5</v>
      </c>
      <c r="Q335">
        <v>44.384620193548379</v>
      </c>
      <c r="S335">
        <v>5</v>
      </c>
      <c r="T335">
        <v>41.688019133333327</v>
      </c>
      <c r="V335">
        <v>5</v>
      </c>
      <c r="W335">
        <v>44.042554645161282</v>
      </c>
      <c r="Y335">
        <v>5</v>
      </c>
      <c r="Z335">
        <v>43.415785741935494</v>
      </c>
      <c r="AB335">
        <v>5</v>
      </c>
      <c r="AC335">
        <v>41.54017076666667</v>
      </c>
      <c r="AE335">
        <v>5</v>
      </c>
      <c r="AF335">
        <v>45.15303061290323</v>
      </c>
      <c r="AH335">
        <v>5</v>
      </c>
      <c r="AI335">
        <v>48.014403466666671</v>
      </c>
      <c r="AK335">
        <v>5</v>
      </c>
      <c r="AL335">
        <v>60.935500935483866</v>
      </c>
    </row>
    <row r="336" spans="1:38">
      <c r="A336">
        <v>6</v>
      </c>
      <c r="B336">
        <v>56.598239805479452</v>
      </c>
      <c r="D336">
        <v>6</v>
      </c>
      <c r="E336">
        <v>95.295436419354829</v>
      </c>
      <c r="G336">
        <v>6</v>
      </c>
      <c r="H336">
        <v>75.861704142857135</v>
      </c>
      <c r="J336">
        <v>6</v>
      </c>
      <c r="K336">
        <v>55.685685548387092</v>
      </c>
      <c r="M336">
        <v>6</v>
      </c>
      <c r="N336">
        <v>52.020230833333322</v>
      </c>
      <c r="P336">
        <v>6</v>
      </c>
      <c r="Q336">
        <v>49.474947677419344</v>
      </c>
      <c r="S336">
        <v>6</v>
      </c>
      <c r="T336">
        <v>44.43679569999999</v>
      </c>
      <c r="V336">
        <v>6</v>
      </c>
      <c r="W336">
        <v>46.861482645161296</v>
      </c>
      <c r="Y336">
        <v>6</v>
      </c>
      <c r="Z336">
        <v>47.061407903225799</v>
      </c>
      <c r="AB336">
        <v>6</v>
      </c>
      <c r="AC336">
        <v>45.092610933333347</v>
      </c>
      <c r="AE336">
        <v>6</v>
      </c>
      <c r="AF336">
        <v>51.084829516129041</v>
      </c>
      <c r="AH336">
        <v>6</v>
      </c>
      <c r="AI336">
        <v>52.793670933333331</v>
      </c>
      <c r="AK336">
        <v>6</v>
      </c>
      <c r="AL336">
        <v>64.340421935483874</v>
      </c>
    </row>
    <row r="337" spans="1:38">
      <c r="A337">
        <v>7</v>
      </c>
      <c r="B337">
        <v>60.497678830137062</v>
      </c>
      <c r="D337">
        <v>7</v>
      </c>
      <c r="E337">
        <v>100.618646</v>
      </c>
      <c r="G337">
        <v>7</v>
      </c>
      <c r="H337">
        <v>80.454757678571397</v>
      </c>
      <c r="J337">
        <v>7</v>
      </c>
      <c r="K337">
        <v>58.895641290322573</v>
      </c>
      <c r="M337">
        <v>7</v>
      </c>
      <c r="N337">
        <v>56.222104333333327</v>
      </c>
      <c r="P337">
        <v>7</v>
      </c>
      <c r="Q337">
        <v>54.060910322580646</v>
      </c>
      <c r="S337">
        <v>7</v>
      </c>
      <c r="T337">
        <v>46.44540026666666</v>
      </c>
      <c r="V337">
        <v>7</v>
      </c>
      <c r="W337">
        <v>50.399871193548378</v>
      </c>
      <c r="Y337">
        <v>7</v>
      </c>
      <c r="Z337">
        <v>51.597666064516119</v>
      </c>
      <c r="AB337">
        <v>7</v>
      </c>
      <c r="AC337">
        <v>49.524345633333333</v>
      </c>
      <c r="AE337">
        <v>7</v>
      </c>
      <c r="AF337">
        <v>55.139837870967753</v>
      </c>
      <c r="AH337">
        <v>7</v>
      </c>
      <c r="AI337">
        <v>55.578166999999993</v>
      </c>
      <c r="AK337">
        <v>7</v>
      </c>
      <c r="AL337">
        <v>67.86223503225807</v>
      </c>
    </row>
    <row r="338" spans="1:38">
      <c r="A338">
        <v>8</v>
      </c>
      <c r="B338">
        <v>61.730253964383571</v>
      </c>
      <c r="D338">
        <v>8</v>
      </c>
      <c r="E338">
        <v>99.558174935483876</v>
      </c>
      <c r="G338">
        <v>8</v>
      </c>
      <c r="H338">
        <v>79.190735321428562</v>
      </c>
      <c r="J338">
        <v>8</v>
      </c>
      <c r="K338">
        <v>59.195987387096771</v>
      </c>
      <c r="M338">
        <v>8</v>
      </c>
      <c r="N338">
        <v>58.383777066666667</v>
      </c>
      <c r="P338">
        <v>8</v>
      </c>
      <c r="Q338">
        <v>56.427410677419346</v>
      </c>
      <c r="S338">
        <v>8</v>
      </c>
      <c r="T338">
        <v>47.488457766666663</v>
      </c>
      <c r="V338">
        <v>8</v>
      </c>
      <c r="W338">
        <v>54.157761774193531</v>
      </c>
      <c r="Y338">
        <v>8</v>
      </c>
      <c r="Z338">
        <v>55.309953838709674</v>
      </c>
      <c r="AB338">
        <v>8</v>
      </c>
      <c r="AC338">
        <v>52.221202733333342</v>
      </c>
      <c r="AE338">
        <v>8</v>
      </c>
      <c r="AF338">
        <v>55.085429064516134</v>
      </c>
      <c r="AH338">
        <v>8</v>
      </c>
      <c r="AI338">
        <v>56.701431433333333</v>
      </c>
      <c r="AK338">
        <v>8</v>
      </c>
      <c r="AL338">
        <v>67.69612225806452</v>
      </c>
    </row>
    <row r="339" spans="1:38">
      <c r="A339">
        <v>9</v>
      </c>
      <c r="B339">
        <v>63.458303263013697</v>
      </c>
      <c r="D339">
        <v>9</v>
      </c>
      <c r="E339">
        <v>97.397902483870951</v>
      </c>
      <c r="G339">
        <v>9</v>
      </c>
      <c r="H339">
        <v>79.004418535714294</v>
      </c>
      <c r="J339">
        <v>9</v>
      </c>
      <c r="K339">
        <v>60.027534709677404</v>
      </c>
      <c r="M339">
        <v>9</v>
      </c>
      <c r="N339">
        <v>60.321299766666662</v>
      </c>
      <c r="P339">
        <v>9</v>
      </c>
      <c r="Q339">
        <v>58.480930451612913</v>
      </c>
      <c r="S339">
        <v>9</v>
      </c>
      <c r="T339">
        <v>49.440291233333326</v>
      </c>
      <c r="V339">
        <v>9</v>
      </c>
      <c r="W339">
        <v>59.071057645161297</v>
      </c>
      <c r="Y339">
        <v>9</v>
      </c>
      <c r="Z339">
        <v>59.95463677419356</v>
      </c>
      <c r="AB339">
        <v>9</v>
      </c>
      <c r="AC339">
        <v>56.035829533333327</v>
      </c>
      <c r="AE339">
        <v>9</v>
      </c>
      <c r="AF339">
        <v>56.751608806451621</v>
      </c>
      <c r="AH339">
        <v>9</v>
      </c>
      <c r="AI339">
        <v>58.006306700000003</v>
      </c>
      <c r="AK339">
        <v>9</v>
      </c>
      <c r="AL339">
        <v>67.543592193548392</v>
      </c>
    </row>
    <row r="340" spans="1:38">
      <c r="A340">
        <v>10</v>
      </c>
      <c r="B340">
        <v>64.97803544383558</v>
      </c>
      <c r="D340">
        <v>10</v>
      </c>
      <c r="E340">
        <v>96.67785367741935</v>
      </c>
      <c r="G340">
        <v>10</v>
      </c>
      <c r="H340">
        <v>78.212831107142847</v>
      </c>
      <c r="J340">
        <v>10</v>
      </c>
      <c r="K340">
        <v>60.777247290322585</v>
      </c>
      <c r="M340">
        <v>10</v>
      </c>
      <c r="N340">
        <v>62.262441300000006</v>
      </c>
      <c r="P340">
        <v>10</v>
      </c>
      <c r="Q340">
        <v>60.000601064516133</v>
      </c>
      <c r="S340">
        <v>10</v>
      </c>
      <c r="T340">
        <v>50.945223933333338</v>
      </c>
      <c r="V340">
        <v>10</v>
      </c>
      <c r="W340">
        <v>63.992132709677421</v>
      </c>
      <c r="Y340">
        <v>10</v>
      </c>
      <c r="Z340">
        <v>64.530677322580658</v>
      </c>
      <c r="AB340">
        <v>10</v>
      </c>
      <c r="AC340">
        <v>59.043045733333336</v>
      </c>
      <c r="AE340">
        <v>10</v>
      </c>
      <c r="AF340">
        <v>57.855714064516128</v>
      </c>
      <c r="AH340">
        <v>10</v>
      </c>
      <c r="AI340">
        <v>58.628453333333333</v>
      </c>
      <c r="AK340">
        <v>10</v>
      </c>
      <c r="AL340">
        <v>67.154442806451627</v>
      </c>
    </row>
    <row r="341" spans="1:38">
      <c r="A341">
        <v>11</v>
      </c>
      <c r="B341">
        <v>65.032837580821948</v>
      </c>
      <c r="D341">
        <v>11</v>
      </c>
      <c r="E341">
        <v>92.863164516129004</v>
      </c>
      <c r="G341">
        <v>11</v>
      </c>
      <c r="H341">
        <v>75.997549678571417</v>
      </c>
      <c r="J341">
        <v>11</v>
      </c>
      <c r="K341">
        <v>59.69592232258065</v>
      </c>
      <c r="M341">
        <v>11</v>
      </c>
      <c r="N341">
        <v>62.238676599999991</v>
      </c>
      <c r="P341">
        <v>11</v>
      </c>
      <c r="Q341">
        <v>59.347639032258073</v>
      </c>
      <c r="S341">
        <v>11</v>
      </c>
      <c r="T341">
        <v>52.424691633333332</v>
      </c>
      <c r="V341">
        <v>11</v>
      </c>
      <c r="W341">
        <v>67.576220903225803</v>
      </c>
      <c r="Y341">
        <v>11</v>
      </c>
      <c r="Z341">
        <v>67.586025967741932</v>
      </c>
      <c r="AB341">
        <v>11</v>
      </c>
      <c r="AC341">
        <v>60.673115599999988</v>
      </c>
      <c r="AE341">
        <v>11</v>
      </c>
      <c r="AF341">
        <v>57.746250548387103</v>
      </c>
      <c r="AH341">
        <v>11</v>
      </c>
      <c r="AI341">
        <v>58.068656666666669</v>
      </c>
      <c r="AK341">
        <v>11</v>
      </c>
      <c r="AL341">
        <v>66.375102870967723</v>
      </c>
    </row>
    <row r="342" spans="1:38">
      <c r="A342">
        <v>12</v>
      </c>
      <c r="B342">
        <v>64.540749621917826</v>
      </c>
      <c r="D342">
        <v>12</v>
      </c>
      <c r="E342">
        <v>88.501808258064514</v>
      </c>
      <c r="G342">
        <v>12</v>
      </c>
      <c r="H342">
        <v>73.637207892857148</v>
      </c>
      <c r="J342">
        <v>12</v>
      </c>
      <c r="K342">
        <v>59.325399838709679</v>
      </c>
      <c r="M342">
        <v>12</v>
      </c>
      <c r="N342">
        <v>61.634390933333329</v>
      </c>
      <c r="P342">
        <v>12</v>
      </c>
      <c r="Q342">
        <v>57.426321354838727</v>
      </c>
      <c r="S342">
        <v>12</v>
      </c>
      <c r="T342">
        <v>53.106548166666677</v>
      </c>
      <c r="V342">
        <v>12</v>
      </c>
      <c r="W342">
        <v>70.819005129032263</v>
      </c>
      <c r="Y342">
        <v>12</v>
      </c>
      <c r="Z342">
        <v>69.609757451612921</v>
      </c>
      <c r="AB342">
        <v>12</v>
      </c>
      <c r="AC342">
        <v>61.52817679999999</v>
      </c>
      <c r="AE342">
        <v>12</v>
      </c>
      <c r="AF342">
        <v>56.854064419354842</v>
      </c>
      <c r="AH342">
        <v>12</v>
      </c>
      <c r="AI342">
        <v>56.905149433333349</v>
      </c>
      <c r="AK342">
        <v>12</v>
      </c>
      <c r="AL342">
        <v>65.215380032258068</v>
      </c>
    </row>
    <row r="343" spans="1:38">
      <c r="A343">
        <v>13</v>
      </c>
      <c r="B343">
        <v>64.268657846575323</v>
      </c>
      <c r="D343">
        <v>13</v>
      </c>
      <c r="E343">
        <v>85.80672677419355</v>
      </c>
      <c r="G343">
        <v>13</v>
      </c>
      <c r="H343">
        <v>72.279148642857137</v>
      </c>
      <c r="J343">
        <v>13</v>
      </c>
      <c r="K343">
        <v>57.800037096774183</v>
      </c>
      <c r="M343">
        <v>13</v>
      </c>
      <c r="N343">
        <v>60.72279806666667</v>
      </c>
      <c r="P343">
        <v>13</v>
      </c>
      <c r="Q343">
        <v>57.380479032258073</v>
      </c>
      <c r="S343">
        <v>13</v>
      </c>
      <c r="T343">
        <v>53.940149099999999</v>
      </c>
      <c r="V343">
        <v>13</v>
      </c>
      <c r="W343">
        <v>72.000114387096787</v>
      </c>
      <c r="Y343">
        <v>13</v>
      </c>
      <c r="Z343">
        <v>71.593638193548387</v>
      </c>
      <c r="AB343">
        <v>13</v>
      </c>
      <c r="AC343">
        <v>62.15436429999999</v>
      </c>
      <c r="AE343">
        <v>13</v>
      </c>
      <c r="AF343">
        <v>56.726547483870966</v>
      </c>
      <c r="AH343">
        <v>13</v>
      </c>
      <c r="AI343">
        <v>56.521590766666662</v>
      </c>
      <c r="AK343">
        <v>13</v>
      </c>
      <c r="AL343">
        <v>64.307840419354847</v>
      </c>
    </row>
    <row r="344" spans="1:38">
      <c r="A344">
        <v>14</v>
      </c>
      <c r="B344">
        <v>63.631276827397279</v>
      </c>
      <c r="D344">
        <v>14</v>
      </c>
      <c r="E344">
        <v>84.019759419354813</v>
      </c>
      <c r="G344">
        <v>14</v>
      </c>
      <c r="H344">
        <v>70.482227892857139</v>
      </c>
      <c r="J344">
        <v>14</v>
      </c>
      <c r="K344">
        <v>56.385751290322581</v>
      </c>
      <c r="M344">
        <v>14</v>
      </c>
      <c r="N344">
        <v>59.461474766666669</v>
      </c>
      <c r="P344">
        <v>14</v>
      </c>
      <c r="Q344">
        <v>55.078316354838712</v>
      </c>
      <c r="S344">
        <v>14</v>
      </c>
      <c r="T344">
        <v>54.21527853333334</v>
      </c>
      <c r="V344">
        <v>14</v>
      </c>
      <c r="W344">
        <v>72.436746483870976</v>
      </c>
      <c r="Y344">
        <v>14</v>
      </c>
      <c r="Z344">
        <v>73.494608967741939</v>
      </c>
      <c r="AB344">
        <v>14</v>
      </c>
      <c r="AC344">
        <v>61.961798899999998</v>
      </c>
      <c r="AE344">
        <v>14</v>
      </c>
      <c r="AF344">
        <v>56.325983225806439</v>
      </c>
      <c r="AH344">
        <v>14</v>
      </c>
      <c r="AI344">
        <v>56.046140033333344</v>
      </c>
      <c r="AK344">
        <v>14</v>
      </c>
      <c r="AL344">
        <v>63.593443741935495</v>
      </c>
    </row>
    <row r="345" spans="1:38">
      <c r="A345">
        <v>15</v>
      </c>
      <c r="B345">
        <v>63.609993638356158</v>
      </c>
      <c r="D345">
        <v>15</v>
      </c>
      <c r="E345">
        <v>85.458769838709657</v>
      </c>
      <c r="G345">
        <v>15</v>
      </c>
      <c r="H345">
        <v>70.146069107142864</v>
      </c>
      <c r="J345">
        <v>15</v>
      </c>
      <c r="K345">
        <v>55.88601083870968</v>
      </c>
      <c r="M345">
        <v>15</v>
      </c>
      <c r="N345">
        <v>58.454402033333345</v>
      </c>
      <c r="P345">
        <v>15</v>
      </c>
      <c r="Q345">
        <v>54.596443354838726</v>
      </c>
      <c r="S345">
        <v>15</v>
      </c>
      <c r="T345">
        <v>53.421653499999984</v>
      </c>
      <c r="V345">
        <v>15</v>
      </c>
      <c r="W345">
        <v>74.041402161290335</v>
      </c>
      <c r="Y345">
        <v>15</v>
      </c>
      <c r="Z345">
        <v>73.894958064516132</v>
      </c>
      <c r="AB345">
        <v>15</v>
      </c>
      <c r="AC345">
        <v>60.888950299999998</v>
      </c>
      <c r="AE345">
        <v>15</v>
      </c>
      <c r="AF345">
        <v>55.547443096774202</v>
      </c>
      <c r="AH345">
        <v>15</v>
      </c>
      <c r="AI345">
        <v>56.019589633333332</v>
      </c>
      <c r="AK345">
        <v>15</v>
      </c>
      <c r="AL345">
        <v>64.769162290322569</v>
      </c>
    </row>
    <row r="346" spans="1:38">
      <c r="A346">
        <v>16</v>
      </c>
      <c r="B346">
        <v>65.637190542465746</v>
      </c>
      <c r="D346">
        <v>16</v>
      </c>
      <c r="E346">
        <v>90.914652193548378</v>
      </c>
      <c r="G346">
        <v>16</v>
      </c>
      <c r="H346">
        <v>72.589354607142852</v>
      </c>
      <c r="J346">
        <v>16</v>
      </c>
      <c r="K346">
        <v>56.502563838709683</v>
      </c>
      <c r="M346">
        <v>16</v>
      </c>
      <c r="N346">
        <v>59.057326466666673</v>
      </c>
      <c r="P346">
        <v>16</v>
      </c>
      <c r="Q346">
        <v>55.764424483870982</v>
      </c>
      <c r="S346">
        <v>16</v>
      </c>
      <c r="T346">
        <v>53.162154566666665</v>
      </c>
      <c r="V346">
        <v>16</v>
      </c>
      <c r="W346">
        <v>75.341574258064469</v>
      </c>
      <c r="Y346">
        <v>16</v>
      </c>
      <c r="Z346">
        <v>74.194284193548384</v>
      </c>
      <c r="AB346">
        <v>16</v>
      </c>
      <c r="AC346">
        <v>62.032779633333341</v>
      </c>
      <c r="AE346">
        <v>16</v>
      </c>
      <c r="AF346">
        <v>56.750858967741948</v>
      </c>
      <c r="AH346">
        <v>16</v>
      </c>
      <c r="AI346">
        <v>61.162710499999989</v>
      </c>
      <c r="AK346">
        <v>16</v>
      </c>
      <c r="AL346">
        <v>69.971109290322573</v>
      </c>
    </row>
    <row r="347" spans="1:38">
      <c r="A347">
        <v>17</v>
      </c>
      <c r="B347">
        <v>69.522767136986303</v>
      </c>
      <c r="D347">
        <v>17</v>
      </c>
      <c r="E347">
        <v>105.63601909677421</v>
      </c>
      <c r="G347">
        <v>17</v>
      </c>
      <c r="H347">
        <v>76.851906071428559</v>
      </c>
      <c r="J347">
        <v>17</v>
      </c>
      <c r="K347">
        <v>58.264823354838711</v>
      </c>
      <c r="M347">
        <v>17</v>
      </c>
      <c r="N347">
        <v>59.925012733333347</v>
      </c>
      <c r="P347">
        <v>17</v>
      </c>
      <c r="Q347">
        <v>56.306792161290325</v>
      </c>
      <c r="S347">
        <v>17</v>
      </c>
      <c r="T347">
        <v>54.375232099999991</v>
      </c>
      <c r="V347">
        <v>17</v>
      </c>
      <c r="W347">
        <v>75.430974806451616</v>
      </c>
      <c r="Y347">
        <v>17</v>
      </c>
      <c r="Z347">
        <v>74.65885735483873</v>
      </c>
      <c r="AB347">
        <v>17</v>
      </c>
      <c r="AC347">
        <v>62.648051166666647</v>
      </c>
      <c r="AE347">
        <v>17</v>
      </c>
      <c r="AF347">
        <v>58.952872838709688</v>
      </c>
      <c r="AH347">
        <v>17</v>
      </c>
      <c r="AI347">
        <v>68.058225533333328</v>
      </c>
      <c r="AK347">
        <v>17</v>
      </c>
      <c r="AL347">
        <v>82.806466483870977</v>
      </c>
    </row>
    <row r="348" spans="1:38">
      <c r="A348">
        <v>18</v>
      </c>
      <c r="B348">
        <v>70.64651472876713</v>
      </c>
      <c r="D348">
        <v>18</v>
      </c>
      <c r="E348">
        <v>110.10358303225807</v>
      </c>
      <c r="G348">
        <v>18</v>
      </c>
      <c r="H348">
        <v>84.743095392857143</v>
      </c>
      <c r="J348">
        <v>18</v>
      </c>
      <c r="K348">
        <v>63.901710290322576</v>
      </c>
      <c r="M348">
        <v>18</v>
      </c>
      <c r="N348">
        <v>60.979883866666675</v>
      </c>
      <c r="P348">
        <v>18</v>
      </c>
      <c r="Q348">
        <v>54.223625741935486</v>
      </c>
      <c r="S348">
        <v>18</v>
      </c>
      <c r="T348">
        <v>53.806771433333331</v>
      </c>
      <c r="V348">
        <v>18</v>
      </c>
      <c r="W348">
        <v>73.406735161290342</v>
      </c>
      <c r="Y348">
        <v>18</v>
      </c>
      <c r="Z348">
        <v>71.909423225806435</v>
      </c>
      <c r="AB348">
        <v>18</v>
      </c>
      <c r="AC348">
        <v>62.02354683333332</v>
      </c>
      <c r="AE348">
        <v>18</v>
      </c>
      <c r="AF348">
        <v>62.503290193548395</v>
      </c>
      <c r="AH348">
        <v>18</v>
      </c>
      <c r="AI348">
        <v>67.537871233333334</v>
      </c>
      <c r="AK348">
        <v>18</v>
      </c>
      <c r="AL348">
        <v>82.749342161290315</v>
      </c>
    </row>
    <row r="349" spans="1:38">
      <c r="A349">
        <v>19</v>
      </c>
      <c r="B349">
        <v>69.626536180821887</v>
      </c>
      <c r="D349">
        <v>19</v>
      </c>
      <c r="E349">
        <v>99.939094258064515</v>
      </c>
      <c r="G349">
        <v>19</v>
      </c>
      <c r="H349">
        <v>83.959781321428565</v>
      </c>
      <c r="J349">
        <v>19</v>
      </c>
      <c r="K349">
        <v>65.013815064516123</v>
      </c>
      <c r="M349">
        <v>19</v>
      </c>
      <c r="N349">
        <v>65.308405033333358</v>
      </c>
      <c r="P349">
        <v>19</v>
      </c>
      <c r="Q349">
        <v>55.426843419354825</v>
      </c>
      <c r="S349">
        <v>19</v>
      </c>
      <c r="T349">
        <v>53.46806569999999</v>
      </c>
      <c r="V349">
        <v>19</v>
      </c>
      <c r="W349">
        <v>70.181167000000002</v>
      </c>
      <c r="Y349">
        <v>19</v>
      </c>
      <c r="Z349">
        <v>70.131430967741935</v>
      </c>
      <c r="AB349">
        <v>19</v>
      </c>
      <c r="AC349">
        <v>64.504378800000012</v>
      </c>
      <c r="AE349">
        <v>19</v>
      </c>
      <c r="AF349">
        <v>64.345019354838712</v>
      </c>
      <c r="AH349">
        <v>19</v>
      </c>
      <c r="AI349">
        <v>65.130901100000017</v>
      </c>
      <c r="AK349">
        <v>19</v>
      </c>
      <c r="AL349">
        <v>78.525833483870969</v>
      </c>
    </row>
    <row r="350" spans="1:38">
      <c r="A350">
        <v>20</v>
      </c>
      <c r="B350">
        <v>68.870050939726013</v>
      </c>
      <c r="D350">
        <v>20</v>
      </c>
      <c r="E350">
        <v>100.02349335483871</v>
      </c>
      <c r="G350">
        <v>20</v>
      </c>
      <c r="H350">
        <v>81.74792371428569</v>
      </c>
      <c r="J350">
        <v>20</v>
      </c>
      <c r="K350">
        <v>62.782075709677407</v>
      </c>
      <c r="M350">
        <v>20</v>
      </c>
      <c r="N350">
        <v>67.296729666666664</v>
      </c>
      <c r="P350">
        <v>20</v>
      </c>
      <c r="Q350">
        <v>60.343528967741946</v>
      </c>
      <c r="S350">
        <v>20</v>
      </c>
      <c r="T350">
        <v>54.515338666666658</v>
      </c>
      <c r="V350">
        <v>20</v>
      </c>
      <c r="W350">
        <v>68.944118290322578</v>
      </c>
      <c r="Y350">
        <v>20</v>
      </c>
      <c r="Z350">
        <v>70.121973935483879</v>
      </c>
      <c r="AB350">
        <v>20</v>
      </c>
      <c r="AC350">
        <v>63.565626299999991</v>
      </c>
      <c r="AE350">
        <v>20</v>
      </c>
      <c r="AF350">
        <v>61.952313483870974</v>
      </c>
      <c r="AH350">
        <v>20</v>
      </c>
      <c r="AI350">
        <v>61.32056656666667</v>
      </c>
      <c r="AK350">
        <v>20</v>
      </c>
      <c r="AL350">
        <v>74.144718612903219</v>
      </c>
    </row>
    <row r="351" spans="1:38">
      <c r="A351">
        <v>21</v>
      </c>
      <c r="B351">
        <v>64.854444402739716</v>
      </c>
      <c r="D351">
        <v>21</v>
      </c>
      <c r="E351">
        <v>91.476514193548368</v>
      </c>
      <c r="G351">
        <v>21</v>
      </c>
      <c r="H351">
        <v>77.015228500000006</v>
      </c>
      <c r="J351">
        <v>21</v>
      </c>
      <c r="K351">
        <v>59.190403096774176</v>
      </c>
      <c r="M351">
        <v>21</v>
      </c>
      <c r="N351">
        <v>62.276874299999996</v>
      </c>
      <c r="P351">
        <v>21</v>
      </c>
      <c r="Q351">
        <v>60.491969645161312</v>
      </c>
      <c r="S351">
        <v>21</v>
      </c>
      <c r="T351">
        <v>55.413669199999994</v>
      </c>
      <c r="V351">
        <v>21</v>
      </c>
      <c r="W351">
        <v>67.146194096774195</v>
      </c>
      <c r="Y351">
        <v>21</v>
      </c>
      <c r="Z351">
        <v>66.894621483870964</v>
      </c>
      <c r="AB351">
        <v>21</v>
      </c>
      <c r="AC351">
        <v>58.238939366666678</v>
      </c>
      <c r="AE351">
        <v>21</v>
      </c>
      <c r="AF351">
        <v>58.807615677419349</v>
      </c>
      <c r="AH351">
        <v>21</v>
      </c>
      <c r="AI351">
        <v>54.658735833333338</v>
      </c>
      <c r="AK351">
        <v>21</v>
      </c>
      <c r="AL351">
        <v>66.889431741935468</v>
      </c>
    </row>
    <row r="352" spans="1:38">
      <c r="A352">
        <v>22</v>
      </c>
      <c r="B352">
        <v>60.698340298630121</v>
      </c>
      <c r="D352">
        <v>22</v>
      </c>
      <c r="E352">
        <v>88.657848741935481</v>
      </c>
      <c r="G352">
        <v>22</v>
      </c>
      <c r="H352">
        <v>73.682939857142856</v>
      </c>
      <c r="J352">
        <v>22</v>
      </c>
      <c r="K352">
        <v>55.647692161290323</v>
      </c>
      <c r="M352">
        <v>22</v>
      </c>
      <c r="N352">
        <v>57.423027166666657</v>
      </c>
      <c r="P352">
        <v>22</v>
      </c>
      <c r="Q352">
        <v>56.662339451612922</v>
      </c>
      <c r="S352">
        <v>22</v>
      </c>
      <c r="T352">
        <v>53.113939699999996</v>
      </c>
      <c r="V352">
        <v>22</v>
      </c>
      <c r="W352">
        <v>59.78412641935482</v>
      </c>
      <c r="Y352">
        <v>22</v>
      </c>
      <c r="Z352">
        <v>59.277784806451621</v>
      </c>
      <c r="AB352">
        <v>22</v>
      </c>
      <c r="AC352">
        <v>52.359306866666671</v>
      </c>
      <c r="AE352">
        <v>22</v>
      </c>
      <c r="AF352">
        <v>56.446526741935486</v>
      </c>
      <c r="AH352">
        <v>22</v>
      </c>
      <c r="AI352">
        <v>52.423822933333334</v>
      </c>
      <c r="AK352">
        <v>22</v>
      </c>
      <c r="AL352">
        <v>63.271068548387099</v>
      </c>
    </row>
    <row r="353" spans="1:38">
      <c r="A353">
        <v>23</v>
      </c>
      <c r="B353">
        <v>55.615117063013713</v>
      </c>
      <c r="D353">
        <v>23</v>
      </c>
      <c r="E353">
        <v>81.795963161290331</v>
      </c>
      <c r="G353">
        <v>23</v>
      </c>
      <c r="H353">
        <v>71.002892357142869</v>
      </c>
      <c r="J353">
        <v>23</v>
      </c>
      <c r="K353">
        <v>51.107338633333349</v>
      </c>
      <c r="M353">
        <v>23</v>
      </c>
      <c r="N353">
        <v>52.817994700000007</v>
      </c>
      <c r="P353">
        <v>23</v>
      </c>
      <c r="Q353">
        <v>50.681679193548398</v>
      </c>
      <c r="S353">
        <v>23</v>
      </c>
      <c r="T353">
        <v>48.459004700000001</v>
      </c>
      <c r="V353">
        <v>23</v>
      </c>
      <c r="W353">
        <v>52.555967870967756</v>
      </c>
      <c r="Y353">
        <v>23</v>
      </c>
      <c r="Z353">
        <v>52.496774419354836</v>
      </c>
      <c r="AB353">
        <v>23</v>
      </c>
      <c r="AC353">
        <v>47.391394966666667</v>
      </c>
      <c r="AE353">
        <v>23</v>
      </c>
      <c r="AF353">
        <v>49.425998612903228</v>
      </c>
      <c r="AH353">
        <v>23</v>
      </c>
      <c r="AI353">
        <v>48.934309225806452</v>
      </c>
      <c r="AK353">
        <v>23</v>
      </c>
      <c r="AL353">
        <v>61.469460806451636</v>
      </c>
    </row>
    <row r="354" spans="1:38">
      <c r="A354" t="s">
        <v>328</v>
      </c>
      <c r="B354">
        <v>60.4692456400685</v>
      </c>
      <c r="D354" t="s">
        <v>328</v>
      </c>
      <c r="E354">
        <v>89.109780954301058</v>
      </c>
      <c r="G354" t="s">
        <v>328</v>
      </c>
      <c r="H354">
        <v>74.258185068452391</v>
      </c>
      <c r="J354" t="s">
        <v>328</v>
      </c>
      <c r="K354">
        <v>55.710543069399627</v>
      </c>
      <c r="M354" t="s">
        <v>328</v>
      </c>
      <c r="N354">
        <v>56.35714919583333</v>
      </c>
      <c r="P354" t="s">
        <v>328</v>
      </c>
      <c r="Q354">
        <v>53.006090735215075</v>
      </c>
      <c r="S354" t="s">
        <v>328</v>
      </c>
      <c r="T354">
        <v>49.420175773611099</v>
      </c>
      <c r="V354" t="s">
        <v>328</v>
      </c>
      <c r="W354">
        <v>60.164436809139794</v>
      </c>
      <c r="Y354" t="s">
        <v>328</v>
      </c>
      <c r="Z354">
        <v>60.075279301075263</v>
      </c>
      <c r="AB354" t="s">
        <v>328</v>
      </c>
      <c r="AC354">
        <v>53.615666273611112</v>
      </c>
      <c r="AE354" t="s">
        <v>328</v>
      </c>
      <c r="AF354">
        <v>53.319220684139793</v>
      </c>
      <c r="AH354" t="s">
        <v>328</v>
      </c>
      <c r="AI354">
        <v>54.711968408019722</v>
      </c>
      <c r="AK354" t="s">
        <v>328</v>
      </c>
      <c r="AL354">
        <v>66.323913932795691</v>
      </c>
    </row>
    <row r="357" spans="1:38">
      <c r="A357" s="94">
        <v>2027</v>
      </c>
      <c r="B357" s="99" t="s">
        <v>325</v>
      </c>
      <c r="D357">
        <v>1</v>
      </c>
      <c r="E357" s="99" t="s">
        <v>316</v>
      </c>
      <c r="G357">
        <v>2</v>
      </c>
      <c r="H357" s="99" t="s">
        <v>316</v>
      </c>
      <c r="J357">
        <v>3</v>
      </c>
      <c r="K357" s="99" t="s">
        <v>316</v>
      </c>
      <c r="M357">
        <v>4</v>
      </c>
      <c r="N357" s="99" t="s">
        <v>316</v>
      </c>
      <c r="P357">
        <v>5</v>
      </c>
      <c r="Q357" s="99" t="s">
        <v>316</v>
      </c>
      <c r="S357">
        <v>6</v>
      </c>
      <c r="T357" s="99" t="s">
        <v>316</v>
      </c>
      <c r="V357">
        <v>7</v>
      </c>
      <c r="W357" s="99" t="s">
        <v>316</v>
      </c>
      <c r="Y357">
        <v>8</v>
      </c>
      <c r="Z357" s="99" t="s">
        <v>316</v>
      </c>
      <c r="AB357">
        <v>9</v>
      </c>
      <c r="AC357" s="99" t="s">
        <v>316</v>
      </c>
      <c r="AE357">
        <v>10</v>
      </c>
      <c r="AF357" s="99" t="s">
        <v>316</v>
      </c>
      <c r="AH357">
        <v>11</v>
      </c>
      <c r="AI357" s="99" t="s">
        <v>316</v>
      </c>
      <c r="AK357">
        <v>12</v>
      </c>
      <c r="AL357" s="99" t="s">
        <v>316</v>
      </c>
    </row>
    <row r="358" spans="1:38">
      <c r="A358" s="94" t="s">
        <v>308</v>
      </c>
      <c r="B358" s="58">
        <v>8760</v>
      </c>
      <c r="D358" s="94" t="s">
        <v>397</v>
      </c>
      <c r="E358" s="58">
        <v>744</v>
      </c>
      <c r="G358" s="94" t="s">
        <v>398</v>
      </c>
      <c r="H358" s="58">
        <v>672</v>
      </c>
      <c r="J358" s="94" t="s">
        <v>399</v>
      </c>
      <c r="K358" s="58">
        <v>743</v>
      </c>
      <c r="M358" s="94" t="s">
        <v>400</v>
      </c>
      <c r="N358" s="58">
        <v>720</v>
      </c>
      <c r="P358" s="94" t="s">
        <v>401</v>
      </c>
      <c r="Q358" s="58">
        <v>744</v>
      </c>
      <c r="S358" s="94" t="s">
        <v>402</v>
      </c>
      <c r="T358" s="58">
        <v>720</v>
      </c>
      <c r="V358" s="94" t="s">
        <v>403</v>
      </c>
      <c r="W358" s="58">
        <v>744</v>
      </c>
      <c r="Y358" s="94" t="s">
        <v>404</v>
      </c>
      <c r="Z358" s="58">
        <v>744</v>
      </c>
      <c r="AB358" s="94" t="s">
        <v>405</v>
      </c>
      <c r="AC358" s="58">
        <v>720</v>
      </c>
      <c r="AE358" s="94" t="s">
        <v>406</v>
      </c>
      <c r="AF358" s="58">
        <v>744</v>
      </c>
      <c r="AH358" s="94" t="s">
        <v>407</v>
      </c>
      <c r="AI358" s="58">
        <v>721</v>
      </c>
      <c r="AK358" s="94" t="s">
        <v>408</v>
      </c>
      <c r="AL358" s="58">
        <v>744</v>
      </c>
    </row>
    <row r="359" spans="1:38">
      <c r="A359" s="94" t="s">
        <v>326</v>
      </c>
      <c r="B359" s="58">
        <v>0</v>
      </c>
      <c r="D359" s="94" t="s">
        <v>326</v>
      </c>
      <c r="E359" s="58">
        <v>0</v>
      </c>
      <c r="G359" s="94" t="s">
        <v>326</v>
      </c>
      <c r="H359" s="58">
        <v>744</v>
      </c>
      <c r="J359" s="94" t="s">
        <v>326</v>
      </c>
      <c r="K359" s="58">
        <v>1416</v>
      </c>
      <c r="M359" s="94" t="s">
        <v>326</v>
      </c>
      <c r="N359" s="58">
        <v>2159</v>
      </c>
      <c r="P359" s="94" t="s">
        <v>326</v>
      </c>
      <c r="Q359" s="58">
        <v>2879</v>
      </c>
      <c r="S359" s="94" t="s">
        <v>326</v>
      </c>
      <c r="T359" s="58">
        <v>3623</v>
      </c>
      <c r="V359" s="94" t="s">
        <v>326</v>
      </c>
      <c r="W359" s="58">
        <v>4343</v>
      </c>
      <c r="Y359" s="94" t="s">
        <v>326</v>
      </c>
      <c r="Z359" s="58">
        <v>5087</v>
      </c>
      <c r="AB359" s="94" t="s">
        <v>326</v>
      </c>
      <c r="AC359" s="58">
        <v>5831</v>
      </c>
      <c r="AE359" s="94" t="s">
        <v>326</v>
      </c>
      <c r="AF359" s="58">
        <v>6551</v>
      </c>
      <c r="AH359" s="94" t="s">
        <v>326</v>
      </c>
      <c r="AI359" s="58">
        <v>7295</v>
      </c>
      <c r="AK359" s="94" t="s">
        <v>326</v>
      </c>
      <c r="AL359" s="58">
        <v>8016</v>
      </c>
    </row>
    <row r="360" spans="1:38">
      <c r="A360" s="94" t="s">
        <v>327</v>
      </c>
      <c r="B360" s="58">
        <v>8760</v>
      </c>
      <c r="D360" s="94" t="s">
        <v>327</v>
      </c>
      <c r="E360" s="58">
        <v>744</v>
      </c>
      <c r="G360" s="94" t="s">
        <v>327</v>
      </c>
      <c r="H360" s="58">
        <v>1416</v>
      </c>
      <c r="J360" s="94" t="s">
        <v>327</v>
      </c>
      <c r="K360" s="58">
        <v>2159</v>
      </c>
      <c r="M360" s="94" t="s">
        <v>327</v>
      </c>
      <c r="N360" s="58">
        <v>2879</v>
      </c>
      <c r="P360" s="94" t="s">
        <v>327</v>
      </c>
      <c r="Q360" s="58">
        <v>3623</v>
      </c>
      <c r="S360" s="94" t="s">
        <v>327</v>
      </c>
      <c r="T360" s="58">
        <v>4343</v>
      </c>
      <c r="V360" s="94" t="s">
        <v>327</v>
      </c>
      <c r="W360" s="58">
        <v>5087</v>
      </c>
      <c r="Y360" s="94" t="s">
        <v>327</v>
      </c>
      <c r="Z360" s="58">
        <v>5831</v>
      </c>
      <c r="AB360" s="94" t="s">
        <v>327</v>
      </c>
      <c r="AC360" s="58">
        <v>6551</v>
      </c>
      <c r="AE360" s="94" t="s">
        <v>327</v>
      </c>
      <c r="AF360" s="58">
        <v>7295</v>
      </c>
      <c r="AH360" s="94" t="s">
        <v>327</v>
      </c>
      <c r="AI360" s="58">
        <v>8016</v>
      </c>
      <c r="AK360" s="94" t="s">
        <v>327</v>
      </c>
      <c r="AL360" s="58">
        <v>8760</v>
      </c>
    </row>
    <row r="361" spans="1:38">
      <c r="A361" t="s">
        <v>293</v>
      </c>
      <c r="B361" s="16" t="s">
        <v>294</v>
      </c>
      <c r="D361" t="s">
        <v>293</v>
      </c>
      <c r="E361" s="16" t="s">
        <v>294</v>
      </c>
      <c r="G361" t="s">
        <v>293</v>
      </c>
      <c r="H361" s="16" t="s">
        <v>294</v>
      </c>
      <c r="J361" t="s">
        <v>293</v>
      </c>
      <c r="K361" s="16" t="s">
        <v>294</v>
      </c>
      <c r="M361" t="s">
        <v>293</v>
      </c>
      <c r="N361" s="16" t="s">
        <v>294</v>
      </c>
      <c r="P361" t="s">
        <v>293</v>
      </c>
      <c r="Q361" s="16" t="s">
        <v>294</v>
      </c>
      <c r="S361" t="s">
        <v>293</v>
      </c>
      <c r="T361" s="16" t="s">
        <v>294</v>
      </c>
      <c r="V361" t="s">
        <v>293</v>
      </c>
      <c r="W361" s="16" t="s">
        <v>294</v>
      </c>
      <c r="Y361" t="s">
        <v>293</v>
      </c>
      <c r="Z361" s="16" t="s">
        <v>294</v>
      </c>
      <c r="AB361" t="s">
        <v>293</v>
      </c>
      <c r="AC361" s="16" t="s">
        <v>294</v>
      </c>
      <c r="AE361" t="s">
        <v>293</v>
      </c>
      <c r="AF361" s="16" t="s">
        <v>294</v>
      </c>
      <c r="AH361" t="s">
        <v>293</v>
      </c>
      <c r="AI361" s="16" t="s">
        <v>294</v>
      </c>
      <c r="AK361" t="s">
        <v>293</v>
      </c>
      <c r="AL361" s="16" t="s">
        <v>294</v>
      </c>
    </row>
    <row r="362" spans="1:38">
      <c r="A362">
        <v>0</v>
      </c>
      <c r="B362">
        <v>54.260347810958962</v>
      </c>
      <c r="D362">
        <v>0</v>
      </c>
      <c r="E362">
        <v>74.807929806451625</v>
      </c>
      <c r="G362">
        <v>0</v>
      </c>
      <c r="H362">
        <v>72.773373178571447</v>
      </c>
      <c r="J362">
        <v>0</v>
      </c>
      <c r="K362">
        <v>55.441906516129038</v>
      </c>
      <c r="M362">
        <v>0</v>
      </c>
      <c r="N362">
        <v>49.630247833333321</v>
      </c>
      <c r="P362">
        <v>0</v>
      </c>
      <c r="Q362">
        <v>48.941046709677437</v>
      </c>
      <c r="S362">
        <v>0</v>
      </c>
      <c r="T362">
        <v>47.420726133333332</v>
      </c>
      <c r="V362">
        <v>0</v>
      </c>
      <c r="W362">
        <v>50.232207096774204</v>
      </c>
      <c r="Y362">
        <v>0</v>
      </c>
      <c r="Z362">
        <v>50.680330838709679</v>
      </c>
      <c r="AB362">
        <v>0</v>
      </c>
      <c r="AC362">
        <v>46.850104033333317</v>
      </c>
      <c r="AE362">
        <v>0</v>
      </c>
      <c r="AF362">
        <v>47.183831645161305</v>
      </c>
      <c r="AH362">
        <v>0</v>
      </c>
      <c r="AI362">
        <v>47.217416100000001</v>
      </c>
      <c r="AK362">
        <v>0</v>
      </c>
      <c r="AL362">
        <v>60.90041445161291</v>
      </c>
    </row>
    <row r="363" spans="1:38">
      <c r="A363">
        <v>1</v>
      </c>
      <c r="B363">
        <v>52.038565063013714</v>
      </c>
      <c r="D363">
        <v>1</v>
      </c>
      <c r="E363">
        <v>74.154713516129021</v>
      </c>
      <c r="G363">
        <v>1</v>
      </c>
      <c r="H363">
        <v>71.352319678571433</v>
      </c>
      <c r="J363">
        <v>1</v>
      </c>
      <c r="K363">
        <v>52.918098903225797</v>
      </c>
      <c r="M363">
        <v>1</v>
      </c>
      <c r="N363">
        <v>47.566779466666652</v>
      </c>
      <c r="P363">
        <v>1</v>
      </c>
      <c r="Q363">
        <v>46.197037096774189</v>
      </c>
      <c r="S363">
        <v>1</v>
      </c>
      <c r="T363">
        <v>45.278928966666676</v>
      </c>
      <c r="V363">
        <v>1</v>
      </c>
      <c r="W363">
        <v>47.872776967741942</v>
      </c>
      <c r="Y363">
        <v>1</v>
      </c>
      <c r="Z363">
        <v>48.240443838709673</v>
      </c>
      <c r="AB363">
        <v>1</v>
      </c>
      <c r="AC363">
        <v>43.785984633333342</v>
      </c>
      <c r="AE363">
        <v>1</v>
      </c>
      <c r="AF363">
        <v>44.857313548387097</v>
      </c>
      <c r="AH363">
        <v>1</v>
      </c>
      <c r="AI363">
        <v>44.904209199999997</v>
      </c>
      <c r="AK363">
        <v>1</v>
      </c>
      <c r="AL363">
        <v>58.34459125806449</v>
      </c>
    </row>
    <row r="364" spans="1:38">
      <c r="A364">
        <v>2</v>
      </c>
      <c r="B364">
        <v>50.604970898630135</v>
      </c>
      <c r="D364">
        <v>2</v>
      </c>
      <c r="E364">
        <v>74.1411807096774</v>
      </c>
      <c r="G364">
        <v>2</v>
      </c>
      <c r="H364">
        <v>70.214164535714261</v>
      </c>
      <c r="J364">
        <v>2</v>
      </c>
      <c r="K364">
        <v>51.522635258064511</v>
      </c>
      <c r="M364">
        <v>2</v>
      </c>
      <c r="N364">
        <v>46.109450199999991</v>
      </c>
      <c r="P364">
        <v>2</v>
      </c>
      <c r="Q364">
        <v>44.756560258064511</v>
      </c>
      <c r="S364">
        <v>2</v>
      </c>
      <c r="T364">
        <v>43.742725866666667</v>
      </c>
      <c r="V364">
        <v>2</v>
      </c>
      <c r="W364">
        <v>46.407347032258052</v>
      </c>
      <c r="Y364">
        <v>2</v>
      </c>
      <c r="Z364">
        <v>45.840827322580644</v>
      </c>
      <c r="AB364">
        <v>2</v>
      </c>
      <c r="AC364">
        <v>41.926993433333344</v>
      </c>
      <c r="AE364">
        <v>2</v>
      </c>
      <c r="AF364">
        <v>43.517065612903238</v>
      </c>
      <c r="AH364">
        <v>2</v>
      </c>
      <c r="AI364">
        <v>43.803383599999997</v>
      </c>
      <c r="AK364">
        <v>2</v>
      </c>
      <c r="AL364">
        <v>56.309260516129036</v>
      </c>
    </row>
    <row r="365" spans="1:38">
      <c r="A365">
        <v>3</v>
      </c>
      <c r="B365">
        <v>49.859789654794518</v>
      </c>
      <c r="D365">
        <v>3</v>
      </c>
      <c r="E365">
        <v>73.968733870967753</v>
      </c>
      <c r="G365">
        <v>3</v>
      </c>
      <c r="H365">
        <v>69.790880250000015</v>
      </c>
      <c r="J365">
        <v>3</v>
      </c>
      <c r="K365">
        <v>51.199624064516136</v>
      </c>
      <c r="M365">
        <v>3</v>
      </c>
      <c r="N365">
        <v>45.319012233333339</v>
      </c>
      <c r="P365">
        <v>3</v>
      </c>
      <c r="Q365">
        <v>44.136830516129024</v>
      </c>
      <c r="S365">
        <v>3</v>
      </c>
      <c r="T365">
        <v>42.721989299999997</v>
      </c>
      <c r="V365">
        <v>3</v>
      </c>
      <c r="W365">
        <v>45.453727516129035</v>
      </c>
      <c r="Y365">
        <v>3</v>
      </c>
      <c r="Z365">
        <v>44.464529064516128</v>
      </c>
      <c r="AB365">
        <v>3</v>
      </c>
      <c r="AC365">
        <v>40.537113333333338</v>
      </c>
      <c r="AE365">
        <v>3</v>
      </c>
      <c r="AF365">
        <v>42.588677483870967</v>
      </c>
      <c r="AH365">
        <v>3</v>
      </c>
      <c r="AI365">
        <v>43.467673666666663</v>
      </c>
      <c r="AK365">
        <v>3</v>
      </c>
      <c r="AL365">
        <v>55.713842677419365</v>
      </c>
    </row>
    <row r="366" spans="1:38">
      <c r="A366">
        <v>4</v>
      </c>
      <c r="B366">
        <v>50.382012191780824</v>
      </c>
      <c r="D366">
        <v>4</v>
      </c>
      <c r="E366">
        <v>75.11916893548387</v>
      </c>
      <c r="G366">
        <v>4</v>
      </c>
      <c r="H366">
        <v>70.96423885714286</v>
      </c>
      <c r="J366">
        <v>4</v>
      </c>
      <c r="K366">
        <v>52.258343935483879</v>
      </c>
      <c r="M366">
        <v>4</v>
      </c>
      <c r="N366">
        <v>45.882848599999996</v>
      </c>
      <c r="P366">
        <v>4</v>
      </c>
      <c r="Q366">
        <v>44.288035741935488</v>
      </c>
      <c r="S366">
        <v>4</v>
      </c>
      <c r="T366">
        <v>42.704222433333328</v>
      </c>
      <c r="V366">
        <v>4</v>
      </c>
      <c r="W366">
        <v>45.193166612903227</v>
      </c>
      <c r="Y366">
        <v>4</v>
      </c>
      <c r="Z366">
        <v>43.757257064516132</v>
      </c>
      <c r="AB366">
        <v>4</v>
      </c>
      <c r="AC366">
        <v>40.637181366666667</v>
      </c>
      <c r="AE366">
        <v>4</v>
      </c>
      <c r="AF366">
        <v>43.164770096774198</v>
      </c>
      <c r="AH366">
        <v>4</v>
      </c>
      <c r="AI366">
        <v>44.4387525</v>
      </c>
      <c r="AK366">
        <v>4</v>
      </c>
      <c r="AL366">
        <v>57.269116161290327</v>
      </c>
    </row>
    <row r="367" spans="1:38">
      <c r="A367">
        <v>5</v>
      </c>
      <c r="B367">
        <v>53.523097605479514</v>
      </c>
      <c r="D367">
        <v>5</v>
      </c>
      <c r="E367">
        <v>81.55335158064517</v>
      </c>
      <c r="G367">
        <v>5</v>
      </c>
      <c r="H367">
        <v>75.199749964285715</v>
      </c>
      <c r="J367">
        <v>5</v>
      </c>
      <c r="K367">
        <v>56.464077193548398</v>
      </c>
      <c r="M367">
        <v>5</v>
      </c>
      <c r="N367">
        <v>47.987497733333342</v>
      </c>
      <c r="P367">
        <v>5</v>
      </c>
      <c r="Q367">
        <v>46.847679290322574</v>
      </c>
      <c r="S367">
        <v>5</v>
      </c>
      <c r="T367">
        <v>43.700768666666669</v>
      </c>
      <c r="V367">
        <v>5</v>
      </c>
      <c r="W367">
        <v>46.206043000000001</v>
      </c>
      <c r="Y367">
        <v>5</v>
      </c>
      <c r="Z367">
        <v>45.205579645161286</v>
      </c>
      <c r="AB367">
        <v>5</v>
      </c>
      <c r="AC367">
        <v>43.928807766666665</v>
      </c>
      <c r="AE367">
        <v>5</v>
      </c>
      <c r="AF367">
        <v>46.729818419354849</v>
      </c>
      <c r="AH367">
        <v>5</v>
      </c>
      <c r="AI367">
        <v>48.141044366666662</v>
      </c>
      <c r="AK367">
        <v>5</v>
      </c>
      <c r="AL367">
        <v>61.43196929032257</v>
      </c>
    </row>
    <row r="368" spans="1:38">
      <c r="A368">
        <v>6</v>
      </c>
      <c r="B368">
        <v>58.762506405479506</v>
      </c>
      <c r="D368">
        <v>6</v>
      </c>
      <c r="E368">
        <v>96.052304774193544</v>
      </c>
      <c r="G368">
        <v>6</v>
      </c>
      <c r="H368">
        <v>82.84662607142856</v>
      </c>
      <c r="J368">
        <v>6</v>
      </c>
      <c r="K368">
        <v>62.12990629032258</v>
      </c>
      <c r="M368">
        <v>6</v>
      </c>
      <c r="N368">
        <v>51.210113500000006</v>
      </c>
      <c r="P368">
        <v>6</v>
      </c>
      <c r="Q368">
        <v>51.496142225806437</v>
      </c>
      <c r="S368">
        <v>6</v>
      </c>
      <c r="T368">
        <v>45.966137599999996</v>
      </c>
      <c r="V368">
        <v>6</v>
      </c>
      <c r="W368">
        <v>48.883294935483868</v>
      </c>
      <c r="Y368">
        <v>6</v>
      </c>
      <c r="Z368">
        <v>48.244515096774201</v>
      </c>
      <c r="AB368">
        <v>6</v>
      </c>
      <c r="AC368">
        <v>47.489157999999996</v>
      </c>
      <c r="AE368">
        <v>6</v>
      </c>
      <c r="AF368">
        <v>54.094950806451614</v>
      </c>
      <c r="AH368">
        <v>6</v>
      </c>
      <c r="AI368">
        <v>52.92153170000001</v>
      </c>
      <c r="AK368">
        <v>6</v>
      </c>
      <c r="AL368">
        <v>64.937630516129033</v>
      </c>
    </row>
    <row r="369" spans="1:38">
      <c r="A369">
        <v>7</v>
      </c>
      <c r="B369">
        <v>62.956633441095839</v>
      </c>
      <c r="D369">
        <v>7</v>
      </c>
      <c r="E369">
        <v>105.30251119354838</v>
      </c>
      <c r="G369">
        <v>7</v>
      </c>
      <c r="H369">
        <v>86.595849785714265</v>
      </c>
      <c r="J369">
        <v>7</v>
      </c>
      <c r="K369">
        <v>65.466773580645153</v>
      </c>
      <c r="M369">
        <v>7</v>
      </c>
      <c r="N369">
        <v>55.395769733333353</v>
      </c>
      <c r="P369">
        <v>7</v>
      </c>
      <c r="Q369">
        <v>56.550782129032264</v>
      </c>
      <c r="S369">
        <v>7</v>
      </c>
      <c r="T369">
        <v>47.968909933333336</v>
      </c>
      <c r="V369">
        <v>7</v>
      </c>
      <c r="W369">
        <v>52.614626709677424</v>
      </c>
      <c r="Y369">
        <v>7</v>
      </c>
      <c r="Z369">
        <v>52.726991225806444</v>
      </c>
      <c r="AB369">
        <v>7</v>
      </c>
      <c r="AC369">
        <v>51.671589299999987</v>
      </c>
      <c r="AE369">
        <v>7</v>
      </c>
      <c r="AF369">
        <v>58.938734354838708</v>
      </c>
      <c r="AH369">
        <v>7</v>
      </c>
      <c r="AI369">
        <v>55.712205166666671</v>
      </c>
      <c r="AK369">
        <v>7</v>
      </c>
      <c r="AL369">
        <v>67.497425580645142</v>
      </c>
    </row>
    <row r="370" spans="1:38">
      <c r="A370">
        <v>8</v>
      </c>
      <c r="B370">
        <v>64.251799931506895</v>
      </c>
      <c r="D370">
        <v>8</v>
      </c>
      <c r="E370">
        <v>100.98225987096775</v>
      </c>
      <c r="G370">
        <v>8</v>
      </c>
      <c r="H370">
        <v>86.508958785714299</v>
      </c>
      <c r="J370">
        <v>8</v>
      </c>
      <c r="K370">
        <v>66.821293419354845</v>
      </c>
      <c r="M370">
        <v>8</v>
      </c>
      <c r="N370">
        <v>56.872400166666665</v>
      </c>
      <c r="P370">
        <v>8</v>
      </c>
      <c r="Q370">
        <v>58.729242483870969</v>
      </c>
      <c r="S370">
        <v>8</v>
      </c>
      <c r="T370">
        <v>49.30494006666666</v>
      </c>
      <c r="V370">
        <v>8</v>
      </c>
      <c r="W370">
        <v>56.499229</v>
      </c>
      <c r="Y370">
        <v>8</v>
      </c>
      <c r="Z370">
        <v>56.529274419354827</v>
      </c>
      <c r="AB370">
        <v>8</v>
      </c>
      <c r="AC370">
        <v>55.088115033333331</v>
      </c>
      <c r="AE370">
        <v>8</v>
      </c>
      <c r="AF370">
        <v>60.136041032258056</v>
      </c>
      <c r="AH370">
        <v>8</v>
      </c>
      <c r="AI370">
        <v>56.933760166666659</v>
      </c>
      <c r="AK370">
        <v>8</v>
      </c>
      <c r="AL370">
        <v>67.518132870967733</v>
      </c>
    </row>
    <row r="371" spans="1:38">
      <c r="A371">
        <v>9</v>
      </c>
      <c r="B371">
        <v>65.964491912328782</v>
      </c>
      <c r="D371">
        <v>9</v>
      </c>
      <c r="E371">
        <v>98.329463774193556</v>
      </c>
      <c r="G371">
        <v>9</v>
      </c>
      <c r="H371">
        <v>85.569299785714279</v>
      </c>
      <c r="J371">
        <v>9</v>
      </c>
      <c r="K371">
        <v>67.708234064516134</v>
      </c>
      <c r="M371">
        <v>9</v>
      </c>
      <c r="N371">
        <v>58.676423966666682</v>
      </c>
      <c r="P371">
        <v>9</v>
      </c>
      <c r="Q371">
        <v>61.862870838709675</v>
      </c>
      <c r="S371">
        <v>9</v>
      </c>
      <c r="T371">
        <v>50.95276830000001</v>
      </c>
      <c r="V371">
        <v>9</v>
      </c>
      <c r="W371">
        <v>61.120438709677423</v>
      </c>
      <c r="Y371">
        <v>9</v>
      </c>
      <c r="Z371">
        <v>62.160286516129034</v>
      </c>
      <c r="AB371">
        <v>9</v>
      </c>
      <c r="AC371">
        <v>58.946060333333349</v>
      </c>
      <c r="AE371">
        <v>9</v>
      </c>
      <c r="AF371">
        <v>62.193304903225808</v>
      </c>
      <c r="AH371">
        <v>9</v>
      </c>
      <c r="AI371">
        <v>57.889192433333342</v>
      </c>
      <c r="AK371">
        <v>9</v>
      </c>
      <c r="AL371">
        <v>66.856556129032285</v>
      </c>
    </row>
    <row r="372" spans="1:38">
      <c r="A372">
        <v>10</v>
      </c>
      <c r="B372">
        <v>67.33980731232873</v>
      </c>
      <c r="D372">
        <v>10</v>
      </c>
      <c r="E372">
        <v>96.831693870967769</v>
      </c>
      <c r="G372">
        <v>10</v>
      </c>
      <c r="H372">
        <v>84.691825964285727</v>
      </c>
      <c r="J372">
        <v>10</v>
      </c>
      <c r="K372">
        <v>68.769383322580651</v>
      </c>
      <c r="M372">
        <v>10</v>
      </c>
      <c r="N372">
        <v>59.861368933333345</v>
      </c>
      <c r="P372">
        <v>10</v>
      </c>
      <c r="Q372">
        <v>63.119490419354825</v>
      </c>
      <c r="S372">
        <v>10</v>
      </c>
      <c r="T372">
        <v>52.481074166666666</v>
      </c>
      <c r="V372">
        <v>10</v>
      </c>
      <c r="W372">
        <v>66.54433977419356</v>
      </c>
      <c r="Y372">
        <v>10</v>
      </c>
      <c r="Z372">
        <v>66.486620064516117</v>
      </c>
      <c r="AB372">
        <v>10</v>
      </c>
      <c r="AC372">
        <v>61.499694800000007</v>
      </c>
      <c r="AE372">
        <v>10</v>
      </c>
      <c r="AF372">
        <v>63.741710225806443</v>
      </c>
      <c r="AH372">
        <v>10</v>
      </c>
      <c r="AI372">
        <v>58.17135849999999</v>
      </c>
      <c r="AK372">
        <v>10</v>
      </c>
      <c r="AL372">
        <v>66.353654258064509</v>
      </c>
    </row>
    <row r="373" spans="1:38">
      <c r="A373">
        <v>11</v>
      </c>
      <c r="B373">
        <v>67.421754786301335</v>
      </c>
      <c r="D373">
        <v>11</v>
      </c>
      <c r="E373">
        <v>92.363842838709701</v>
      </c>
      <c r="G373">
        <v>11</v>
      </c>
      <c r="H373">
        <v>82.525058142857134</v>
      </c>
      <c r="J373">
        <v>11</v>
      </c>
      <c r="K373">
        <v>67.468328806451609</v>
      </c>
      <c r="M373">
        <v>11</v>
      </c>
      <c r="N373">
        <v>60.062134600000007</v>
      </c>
      <c r="P373">
        <v>11</v>
      </c>
      <c r="Q373">
        <v>62.937433225806451</v>
      </c>
      <c r="S373">
        <v>11</v>
      </c>
      <c r="T373">
        <v>54.088952800000015</v>
      </c>
      <c r="V373">
        <v>11</v>
      </c>
      <c r="W373">
        <v>70.486048870967721</v>
      </c>
      <c r="Y373">
        <v>11</v>
      </c>
      <c r="Z373">
        <v>69.491113516129062</v>
      </c>
      <c r="AB373">
        <v>11</v>
      </c>
      <c r="AC373">
        <v>62.974168300000002</v>
      </c>
      <c r="AE373">
        <v>11</v>
      </c>
      <c r="AF373">
        <v>63.578966354838713</v>
      </c>
      <c r="AH373">
        <v>11</v>
      </c>
      <c r="AI373">
        <v>58.0210686</v>
      </c>
      <c r="AK373">
        <v>11</v>
      </c>
      <c r="AL373">
        <v>65.411335419354842</v>
      </c>
    </row>
    <row r="374" spans="1:38">
      <c r="A374">
        <v>12</v>
      </c>
      <c r="B374">
        <v>66.623381153424617</v>
      </c>
      <c r="D374">
        <v>12</v>
      </c>
      <c r="E374">
        <v>88.277034774193552</v>
      </c>
      <c r="G374">
        <v>12</v>
      </c>
      <c r="H374">
        <v>78.574666142857154</v>
      </c>
      <c r="J374">
        <v>12</v>
      </c>
      <c r="K374">
        <v>66.383824645161297</v>
      </c>
      <c r="M374">
        <v>12</v>
      </c>
      <c r="N374">
        <v>58.879701066666669</v>
      </c>
      <c r="P374">
        <v>12</v>
      </c>
      <c r="Q374">
        <v>62.244686354838706</v>
      </c>
      <c r="S374">
        <v>12</v>
      </c>
      <c r="T374">
        <v>54.081630199999985</v>
      </c>
      <c r="V374">
        <v>12</v>
      </c>
      <c r="W374">
        <v>72.396695870967719</v>
      </c>
      <c r="Y374">
        <v>12</v>
      </c>
      <c r="Z374">
        <v>70.509562677419339</v>
      </c>
      <c r="AB374">
        <v>12</v>
      </c>
      <c r="AC374">
        <v>63.518194733333338</v>
      </c>
      <c r="AE374">
        <v>12</v>
      </c>
      <c r="AF374">
        <v>63.286709096774175</v>
      </c>
      <c r="AH374">
        <v>12</v>
      </c>
      <c r="AI374">
        <v>56.966507866666674</v>
      </c>
      <c r="AK374">
        <v>12</v>
      </c>
      <c r="AL374">
        <v>64.451888290322572</v>
      </c>
    </row>
    <row r="375" spans="1:38">
      <c r="A375">
        <v>13</v>
      </c>
      <c r="B375">
        <v>66.20321852328766</v>
      </c>
      <c r="D375">
        <v>13</v>
      </c>
      <c r="E375">
        <v>85.532313161290318</v>
      </c>
      <c r="G375">
        <v>13</v>
      </c>
      <c r="H375">
        <v>76.620260750000014</v>
      </c>
      <c r="J375">
        <v>13</v>
      </c>
      <c r="K375">
        <v>64.673126774193548</v>
      </c>
      <c r="M375">
        <v>13</v>
      </c>
      <c r="N375">
        <v>58.127325966666675</v>
      </c>
      <c r="P375">
        <v>13</v>
      </c>
      <c r="Q375">
        <v>62.025142806451605</v>
      </c>
      <c r="S375">
        <v>13</v>
      </c>
      <c r="T375">
        <v>54.22123666666667</v>
      </c>
      <c r="V375">
        <v>13</v>
      </c>
      <c r="W375">
        <v>73.82299616129032</v>
      </c>
      <c r="Y375">
        <v>13</v>
      </c>
      <c r="Z375">
        <v>72.166360870967736</v>
      </c>
      <c r="AB375">
        <v>13</v>
      </c>
      <c r="AC375">
        <v>64.159386600000005</v>
      </c>
      <c r="AE375">
        <v>13</v>
      </c>
      <c r="AF375">
        <v>63.1078349032258</v>
      </c>
      <c r="AH375">
        <v>13</v>
      </c>
      <c r="AI375">
        <v>56.663293466666673</v>
      </c>
      <c r="AK375">
        <v>13</v>
      </c>
      <c r="AL375">
        <v>63.306747225806468</v>
      </c>
    </row>
    <row r="376" spans="1:38">
      <c r="A376">
        <v>14</v>
      </c>
      <c r="B376">
        <v>65.58076419452054</v>
      </c>
      <c r="D376">
        <v>14</v>
      </c>
      <c r="E376">
        <v>83.379374838709666</v>
      </c>
      <c r="G376">
        <v>14</v>
      </c>
      <c r="H376">
        <v>75.219846749999988</v>
      </c>
      <c r="J376">
        <v>14</v>
      </c>
      <c r="K376">
        <v>63.086776354838705</v>
      </c>
      <c r="M376">
        <v>14</v>
      </c>
      <c r="N376">
        <v>56.969498466666671</v>
      </c>
      <c r="P376">
        <v>14</v>
      </c>
      <c r="Q376">
        <v>60.463225774193546</v>
      </c>
      <c r="S376">
        <v>14</v>
      </c>
      <c r="T376">
        <v>54.908135300000005</v>
      </c>
      <c r="V376">
        <v>14</v>
      </c>
      <c r="W376">
        <v>74.551368193548399</v>
      </c>
      <c r="Y376">
        <v>14</v>
      </c>
      <c r="Z376">
        <v>73.598527064516134</v>
      </c>
      <c r="AB376">
        <v>14</v>
      </c>
      <c r="AC376">
        <v>63.494242299999996</v>
      </c>
      <c r="AE376">
        <v>14</v>
      </c>
      <c r="AF376">
        <v>62.521127806451616</v>
      </c>
      <c r="AH376">
        <v>14</v>
      </c>
      <c r="AI376">
        <v>56.004117533333336</v>
      </c>
      <c r="AK376">
        <v>14</v>
      </c>
      <c r="AL376">
        <v>62.707452032258061</v>
      </c>
    </row>
    <row r="377" spans="1:38">
      <c r="A377">
        <v>15</v>
      </c>
      <c r="B377">
        <v>65.484728378082181</v>
      </c>
      <c r="D377">
        <v>15</v>
      </c>
      <c r="E377">
        <v>84.252868161290309</v>
      </c>
      <c r="G377">
        <v>15</v>
      </c>
      <c r="H377">
        <v>75.010012428571443</v>
      </c>
      <c r="J377">
        <v>15</v>
      </c>
      <c r="K377">
        <v>62.759732387096761</v>
      </c>
      <c r="M377">
        <v>15</v>
      </c>
      <c r="N377">
        <v>56.422673933333314</v>
      </c>
      <c r="P377">
        <v>15</v>
      </c>
      <c r="Q377">
        <v>59.652730903225809</v>
      </c>
      <c r="S377">
        <v>15</v>
      </c>
      <c r="T377">
        <v>53.814953500000001</v>
      </c>
      <c r="V377">
        <v>15</v>
      </c>
      <c r="W377">
        <v>75.459862096774188</v>
      </c>
      <c r="Y377">
        <v>15</v>
      </c>
      <c r="Z377">
        <v>73.464160870967731</v>
      </c>
      <c r="AB377">
        <v>15</v>
      </c>
      <c r="AC377">
        <v>63.094331500000017</v>
      </c>
      <c r="AE377">
        <v>15</v>
      </c>
      <c r="AF377">
        <v>62.425392129032254</v>
      </c>
      <c r="AH377">
        <v>15</v>
      </c>
      <c r="AI377">
        <v>55.964395199999991</v>
      </c>
      <c r="AK377">
        <v>15</v>
      </c>
      <c r="AL377">
        <v>63.364443322580655</v>
      </c>
    </row>
    <row r="378" spans="1:38">
      <c r="A378">
        <v>16</v>
      </c>
      <c r="B378">
        <v>67.377730205479452</v>
      </c>
      <c r="D378">
        <v>16</v>
      </c>
      <c r="E378">
        <v>88.798872903225799</v>
      </c>
      <c r="G378">
        <v>16</v>
      </c>
      <c r="H378">
        <v>77.523453964285707</v>
      </c>
      <c r="J378">
        <v>16</v>
      </c>
      <c r="K378">
        <v>63.430602935483883</v>
      </c>
      <c r="M378">
        <v>16</v>
      </c>
      <c r="N378">
        <v>55.418885533333338</v>
      </c>
      <c r="P378">
        <v>16</v>
      </c>
      <c r="Q378">
        <v>61.085218387096766</v>
      </c>
      <c r="S378">
        <v>16</v>
      </c>
      <c r="T378">
        <v>52.543774633333342</v>
      </c>
      <c r="V378">
        <v>16</v>
      </c>
      <c r="W378">
        <v>75.915164741935484</v>
      </c>
      <c r="Y378">
        <v>16</v>
      </c>
      <c r="Z378">
        <v>75.084423419354849</v>
      </c>
      <c r="AB378">
        <v>16</v>
      </c>
      <c r="AC378">
        <v>64.771308466666667</v>
      </c>
      <c r="AE378">
        <v>16</v>
      </c>
      <c r="AF378">
        <v>63.749262645161295</v>
      </c>
      <c r="AH378">
        <v>16</v>
      </c>
      <c r="AI378">
        <v>61.130911366666673</v>
      </c>
      <c r="AK378">
        <v>16</v>
      </c>
      <c r="AL378">
        <v>68.912855419354827</v>
      </c>
    </row>
    <row r="379" spans="1:38">
      <c r="A379">
        <v>17</v>
      </c>
      <c r="B379">
        <v>71.755096643835557</v>
      </c>
      <c r="D379">
        <v>17</v>
      </c>
      <c r="E379">
        <v>105.42169703225807</v>
      </c>
      <c r="G379">
        <v>17</v>
      </c>
      <c r="H379">
        <v>82.759605964285697</v>
      </c>
      <c r="J379">
        <v>17</v>
      </c>
      <c r="K379">
        <v>66.114432612903229</v>
      </c>
      <c r="M379">
        <v>17</v>
      </c>
      <c r="N379">
        <v>55.956488566666664</v>
      </c>
      <c r="P379">
        <v>17</v>
      </c>
      <c r="Q379">
        <v>61.35048461290323</v>
      </c>
      <c r="S379">
        <v>17</v>
      </c>
      <c r="T379">
        <v>55.259111866666672</v>
      </c>
      <c r="V379">
        <v>17</v>
      </c>
      <c r="W379">
        <v>76.037903516129049</v>
      </c>
      <c r="Y379">
        <v>17</v>
      </c>
      <c r="Z379">
        <v>74.345075096774195</v>
      </c>
      <c r="AB379">
        <v>17</v>
      </c>
      <c r="AC379">
        <v>65.267803166666653</v>
      </c>
      <c r="AE379">
        <v>17</v>
      </c>
      <c r="AF379">
        <v>66.664456129032246</v>
      </c>
      <c r="AH379">
        <v>17</v>
      </c>
      <c r="AI379">
        <v>67.991353166666656</v>
      </c>
      <c r="AK379">
        <v>17</v>
      </c>
      <c r="AL379">
        <v>83.585260838709644</v>
      </c>
    </row>
    <row r="380" spans="1:38">
      <c r="A380">
        <v>18</v>
      </c>
      <c r="B380">
        <v>72.99409558904118</v>
      </c>
      <c r="D380">
        <v>18</v>
      </c>
      <c r="E380">
        <v>109.92959987096776</v>
      </c>
      <c r="G380">
        <v>18</v>
      </c>
      <c r="H380">
        <v>90.885352321428556</v>
      </c>
      <c r="J380">
        <v>18</v>
      </c>
      <c r="K380">
        <v>71.360976774193574</v>
      </c>
      <c r="M380">
        <v>18</v>
      </c>
      <c r="N380">
        <v>57.883427966666645</v>
      </c>
      <c r="P380">
        <v>18</v>
      </c>
      <c r="Q380">
        <v>58.831268677419352</v>
      </c>
      <c r="S380">
        <v>18</v>
      </c>
      <c r="T380">
        <v>54.678163733333328</v>
      </c>
      <c r="V380">
        <v>18</v>
      </c>
      <c r="W380">
        <v>74.583896258064527</v>
      </c>
      <c r="Y380">
        <v>18</v>
      </c>
      <c r="Z380">
        <v>73.264607225806415</v>
      </c>
      <c r="AB380">
        <v>18</v>
      </c>
      <c r="AC380">
        <v>65.625527566666662</v>
      </c>
      <c r="AE380">
        <v>18</v>
      </c>
      <c r="AF380">
        <v>68.825835612903234</v>
      </c>
      <c r="AH380">
        <v>18</v>
      </c>
      <c r="AI380">
        <v>67.249166633333317</v>
      </c>
      <c r="AK380">
        <v>18</v>
      </c>
      <c r="AL380">
        <v>83.041442935483857</v>
      </c>
    </row>
    <row r="381" spans="1:38">
      <c r="A381">
        <v>19</v>
      </c>
      <c r="B381">
        <v>72.555779331506827</v>
      </c>
      <c r="D381">
        <v>19</v>
      </c>
      <c r="E381">
        <v>106.35563925806453</v>
      </c>
      <c r="G381">
        <v>19</v>
      </c>
      <c r="H381">
        <v>89.66778696428571</v>
      </c>
      <c r="J381">
        <v>19</v>
      </c>
      <c r="K381">
        <v>72.962956903225816</v>
      </c>
      <c r="M381">
        <v>19</v>
      </c>
      <c r="N381">
        <v>61.281381333333336</v>
      </c>
      <c r="P381">
        <v>19</v>
      </c>
      <c r="Q381">
        <v>60.471992612903243</v>
      </c>
      <c r="S381">
        <v>19</v>
      </c>
      <c r="T381">
        <v>54.848321166666658</v>
      </c>
      <c r="V381">
        <v>19</v>
      </c>
      <c r="W381">
        <v>71.603243193548394</v>
      </c>
      <c r="Y381">
        <v>19</v>
      </c>
      <c r="Z381">
        <v>71.757849354838712</v>
      </c>
      <c r="AB381">
        <v>19</v>
      </c>
      <c r="AC381">
        <v>67.381034333333332</v>
      </c>
      <c r="AE381">
        <v>19</v>
      </c>
      <c r="AF381">
        <v>70.059609096774182</v>
      </c>
      <c r="AH381">
        <v>19</v>
      </c>
      <c r="AI381">
        <v>65.384052966666658</v>
      </c>
      <c r="AK381">
        <v>19</v>
      </c>
      <c r="AL381">
        <v>79.21831367741936</v>
      </c>
    </row>
    <row r="382" spans="1:38">
      <c r="A382">
        <v>20</v>
      </c>
      <c r="B382">
        <v>70.915423805479449</v>
      </c>
      <c r="D382">
        <v>20</v>
      </c>
      <c r="E382">
        <v>101.34031412903228</v>
      </c>
      <c r="G382">
        <v>20</v>
      </c>
      <c r="H382">
        <v>87.157503642857137</v>
      </c>
      <c r="J382">
        <v>20</v>
      </c>
      <c r="K382">
        <v>70.810160290322585</v>
      </c>
      <c r="M382">
        <v>20</v>
      </c>
      <c r="N382">
        <v>63.14047089999999</v>
      </c>
      <c r="P382">
        <v>20</v>
      </c>
      <c r="Q382">
        <v>63.445265806451609</v>
      </c>
      <c r="S382">
        <v>20</v>
      </c>
      <c r="T382">
        <v>55.982757500000005</v>
      </c>
      <c r="V382">
        <v>20</v>
      </c>
      <c r="W382">
        <v>70.279470838709685</v>
      </c>
      <c r="Y382">
        <v>20</v>
      </c>
      <c r="Z382">
        <v>71.941879096774201</v>
      </c>
      <c r="AB382">
        <v>20</v>
      </c>
      <c r="AC382">
        <v>66.077005966666675</v>
      </c>
      <c r="AE382">
        <v>20</v>
      </c>
      <c r="AF382">
        <v>68.612475129032248</v>
      </c>
      <c r="AH382">
        <v>20</v>
      </c>
      <c r="AI382">
        <v>58.475597433333327</v>
      </c>
      <c r="AK382">
        <v>20</v>
      </c>
      <c r="AL382">
        <v>74.004132548387091</v>
      </c>
    </row>
    <row r="383" spans="1:38">
      <c r="A383">
        <v>21</v>
      </c>
      <c r="B383">
        <v>67.015058216438291</v>
      </c>
      <c r="D383">
        <v>21</v>
      </c>
      <c r="E383">
        <v>94.376952129032233</v>
      </c>
      <c r="G383">
        <v>21</v>
      </c>
      <c r="H383">
        <v>81.915104535714278</v>
      </c>
      <c r="J383">
        <v>21</v>
      </c>
      <c r="K383">
        <v>66.819901806451611</v>
      </c>
      <c r="M383">
        <v>21</v>
      </c>
      <c r="N383">
        <v>57.270622200000005</v>
      </c>
      <c r="P383">
        <v>21</v>
      </c>
      <c r="Q383">
        <v>63.001998096774209</v>
      </c>
      <c r="S383">
        <v>21</v>
      </c>
      <c r="T383">
        <v>56.578609933333347</v>
      </c>
      <c r="V383">
        <v>21</v>
      </c>
      <c r="W383">
        <v>69.355092064516157</v>
      </c>
      <c r="Y383">
        <v>21</v>
      </c>
      <c r="Z383">
        <v>69.026502322580654</v>
      </c>
      <c r="AB383">
        <v>21</v>
      </c>
      <c r="AC383">
        <v>60.597395366666667</v>
      </c>
      <c r="AE383">
        <v>21</v>
      </c>
      <c r="AF383">
        <v>64.780481516129043</v>
      </c>
      <c r="AH383">
        <v>21</v>
      </c>
      <c r="AI383">
        <v>54.004371133333343</v>
      </c>
      <c r="AK383">
        <v>21</v>
      </c>
      <c r="AL383">
        <v>66.617890225806448</v>
      </c>
    </row>
    <row r="384" spans="1:38">
      <c r="A384">
        <v>22</v>
      </c>
      <c r="B384">
        <v>62.558218750684944</v>
      </c>
      <c r="D384">
        <v>22</v>
      </c>
      <c r="E384">
        <v>87.648490419354843</v>
      </c>
      <c r="G384">
        <v>22</v>
      </c>
      <c r="H384">
        <v>78.050421357142838</v>
      </c>
      <c r="J384">
        <v>22</v>
      </c>
      <c r="K384">
        <v>62.839797064516141</v>
      </c>
      <c r="M384">
        <v>22</v>
      </c>
      <c r="N384">
        <v>55.542868733333343</v>
      </c>
      <c r="P384">
        <v>22</v>
      </c>
      <c r="Q384">
        <v>59.662902354838707</v>
      </c>
      <c r="S384">
        <v>22</v>
      </c>
      <c r="T384">
        <v>54.659476433333332</v>
      </c>
      <c r="V384">
        <v>22</v>
      </c>
      <c r="W384">
        <v>61.005127225806461</v>
      </c>
      <c r="Y384">
        <v>22</v>
      </c>
      <c r="Z384">
        <v>61.16046625806451</v>
      </c>
      <c r="AB384">
        <v>22</v>
      </c>
      <c r="AC384">
        <v>54.675962399999996</v>
      </c>
      <c r="AE384">
        <v>22</v>
      </c>
      <c r="AF384">
        <v>60.57373061290324</v>
      </c>
      <c r="AH384">
        <v>22</v>
      </c>
      <c r="AI384">
        <v>52.421124866666666</v>
      </c>
      <c r="AK384">
        <v>22</v>
      </c>
      <c r="AL384">
        <v>62.895133580645172</v>
      </c>
    </row>
    <row r="385" spans="1:38">
      <c r="A385">
        <v>23</v>
      </c>
      <c r="B385">
        <v>57.477694745205454</v>
      </c>
      <c r="D385">
        <v>23</v>
      </c>
      <c r="E385">
        <v>80.596746129032255</v>
      </c>
      <c r="G385">
        <v>23</v>
      </c>
      <c r="H385">
        <v>75.686273785714292</v>
      </c>
      <c r="J385">
        <v>23</v>
      </c>
      <c r="K385">
        <v>58.340463866666681</v>
      </c>
      <c r="M385">
        <v>23</v>
      </c>
      <c r="N385">
        <v>52.33058956666666</v>
      </c>
      <c r="P385">
        <v>23</v>
      </c>
      <c r="Q385">
        <v>53.671483806451604</v>
      </c>
      <c r="S385">
        <v>23</v>
      </c>
      <c r="T385">
        <v>49.835443966666659</v>
      </c>
      <c r="V385">
        <v>23</v>
      </c>
      <c r="W385">
        <v>53.634132032258073</v>
      </c>
      <c r="Y385">
        <v>23</v>
      </c>
      <c r="Z385">
        <v>54.048593580645154</v>
      </c>
      <c r="AB385">
        <v>23</v>
      </c>
      <c r="AC385">
        <v>49.828395199999981</v>
      </c>
      <c r="AE385">
        <v>23</v>
      </c>
      <c r="AF385">
        <v>51.71493838709678</v>
      </c>
      <c r="AH385">
        <v>23</v>
      </c>
      <c r="AI385">
        <v>49.853577774193553</v>
      </c>
      <c r="AK385">
        <v>23</v>
      </c>
      <c r="AL385">
        <v>61.322339193548395</v>
      </c>
    </row>
    <row r="386" spans="1:38">
      <c r="A386" t="s">
        <v>328</v>
      </c>
      <c r="B386">
        <v>62.662790272945195</v>
      </c>
      <c r="D386" t="s">
        <v>328</v>
      </c>
      <c r="E386">
        <v>89.979877397849464</v>
      </c>
      <c r="G386" t="s">
        <v>328</v>
      </c>
      <c r="H386">
        <v>79.504276400297613</v>
      </c>
      <c r="J386" t="s">
        <v>328</v>
      </c>
      <c r="K386">
        <v>62.822973240412189</v>
      </c>
      <c r="M386" t="s">
        <v>328</v>
      </c>
      <c r="N386">
        <v>54.741582549999997</v>
      </c>
      <c r="P386" t="s">
        <v>328</v>
      </c>
      <c r="Q386">
        <v>56.490397963709675</v>
      </c>
      <c r="S386" t="s">
        <v>328</v>
      </c>
      <c r="T386">
        <v>50.739323297222221</v>
      </c>
      <c r="V386" t="s">
        <v>328</v>
      </c>
      <c r="W386">
        <v>61.923258267473123</v>
      </c>
      <c r="Y386" t="s">
        <v>328</v>
      </c>
      <c r="Z386">
        <v>61.424824018817212</v>
      </c>
      <c r="AB386" t="s">
        <v>328</v>
      </c>
      <c r="AC386">
        <v>55.992731580555557</v>
      </c>
      <c r="AE386" t="s">
        <v>328</v>
      </c>
      <c r="AF386">
        <v>58.210293231182789</v>
      </c>
      <c r="AH386" t="s">
        <v>328</v>
      </c>
      <c r="AI386">
        <v>54.73875272531361</v>
      </c>
      <c r="AK386" t="s">
        <v>328</v>
      </c>
      <c r="AL386">
        <v>65.915492850806459</v>
      </c>
    </row>
    <row r="389" spans="1:38">
      <c r="A389" s="94">
        <v>2028</v>
      </c>
      <c r="B389" s="99" t="s">
        <v>325</v>
      </c>
      <c r="D389">
        <v>1</v>
      </c>
      <c r="E389" s="99" t="s">
        <v>316</v>
      </c>
      <c r="G389">
        <v>2</v>
      </c>
      <c r="H389" s="99" t="s">
        <v>316</v>
      </c>
      <c r="J389">
        <v>3</v>
      </c>
      <c r="K389" s="99" t="s">
        <v>316</v>
      </c>
      <c r="M389">
        <v>4</v>
      </c>
      <c r="N389" s="99" t="s">
        <v>316</v>
      </c>
      <c r="P389">
        <v>5</v>
      </c>
      <c r="Q389" s="99" t="s">
        <v>316</v>
      </c>
      <c r="S389">
        <v>6</v>
      </c>
      <c r="T389" s="99" t="s">
        <v>316</v>
      </c>
      <c r="V389">
        <v>7</v>
      </c>
      <c r="W389" s="99" t="s">
        <v>316</v>
      </c>
      <c r="Y389">
        <v>8</v>
      </c>
      <c r="Z389" s="99" t="s">
        <v>316</v>
      </c>
      <c r="AB389">
        <v>9</v>
      </c>
      <c r="AC389" s="99" t="s">
        <v>316</v>
      </c>
      <c r="AE389">
        <v>10</v>
      </c>
      <c r="AF389" s="99" t="s">
        <v>316</v>
      </c>
      <c r="AH389">
        <v>11</v>
      </c>
      <c r="AI389" s="99" t="s">
        <v>316</v>
      </c>
      <c r="AK389">
        <v>12</v>
      </c>
      <c r="AL389" s="99" t="s">
        <v>316</v>
      </c>
    </row>
    <row r="390" spans="1:38">
      <c r="A390" s="94" t="s">
        <v>308</v>
      </c>
      <c r="B390" s="58">
        <v>8784</v>
      </c>
      <c r="D390" s="94" t="s">
        <v>397</v>
      </c>
      <c r="E390" s="58">
        <v>744</v>
      </c>
      <c r="G390" s="94" t="s">
        <v>398</v>
      </c>
      <c r="H390" s="58">
        <v>696</v>
      </c>
      <c r="J390" s="94" t="s">
        <v>399</v>
      </c>
      <c r="K390" s="58">
        <v>743</v>
      </c>
      <c r="M390" s="94" t="s">
        <v>400</v>
      </c>
      <c r="N390" s="58">
        <v>720</v>
      </c>
      <c r="P390" s="94" t="s">
        <v>401</v>
      </c>
      <c r="Q390" s="58">
        <v>744</v>
      </c>
      <c r="S390" s="94" t="s">
        <v>402</v>
      </c>
      <c r="T390" s="58">
        <v>720</v>
      </c>
      <c r="V390" s="94" t="s">
        <v>403</v>
      </c>
      <c r="W390" s="58">
        <v>744</v>
      </c>
      <c r="Y390" s="94" t="s">
        <v>404</v>
      </c>
      <c r="Z390" s="58">
        <v>744</v>
      </c>
      <c r="AB390" s="94" t="s">
        <v>405</v>
      </c>
      <c r="AC390" s="58">
        <v>720</v>
      </c>
      <c r="AE390" s="94" t="s">
        <v>406</v>
      </c>
      <c r="AF390" s="58">
        <v>744</v>
      </c>
      <c r="AH390" s="94" t="s">
        <v>407</v>
      </c>
      <c r="AI390" s="58">
        <v>721</v>
      </c>
      <c r="AK390" s="94" t="s">
        <v>408</v>
      </c>
      <c r="AL390" s="58">
        <v>744</v>
      </c>
    </row>
    <row r="391" spans="1:38">
      <c r="A391" s="94" t="s">
        <v>326</v>
      </c>
      <c r="B391" s="58">
        <v>0</v>
      </c>
      <c r="D391" s="94" t="s">
        <v>326</v>
      </c>
      <c r="E391" s="58">
        <v>0</v>
      </c>
      <c r="G391" s="94" t="s">
        <v>326</v>
      </c>
      <c r="H391" s="58">
        <v>744</v>
      </c>
      <c r="J391" s="94" t="s">
        <v>326</v>
      </c>
      <c r="K391" s="58">
        <v>1440</v>
      </c>
      <c r="M391" s="94" t="s">
        <v>326</v>
      </c>
      <c r="N391" s="58">
        <v>2183</v>
      </c>
      <c r="P391" s="94" t="s">
        <v>326</v>
      </c>
      <c r="Q391" s="58">
        <v>2903</v>
      </c>
      <c r="S391" s="94" t="s">
        <v>326</v>
      </c>
      <c r="T391" s="58">
        <v>3647</v>
      </c>
      <c r="V391" s="94" t="s">
        <v>326</v>
      </c>
      <c r="W391" s="58">
        <v>4367</v>
      </c>
      <c r="Y391" s="94" t="s">
        <v>326</v>
      </c>
      <c r="Z391" s="58">
        <v>5111</v>
      </c>
      <c r="AB391" s="94" t="s">
        <v>326</v>
      </c>
      <c r="AC391" s="58">
        <v>5855</v>
      </c>
      <c r="AE391" s="94" t="s">
        <v>326</v>
      </c>
      <c r="AF391" s="58">
        <v>6575</v>
      </c>
      <c r="AH391" s="94" t="s">
        <v>326</v>
      </c>
      <c r="AI391" s="58">
        <v>7319</v>
      </c>
      <c r="AK391" s="94" t="s">
        <v>326</v>
      </c>
      <c r="AL391" s="58">
        <v>8040</v>
      </c>
    </row>
    <row r="392" spans="1:38">
      <c r="A392" s="94" t="s">
        <v>327</v>
      </c>
      <c r="B392" s="58">
        <v>8784</v>
      </c>
      <c r="D392" s="94" t="s">
        <v>327</v>
      </c>
      <c r="E392" s="58">
        <v>744</v>
      </c>
      <c r="G392" s="94" t="s">
        <v>327</v>
      </c>
      <c r="H392" s="58">
        <v>1440</v>
      </c>
      <c r="J392" s="94" t="s">
        <v>327</v>
      </c>
      <c r="K392" s="58">
        <v>2183</v>
      </c>
      <c r="M392" s="94" t="s">
        <v>327</v>
      </c>
      <c r="N392" s="58">
        <v>2903</v>
      </c>
      <c r="P392" s="94" t="s">
        <v>327</v>
      </c>
      <c r="Q392" s="58">
        <v>3647</v>
      </c>
      <c r="S392" s="94" t="s">
        <v>327</v>
      </c>
      <c r="T392" s="58">
        <v>4367</v>
      </c>
      <c r="V392" s="94" t="s">
        <v>327</v>
      </c>
      <c r="W392" s="58">
        <v>5111</v>
      </c>
      <c r="Y392" s="94" t="s">
        <v>327</v>
      </c>
      <c r="Z392" s="58">
        <v>5855</v>
      </c>
      <c r="AB392" s="94" t="s">
        <v>327</v>
      </c>
      <c r="AC392" s="58">
        <v>6575</v>
      </c>
      <c r="AE392" s="94" t="s">
        <v>327</v>
      </c>
      <c r="AF392" s="58">
        <v>7319</v>
      </c>
      <c r="AH392" s="94" t="s">
        <v>327</v>
      </c>
      <c r="AI392" s="58">
        <v>8040</v>
      </c>
      <c r="AK392" s="94" t="s">
        <v>327</v>
      </c>
      <c r="AL392" s="58">
        <v>8784</v>
      </c>
    </row>
    <row r="393" spans="1:38">
      <c r="A393" t="s">
        <v>293</v>
      </c>
      <c r="B393" s="16" t="s">
        <v>294</v>
      </c>
      <c r="D393" t="s">
        <v>293</v>
      </c>
      <c r="E393" s="16" t="s">
        <v>294</v>
      </c>
      <c r="G393" t="s">
        <v>293</v>
      </c>
      <c r="H393" s="16" t="s">
        <v>294</v>
      </c>
      <c r="J393" t="s">
        <v>293</v>
      </c>
      <c r="K393" s="16" t="s">
        <v>294</v>
      </c>
      <c r="M393" t="s">
        <v>293</v>
      </c>
      <c r="N393" s="16" t="s">
        <v>294</v>
      </c>
      <c r="P393" t="s">
        <v>293</v>
      </c>
      <c r="Q393" s="16" t="s">
        <v>294</v>
      </c>
      <c r="S393" t="s">
        <v>293</v>
      </c>
      <c r="T393" s="16" t="s">
        <v>294</v>
      </c>
      <c r="V393" t="s">
        <v>293</v>
      </c>
      <c r="W393" s="16" t="s">
        <v>294</v>
      </c>
      <c r="Y393" t="s">
        <v>293</v>
      </c>
      <c r="Z393" s="16" t="s">
        <v>294</v>
      </c>
      <c r="AB393" t="s">
        <v>293</v>
      </c>
      <c r="AC393" s="16" t="s">
        <v>294</v>
      </c>
      <c r="AE393" t="s">
        <v>293</v>
      </c>
      <c r="AF393" s="16" t="s">
        <v>294</v>
      </c>
      <c r="AH393" t="s">
        <v>293</v>
      </c>
      <c r="AI393" s="16" t="s">
        <v>294</v>
      </c>
      <c r="AK393" t="s">
        <v>293</v>
      </c>
      <c r="AL393" s="16" t="s">
        <v>294</v>
      </c>
    </row>
    <row r="394" spans="1:38">
      <c r="A394">
        <v>0</v>
      </c>
      <c r="B394">
        <v>56.486163103825156</v>
      </c>
      <c r="D394">
        <v>0</v>
      </c>
      <c r="E394">
        <v>77.424554999999998</v>
      </c>
      <c r="G394">
        <v>0</v>
      </c>
      <c r="H394">
        <v>76.502946000000009</v>
      </c>
      <c r="J394">
        <v>0</v>
      </c>
      <c r="K394">
        <v>58.096277451612899</v>
      </c>
      <c r="M394">
        <v>0</v>
      </c>
      <c r="N394">
        <v>51.648263566666671</v>
      </c>
      <c r="P394">
        <v>0</v>
      </c>
      <c r="Q394">
        <v>49.809362677419358</v>
      </c>
      <c r="S394">
        <v>0</v>
      </c>
      <c r="T394">
        <v>49.444877100000014</v>
      </c>
      <c r="V394">
        <v>0</v>
      </c>
      <c r="W394">
        <v>51.632538161290327</v>
      </c>
      <c r="Y394">
        <v>0</v>
      </c>
      <c r="Z394">
        <v>52.312581225806454</v>
      </c>
      <c r="AB394">
        <v>0</v>
      </c>
      <c r="AC394">
        <v>48.142728333333331</v>
      </c>
      <c r="AE394">
        <v>0</v>
      </c>
      <c r="AF394">
        <v>49.489750322580633</v>
      </c>
      <c r="AH394">
        <v>0</v>
      </c>
      <c r="AI394">
        <v>50.042661299999999</v>
      </c>
      <c r="AK394">
        <v>0</v>
      </c>
      <c r="AL394">
        <v>63.71862396774192</v>
      </c>
    </row>
    <row r="395" spans="1:38">
      <c r="A395">
        <v>1</v>
      </c>
      <c r="B395">
        <v>53.934653289617536</v>
      </c>
      <c r="D395">
        <v>1</v>
      </c>
      <c r="E395">
        <v>76.686674612903218</v>
      </c>
      <c r="G395">
        <v>1</v>
      </c>
      <c r="H395">
        <v>73.89967334482759</v>
      </c>
      <c r="J395">
        <v>1</v>
      </c>
      <c r="K395">
        <v>55.161246064516128</v>
      </c>
      <c r="M395">
        <v>1</v>
      </c>
      <c r="N395">
        <v>48.794415733333317</v>
      </c>
      <c r="P395">
        <v>1</v>
      </c>
      <c r="Q395">
        <v>47.322178000000015</v>
      </c>
      <c r="S395">
        <v>1</v>
      </c>
      <c r="T395">
        <v>47.136480699999993</v>
      </c>
      <c r="V395">
        <v>1</v>
      </c>
      <c r="W395">
        <v>49.224299290322577</v>
      </c>
      <c r="Y395">
        <v>1</v>
      </c>
      <c r="Z395">
        <v>49.450453064516125</v>
      </c>
      <c r="AB395">
        <v>1</v>
      </c>
      <c r="AC395">
        <v>44.715311866666681</v>
      </c>
      <c r="AE395">
        <v>1</v>
      </c>
      <c r="AF395">
        <v>46.390953612903239</v>
      </c>
      <c r="AH395">
        <v>1</v>
      </c>
      <c r="AI395">
        <v>47.208522933333334</v>
      </c>
      <c r="AK395">
        <v>1</v>
      </c>
      <c r="AL395">
        <v>61.614215999999999</v>
      </c>
    </row>
    <row r="396" spans="1:38">
      <c r="A396">
        <v>2</v>
      </c>
      <c r="B396">
        <v>52.5349802568306</v>
      </c>
      <c r="D396">
        <v>2</v>
      </c>
      <c r="E396">
        <v>76.774772870967738</v>
      </c>
      <c r="G396">
        <v>2</v>
      </c>
      <c r="H396">
        <v>73.390669724137922</v>
      </c>
      <c r="J396">
        <v>2</v>
      </c>
      <c r="K396">
        <v>53.336064645161301</v>
      </c>
      <c r="M396">
        <v>2</v>
      </c>
      <c r="N396">
        <v>47.453091399999991</v>
      </c>
      <c r="P396">
        <v>2</v>
      </c>
      <c r="Q396">
        <v>46.183450032258072</v>
      </c>
      <c r="S396">
        <v>2</v>
      </c>
      <c r="T396">
        <v>45.550039700000006</v>
      </c>
      <c r="V396">
        <v>2</v>
      </c>
      <c r="W396">
        <v>47.58749783870968</v>
      </c>
      <c r="Y396">
        <v>2</v>
      </c>
      <c r="Z396">
        <v>47.181353516129043</v>
      </c>
      <c r="AB396">
        <v>2</v>
      </c>
      <c r="AC396">
        <v>42.727084333333345</v>
      </c>
      <c r="AE396">
        <v>2</v>
      </c>
      <c r="AF396">
        <v>45.056592096774189</v>
      </c>
      <c r="AH396">
        <v>2</v>
      </c>
      <c r="AI396">
        <v>45.799553233333327</v>
      </c>
      <c r="AK396">
        <v>2</v>
      </c>
      <c r="AL396">
        <v>59.80221390322582</v>
      </c>
    </row>
    <row r="397" spans="1:38">
      <c r="A397">
        <v>3</v>
      </c>
      <c r="B397">
        <v>51.723951494535541</v>
      </c>
      <c r="D397">
        <v>3</v>
      </c>
      <c r="E397">
        <v>76.935274322580668</v>
      </c>
      <c r="G397">
        <v>3</v>
      </c>
      <c r="H397">
        <v>72.983614034482756</v>
      </c>
      <c r="J397">
        <v>3</v>
      </c>
      <c r="K397">
        <v>52.845980967741944</v>
      </c>
      <c r="M397">
        <v>3</v>
      </c>
      <c r="N397">
        <v>46.630704566666672</v>
      </c>
      <c r="P397">
        <v>3</v>
      </c>
      <c r="Q397">
        <v>45.646639483870977</v>
      </c>
      <c r="S397">
        <v>3</v>
      </c>
      <c r="T397">
        <v>44.38314323333335</v>
      </c>
      <c r="V397">
        <v>3</v>
      </c>
      <c r="W397">
        <v>46.448854225806443</v>
      </c>
      <c r="Y397">
        <v>3</v>
      </c>
      <c r="Z397">
        <v>45.748465774193555</v>
      </c>
      <c r="AB397">
        <v>3</v>
      </c>
      <c r="AC397">
        <v>41.440346066666663</v>
      </c>
      <c r="AE397">
        <v>3</v>
      </c>
      <c r="AF397">
        <v>43.752309354838701</v>
      </c>
      <c r="AH397">
        <v>3</v>
      </c>
      <c r="AI397">
        <v>45.392763033333317</v>
      </c>
      <c r="AK397">
        <v>3</v>
      </c>
      <c r="AL397">
        <v>58.913854354838719</v>
      </c>
    </row>
    <row r="398" spans="1:38">
      <c r="A398">
        <v>4</v>
      </c>
      <c r="B398">
        <v>52.371113579235015</v>
      </c>
      <c r="D398">
        <v>4</v>
      </c>
      <c r="E398">
        <v>78.696665290322585</v>
      </c>
      <c r="G398">
        <v>4</v>
      </c>
      <c r="H398">
        <v>74.697043241379305</v>
      </c>
      <c r="J398">
        <v>4</v>
      </c>
      <c r="K398">
        <v>54.484180870967734</v>
      </c>
      <c r="M398">
        <v>4</v>
      </c>
      <c r="N398">
        <v>47.209564433333334</v>
      </c>
      <c r="P398">
        <v>4</v>
      </c>
      <c r="Q398">
        <v>45.889332290322592</v>
      </c>
      <c r="S398">
        <v>4</v>
      </c>
      <c r="T398">
        <v>44.382894699999994</v>
      </c>
      <c r="V398">
        <v>4</v>
      </c>
      <c r="W398">
        <v>46.006993161290303</v>
      </c>
      <c r="Y398">
        <v>4</v>
      </c>
      <c r="Z398">
        <v>45.125488064516119</v>
      </c>
      <c r="AB398">
        <v>4</v>
      </c>
      <c r="AC398">
        <v>41.244578400000002</v>
      </c>
      <c r="AE398">
        <v>4</v>
      </c>
      <c r="AF398">
        <v>44.241088548387104</v>
      </c>
      <c r="AH398">
        <v>4</v>
      </c>
      <c r="AI398">
        <v>46.890624266666663</v>
      </c>
      <c r="AK398">
        <v>4</v>
      </c>
      <c r="AL398">
        <v>60.065395709677418</v>
      </c>
    </row>
    <row r="399" spans="1:38">
      <c r="A399">
        <v>5</v>
      </c>
      <c r="B399">
        <v>55.966575557377077</v>
      </c>
      <c r="D399">
        <v>5</v>
      </c>
      <c r="E399">
        <v>86.906925612903251</v>
      </c>
      <c r="G399">
        <v>5</v>
      </c>
      <c r="H399">
        <v>79.801462862068988</v>
      </c>
      <c r="J399">
        <v>5</v>
      </c>
      <c r="K399">
        <v>59.549526354838711</v>
      </c>
      <c r="M399">
        <v>5</v>
      </c>
      <c r="N399">
        <v>50.778301833333337</v>
      </c>
      <c r="P399">
        <v>5</v>
      </c>
      <c r="Q399">
        <v>47.970862451612909</v>
      </c>
      <c r="S399">
        <v>5</v>
      </c>
      <c r="T399">
        <v>45.437470733333335</v>
      </c>
      <c r="V399">
        <v>5</v>
      </c>
      <c r="W399">
        <v>46.978789096774193</v>
      </c>
      <c r="Y399">
        <v>5</v>
      </c>
      <c r="Z399">
        <v>46.534657290322585</v>
      </c>
      <c r="AB399">
        <v>5</v>
      </c>
      <c r="AC399">
        <v>44.650867933333345</v>
      </c>
      <c r="AE399">
        <v>5</v>
      </c>
      <c r="AF399">
        <v>49.32875858064515</v>
      </c>
      <c r="AH399">
        <v>5</v>
      </c>
      <c r="AI399">
        <v>50.969350166666665</v>
      </c>
      <c r="AK399">
        <v>5</v>
      </c>
      <c r="AL399">
        <v>63.196432580645173</v>
      </c>
    </row>
    <row r="400" spans="1:38">
      <c r="A400">
        <v>6</v>
      </c>
      <c r="B400">
        <v>61.37787515573774</v>
      </c>
      <c r="D400">
        <v>6</v>
      </c>
      <c r="E400">
        <v>100.1116406451613</v>
      </c>
      <c r="G400">
        <v>6</v>
      </c>
      <c r="H400">
        <v>87.768128620689666</v>
      </c>
      <c r="J400">
        <v>6</v>
      </c>
      <c r="K400">
        <v>64.853308032258056</v>
      </c>
      <c r="M400">
        <v>6</v>
      </c>
      <c r="N400">
        <v>55.168989033333332</v>
      </c>
      <c r="P400">
        <v>6</v>
      </c>
      <c r="Q400">
        <v>53.136603354838719</v>
      </c>
      <c r="S400">
        <v>6</v>
      </c>
      <c r="T400">
        <v>47.738537666666652</v>
      </c>
      <c r="V400">
        <v>6</v>
      </c>
      <c r="W400">
        <v>49.948511935483864</v>
      </c>
      <c r="Y400">
        <v>6</v>
      </c>
      <c r="Z400">
        <v>50.315652258064524</v>
      </c>
      <c r="AB400">
        <v>6</v>
      </c>
      <c r="AC400">
        <v>48.366632900000006</v>
      </c>
      <c r="AE400">
        <v>6</v>
      </c>
      <c r="AF400">
        <v>55.781468612903225</v>
      </c>
      <c r="AH400">
        <v>6</v>
      </c>
      <c r="AI400">
        <v>57.01847033333334</v>
      </c>
      <c r="AK400">
        <v>6</v>
      </c>
      <c r="AL400">
        <v>66.828546741935483</v>
      </c>
    </row>
    <row r="401" spans="1:38">
      <c r="A401">
        <v>7</v>
      </c>
      <c r="B401">
        <v>65.015324265027274</v>
      </c>
      <c r="D401">
        <v>7</v>
      </c>
      <c r="E401">
        <v>105.18416667741936</v>
      </c>
      <c r="G401">
        <v>7</v>
      </c>
      <c r="H401">
        <v>91.734122758620728</v>
      </c>
      <c r="J401">
        <v>7</v>
      </c>
      <c r="K401">
        <v>67.36596851612903</v>
      </c>
      <c r="M401">
        <v>7</v>
      </c>
      <c r="N401">
        <v>59.763478466666676</v>
      </c>
      <c r="P401">
        <v>7</v>
      </c>
      <c r="Q401">
        <v>57.853275483870959</v>
      </c>
      <c r="S401">
        <v>7</v>
      </c>
      <c r="T401">
        <v>49.431155533333332</v>
      </c>
      <c r="V401">
        <v>7</v>
      </c>
      <c r="W401">
        <v>53.554121387096771</v>
      </c>
      <c r="Y401">
        <v>7</v>
      </c>
      <c r="Z401">
        <v>54.680540999999991</v>
      </c>
      <c r="AB401">
        <v>7</v>
      </c>
      <c r="AC401">
        <v>52.499634233333339</v>
      </c>
      <c r="AE401">
        <v>7</v>
      </c>
      <c r="AF401">
        <v>58.942877516129037</v>
      </c>
      <c r="AH401">
        <v>7</v>
      </c>
      <c r="AI401">
        <v>60.201368766666668</v>
      </c>
      <c r="AK401">
        <v>7</v>
      </c>
      <c r="AL401">
        <v>69.465823967741926</v>
      </c>
    </row>
    <row r="402" spans="1:38">
      <c r="A402">
        <v>8</v>
      </c>
      <c r="B402">
        <v>66.526828322404398</v>
      </c>
      <c r="D402">
        <v>8</v>
      </c>
      <c r="E402">
        <v>102.87748470967742</v>
      </c>
      <c r="G402">
        <v>8</v>
      </c>
      <c r="H402">
        <v>92.217827551724127</v>
      </c>
      <c r="J402">
        <v>8</v>
      </c>
      <c r="K402">
        <v>68.931384129032253</v>
      </c>
      <c r="M402">
        <v>8</v>
      </c>
      <c r="N402">
        <v>61.524228233333332</v>
      </c>
      <c r="P402">
        <v>8</v>
      </c>
      <c r="Q402">
        <v>59.656802580645163</v>
      </c>
      <c r="S402">
        <v>8</v>
      </c>
      <c r="T402">
        <v>51.209006433333322</v>
      </c>
      <c r="V402">
        <v>8</v>
      </c>
      <c r="W402">
        <v>57.082963290322567</v>
      </c>
      <c r="Y402">
        <v>8</v>
      </c>
      <c r="Z402">
        <v>58.645156548387092</v>
      </c>
      <c r="AB402">
        <v>8</v>
      </c>
      <c r="AC402">
        <v>55.124682800000002</v>
      </c>
      <c r="AE402">
        <v>8</v>
      </c>
      <c r="AF402">
        <v>61.271496548387098</v>
      </c>
      <c r="AH402">
        <v>8</v>
      </c>
      <c r="AI402">
        <v>60.760512666666664</v>
      </c>
      <c r="AK402">
        <v>8</v>
      </c>
      <c r="AL402">
        <v>69.468559387096775</v>
      </c>
    </row>
    <row r="403" spans="1:38">
      <c r="A403">
        <v>9</v>
      </c>
      <c r="B403">
        <v>68.60906274316946</v>
      </c>
      <c r="D403">
        <v>9</v>
      </c>
      <c r="E403">
        <v>101.47549606451614</v>
      </c>
      <c r="G403">
        <v>9</v>
      </c>
      <c r="H403">
        <v>91.877401172413769</v>
      </c>
      <c r="J403">
        <v>9</v>
      </c>
      <c r="K403">
        <v>70.406802096774186</v>
      </c>
      <c r="M403">
        <v>9</v>
      </c>
      <c r="N403">
        <v>64.433733699999991</v>
      </c>
      <c r="P403">
        <v>9</v>
      </c>
      <c r="Q403">
        <v>61.979004258064535</v>
      </c>
      <c r="S403">
        <v>9</v>
      </c>
      <c r="T403">
        <v>53.854873333333323</v>
      </c>
      <c r="V403">
        <v>9</v>
      </c>
      <c r="W403">
        <v>61.960404000000004</v>
      </c>
      <c r="Y403">
        <v>9</v>
      </c>
      <c r="Z403">
        <v>64.228529419354842</v>
      </c>
      <c r="AB403">
        <v>9</v>
      </c>
      <c r="AC403">
        <v>58.555790533333337</v>
      </c>
      <c r="AE403">
        <v>9</v>
      </c>
      <c r="AF403">
        <v>64.186823161290334</v>
      </c>
      <c r="AH403">
        <v>9</v>
      </c>
      <c r="AI403">
        <v>62.106831899999996</v>
      </c>
      <c r="AK403">
        <v>9</v>
      </c>
      <c r="AL403">
        <v>68.59956829032258</v>
      </c>
    </row>
    <row r="404" spans="1:38">
      <c r="A404">
        <v>10</v>
      </c>
      <c r="B404">
        <v>70.128337598360716</v>
      </c>
      <c r="D404">
        <v>10</v>
      </c>
      <c r="E404">
        <v>100.35181077419357</v>
      </c>
      <c r="G404">
        <v>10</v>
      </c>
      <c r="H404">
        <v>91.421064724137935</v>
      </c>
      <c r="J404">
        <v>10</v>
      </c>
      <c r="K404">
        <v>71.101502290322571</v>
      </c>
      <c r="M404">
        <v>10</v>
      </c>
      <c r="N404">
        <v>66.206325966666682</v>
      </c>
      <c r="P404">
        <v>10</v>
      </c>
      <c r="Q404">
        <v>63.531791967741938</v>
      </c>
      <c r="S404">
        <v>10</v>
      </c>
      <c r="T404">
        <v>55.725824766666683</v>
      </c>
      <c r="V404">
        <v>10</v>
      </c>
      <c r="W404">
        <v>67.157749709677404</v>
      </c>
      <c r="Y404">
        <v>10</v>
      </c>
      <c r="Z404">
        <v>68.517641516129018</v>
      </c>
      <c r="AB404">
        <v>10</v>
      </c>
      <c r="AC404">
        <v>61.732025000000007</v>
      </c>
      <c r="AE404">
        <v>10</v>
      </c>
      <c r="AF404">
        <v>65.127457225806452</v>
      </c>
      <c r="AH404">
        <v>10</v>
      </c>
      <c r="AI404">
        <v>62.534806533333338</v>
      </c>
      <c r="AK404">
        <v>10</v>
      </c>
      <c r="AL404">
        <v>68.398859935483884</v>
      </c>
    </row>
    <row r="405" spans="1:38">
      <c r="A405">
        <v>11</v>
      </c>
      <c r="B405">
        <v>70.358540314207715</v>
      </c>
      <c r="D405">
        <v>11</v>
      </c>
      <c r="E405">
        <v>96.315848806451598</v>
      </c>
      <c r="G405">
        <v>11</v>
      </c>
      <c r="H405">
        <v>87.97416486206896</v>
      </c>
      <c r="J405">
        <v>11</v>
      </c>
      <c r="K405">
        <v>69.904564903225804</v>
      </c>
      <c r="M405">
        <v>11</v>
      </c>
      <c r="N405">
        <v>66.83417883333334</v>
      </c>
      <c r="P405">
        <v>11</v>
      </c>
      <c r="Q405">
        <v>62.798956999999987</v>
      </c>
      <c r="S405">
        <v>11</v>
      </c>
      <c r="T405">
        <v>57.707159166666656</v>
      </c>
      <c r="V405">
        <v>11</v>
      </c>
      <c r="W405">
        <v>71.804917612903225</v>
      </c>
      <c r="Y405">
        <v>11</v>
      </c>
      <c r="Z405">
        <v>72.745584967741962</v>
      </c>
      <c r="AB405">
        <v>11</v>
      </c>
      <c r="AC405">
        <v>63.950074266666661</v>
      </c>
      <c r="AE405">
        <v>11</v>
      </c>
      <c r="AF405">
        <v>64.609485451612898</v>
      </c>
      <c r="AH405">
        <v>11</v>
      </c>
      <c r="AI405">
        <v>62.506469066666668</v>
      </c>
      <c r="AK405">
        <v>11</v>
      </c>
      <c r="AL405">
        <v>67.305755258064508</v>
      </c>
    </row>
    <row r="406" spans="1:38">
      <c r="A406">
        <v>12</v>
      </c>
      <c r="B406">
        <v>69.589108494535466</v>
      </c>
      <c r="D406">
        <v>12</v>
      </c>
      <c r="E406">
        <v>91.859636000000037</v>
      </c>
      <c r="G406">
        <v>12</v>
      </c>
      <c r="H406">
        <v>84.717480655172395</v>
      </c>
      <c r="J406">
        <v>12</v>
      </c>
      <c r="K406">
        <v>68.479954225806452</v>
      </c>
      <c r="M406">
        <v>12</v>
      </c>
      <c r="N406">
        <v>65.392898700000003</v>
      </c>
      <c r="P406">
        <v>12</v>
      </c>
      <c r="Q406">
        <v>61.924779580645158</v>
      </c>
      <c r="S406">
        <v>12</v>
      </c>
      <c r="T406">
        <v>58.324404466666664</v>
      </c>
      <c r="V406">
        <v>12</v>
      </c>
      <c r="W406">
        <v>74.417657838709673</v>
      </c>
      <c r="Y406">
        <v>12</v>
      </c>
      <c r="Z406">
        <v>73.438550741935487</v>
      </c>
      <c r="AB406">
        <v>12</v>
      </c>
      <c r="AC406">
        <v>65.149429666666663</v>
      </c>
      <c r="AE406">
        <v>12</v>
      </c>
      <c r="AF406">
        <v>64.234151838709678</v>
      </c>
      <c r="AH406">
        <v>12</v>
      </c>
      <c r="AI406">
        <v>61.173509366666657</v>
      </c>
      <c r="AK406">
        <v>12</v>
      </c>
      <c r="AL406">
        <v>66.019447322580646</v>
      </c>
    </row>
    <row r="407" spans="1:38">
      <c r="A407">
        <v>13</v>
      </c>
      <c r="B407">
        <v>69.230555357923464</v>
      </c>
      <c r="D407">
        <v>13</v>
      </c>
      <c r="E407">
        <v>89.496864580645166</v>
      </c>
      <c r="G407">
        <v>13</v>
      </c>
      <c r="H407">
        <v>82.438128517241395</v>
      </c>
      <c r="J407">
        <v>13</v>
      </c>
      <c r="K407">
        <v>67.068029806451634</v>
      </c>
      <c r="M407">
        <v>13</v>
      </c>
      <c r="N407">
        <v>64.173008733333333</v>
      </c>
      <c r="P407">
        <v>13</v>
      </c>
      <c r="Q407">
        <v>61.06577448387096</v>
      </c>
      <c r="S407">
        <v>13</v>
      </c>
      <c r="T407">
        <v>58.924969333333337</v>
      </c>
      <c r="V407">
        <v>13</v>
      </c>
      <c r="W407">
        <v>76.223831548387082</v>
      </c>
      <c r="Y407">
        <v>13</v>
      </c>
      <c r="Z407">
        <v>76.21920638709679</v>
      </c>
      <c r="AB407">
        <v>13</v>
      </c>
      <c r="AC407">
        <v>65.230578533333329</v>
      </c>
      <c r="AE407">
        <v>13</v>
      </c>
      <c r="AF407">
        <v>63.992433258064509</v>
      </c>
      <c r="AH407">
        <v>13</v>
      </c>
      <c r="AI407">
        <v>60.695860066666668</v>
      </c>
      <c r="AK407">
        <v>13</v>
      </c>
      <c r="AL407">
        <v>65.190151354838704</v>
      </c>
    </row>
    <row r="408" spans="1:38">
      <c r="A408">
        <v>14</v>
      </c>
      <c r="B408">
        <v>68.464641770491795</v>
      </c>
      <c r="D408">
        <v>14</v>
      </c>
      <c r="E408">
        <v>87.868693774193531</v>
      </c>
      <c r="G408">
        <v>14</v>
      </c>
      <c r="H408">
        <v>80.139545517241359</v>
      </c>
      <c r="J408">
        <v>14</v>
      </c>
      <c r="K408">
        <v>65.051890387096762</v>
      </c>
      <c r="M408">
        <v>14</v>
      </c>
      <c r="N408">
        <v>62.887915666666657</v>
      </c>
      <c r="P408">
        <v>14</v>
      </c>
      <c r="Q408">
        <v>59.409666903225812</v>
      </c>
      <c r="S408">
        <v>14</v>
      </c>
      <c r="T408">
        <v>59.407461500000004</v>
      </c>
      <c r="V408">
        <v>14</v>
      </c>
      <c r="W408">
        <v>76.915743516129027</v>
      </c>
      <c r="Y408">
        <v>14</v>
      </c>
      <c r="Z408">
        <v>77.806784548387085</v>
      </c>
      <c r="AB408">
        <v>14</v>
      </c>
      <c r="AC408">
        <v>64.269625766666678</v>
      </c>
      <c r="AE408">
        <v>14</v>
      </c>
      <c r="AF408">
        <v>63.359794612903237</v>
      </c>
      <c r="AH408">
        <v>14</v>
      </c>
      <c r="AI408">
        <v>59.922879133333339</v>
      </c>
      <c r="AK408">
        <v>14</v>
      </c>
      <c r="AL408">
        <v>64.405994193548395</v>
      </c>
    </row>
    <row r="409" spans="1:38">
      <c r="A409">
        <v>15</v>
      </c>
      <c r="B409">
        <v>68.598761265027321</v>
      </c>
      <c r="D409">
        <v>15</v>
      </c>
      <c r="E409">
        <v>89.27170438709679</v>
      </c>
      <c r="G409">
        <v>15</v>
      </c>
      <c r="H409">
        <v>79.923768517241371</v>
      </c>
      <c r="J409">
        <v>15</v>
      </c>
      <c r="K409">
        <v>64.55962564516129</v>
      </c>
      <c r="M409">
        <v>15</v>
      </c>
      <c r="N409">
        <v>62.092271200000006</v>
      </c>
      <c r="P409">
        <v>15</v>
      </c>
      <c r="Q409">
        <v>58.604502935483865</v>
      </c>
      <c r="S409">
        <v>15</v>
      </c>
      <c r="T409">
        <v>59.755728966666666</v>
      </c>
      <c r="V409">
        <v>15</v>
      </c>
      <c r="W409">
        <v>77.546964580645152</v>
      </c>
      <c r="Y409">
        <v>15</v>
      </c>
      <c r="Z409">
        <v>78.628780419354825</v>
      </c>
      <c r="AB409">
        <v>15</v>
      </c>
      <c r="AC409">
        <v>64.362100000000012</v>
      </c>
      <c r="AE409">
        <v>15</v>
      </c>
      <c r="AF409">
        <v>63.237881483870964</v>
      </c>
      <c r="AH409">
        <v>15</v>
      </c>
      <c r="AI409">
        <v>59.847087933333349</v>
      </c>
      <c r="AK409">
        <v>15</v>
      </c>
      <c r="AL409">
        <v>65.171240322580658</v>
      </c>
    </row>
    <row r="410" spans="1:38">
      <c r="A410">
        <v>16</v>
      </c>
      <c r="B410">
        <v>71.094777243169418</v>
      </c>
      <c r="D410">
        <v>16</v>
      </c>
      <c r="E410">
        <v>95.982113967741938</v>
      </c>
      <c r="G410">
        <v>16</v>
      </c>
      <c r="H410">
        <v>82.53227413793104</v>
      </c>
      <c r="J410">
        <v>16</v>
      </c>
      <c r="K410">
        <v>65.881557096774202</v>
      </c>
      <c r="M410">
        <v>16</v>
      </c>
      <c r="N410">
        <v>63.738757200000009</v>
      </c>
      <c r="P410">
        <v>16</v>
      </c>
      <c r="Q410">
        <v>60.178712806451614</v>
      </c>
      <c r="S410">
        <v>16</v>
      </c>
      <c r="T410">
        <v>59.912227533333329</v>
      </c>
      <c r="V410">
        <v>16</v>
      </c>
      <c r="W410">
        <v>79.573962322580641</v>
      </c>
      <c r="Y410">
        <v>16</v>
      </c>
      <c r="Z410">
        <v>81.026972516129007</v>
      </c>
      <c r="AB410">
        <v>16</v>
      </c>
      <c r="AC410">
        <v>65.756307166666673</v>
      </c>
      <c r="AE410">
        <v>16</v>
      </c>
      <c r="AF410">
        <v>64.649799258064505</v>
      </c>
      <c r="AH410">
        <v>16</v>
      </c>
      <c r="AI410">
        <v>63.684713399999993</v>
      </c>
      <c r="AK410">
        <v>16</v>
      </c>
      <c r="AL410">
        <v>69.94857112903226</v>
      </c>
    </row>
    <row r="411" spans="1:38">
      <c r="A411">
        <v>17</v>
      </c>
      <c r="B411">
        <v>75.522270991803296</v>
      </c>
      <c r="D411">
        <v>17</v>
      </c>
      <c r="E411">
        <v>111.86556077419354</v>
      </c>
      <c r="G411">
        <v>17</v>
      </c>
      <c r="H411">
        <v>88.348995103448317</v>
      </c>
      <c r="J411">
        <v>17</v>
      </c>
      <c r="K411">
        <v>69.314926032258043</v>
      </c>
      <c r="M411">
        <v>17</v>
      </c>
      <c r="N411">
        <v>64.230329399999988</v>
      </c>
      <c r="P411">
        <v>17</v>
      </c>
      <c r="Q411">
        <v>61.087686741935464</v>
      </c>
      <c r="S411">
        <v>17</v>
      </c>
      <c r="T411">
        <v>60.852751400000002</v>
      </c>
      <c r="V411">
        <v>17</v>
      </c>
      <c r="W411">
        <v>80.512201548387097</v>
      </c>
      <c r="Y411">
        <v>17</v>
      </c>
      <c r="Z411">
        <v>80.576080161290335</v>
      </c>
      <c r="AB411">
        <v>17</v>
      </c>
      <c r="AC411">
        <v>65.642030933333331</v>
      </c>
      <c r="AE411">
        <v>17</v>
      </c>
      <c r="AF411">
        <v>67.471736903225818</v>
      </c>
      <c r="AH411">
        <v>17</v>
      </c>
      <c r="AI411">
        <v>71.325318066666668</v>
      </c>
      <c r="AK411">
        <v>17</v>
      </c>
      <c r="AL411">
        <v>84.575595935483847</v>
      </c>
    </row>
    <row r="412" spans="1:38">
      <c r="A412">
        <v>18</v>
      </c>
      <c r="B412">
        <v>76.659897084699409</v>
      </c>
      <c r="D412">
        <v>18</v>
      </c>
      <c r="E412">
        <v>115.84249932258064</v>
      </c>
      <c r="G412">
        <v>18</v>
      </c>
      <c r="H412">
        <v>96.385097551724144</v>
      </c>
      <c r="J412">
        <v>18</v>
      </c>
      <c r="K412">
        <v>75.857882580645153</v>
      </c>
      <c r="M412">
        <v>18</v>
      </c>
      <c r="N412">
        <v>65.607289066666667</v>
      </c>
      <c r="P412">
        <v>18</v>
      </c>
      <c r="Q412">
        <v>60.05551403225806</v>
      </c>
      <c r="S412">
        <v>18</v>
      </c>
      <c r="T412">
        <v>59.208746666666663</v>
      </c>
      <c r="V412">
        <v>18</v>
      </c>
      <c r="W412">
        <v>78.618886322580664</v>
      </c>
      <c r="Y412">
        <v>18</v>
      </c>
      <c r="Z412">
        <v>77.624877032258084</v>
      </c>
      <c r="AB412">
        <v>18</v>
      </c>
      <c r="AC412">
        <v>65.237368700000005</v>
      </c>
      <c r="AE412">
        <v>18</v>
      </c>
      <c r="AF412">
        <v>71.270046580645172</v>
      </c>
      <c r="AH412">
        <v>18</v>
      </c>
      <c r="AI412">
        <v>69.753999133333338</v>
      </c>
      <c r="AK412">
        <v>18</v>
      </c>
      <c r="AL412">
        <v>84.218435967741939</v>
      </c>
    </row>
    <row r="413" spans="1:38">
      <c r="A413">
        <v>19</v>
      </c>
      <c r="B413">
        <v>75.796626986338751</v>
      </c>
      <c r="D413">
        <v>19</v>
      </c>
      <c r="E413">
        <v>111.99344025806451</v>
      </c>
      <c r="G413">
        <v>19</v>
      </c>
      <c r="H413">
        <v>95.159088413793114</v>
      </c>
      <c r="J413">
        <v>19</v>
      </c>
      <c r="K413">
        <v>77.838547483870968</v>
      </c>
      <c r="M413">
        <v>19</v>
      </c>
      <c r="N413">
        <v>69.013953233333325</v>
      </c>
      <c r="P413">
        <v>19</v>
      </c>
      <c r="Q413">
        <v>60.057840741935479</v>
      </c>
      <c r="S413">
        <v>19</v>
      </c>
      <c r="T413">
        <v>57.581051333333313</v>
      </c>
      <c r="V413">
        <v>19</v>
      </c>
      <c r="W413">
        <v>76.029764290322575</v>
      </c>
      <c r="Y413">
        <v>19</v>
      </c>
      <c r="Z413">
        <v>74.341955225806458</v>
      </c>
      <c r="AB413">
        <v>19</v>
      </c>
      <c r="AC413">
        <v>67.82329906666665</v>
      </c>
      <c r="AE413">
        <v>19</v>
      </c>
      <c r="AF413">
        <v>71.96497403225807</v>
      </c>
      <c r="AH413">
        <v>19</v>
      </c>
      <c r="AI413">
        <v>67.407707733333339</v>
      </c>
      <c r="AK413">
        <v>19</v>
      </c>
      <c r="AL413">
        <v>80.262883516129023</v>
      </c>
    </row>
    <row r="414" spans="1:38">
      <c r="A414">
        <v>20</v>
      </c>
      <c r="B414">
        <v>74.241633292349761</v>
      </c>
      <c r="D414">
        <v>20</v>
      </c>
      <c r="E414">
        <v>105.05796690322579</v>
      </c>
      <c r="G414">
        <v>20</v>
      </c>
      <c r="H414">
        <v>93.382383413793107</v>
      </c>
      <c r="J414">
        <v>20</v>
      </c>
      <c r="K414">
        <v>75.180433225806453</v>
      </c>
      <c r="M414">
        <v>20</v>
      </c>
      <c r="N414">
        <v>71.614783266666663</v>
      </c>
      <c r="P414">
        <v>20</v>
      </c>
      <c r="Q414">
        <v>63.851434870967744</v>
      </c>
      <c r="S414">
        <v>20</v>
      </c>
      <c r="T414">
        <v>58.151244466666654</v>
      </c>
      <c r="V414">
        <v>20</v>
      </c>
      <c r="W414">
        <v>73.871780064516145</v>
      </c>
      <c r="Y414">
        <v>20</v>
      </c>
      <c r="Z414">
        <v>74.182673290322597</v>
      </c>
      <c r="AB414">
        <v>20</v>
      </c>
      <c r="AC414">
        <v>67.210682333333324</v>
      </c>
      <c r="AE414">
        <v>20</v>
      </c>
      <c r="AF414">
        <v>69.966975709677428</v>
      </c>
      <c r="AH414">
        <v>20</v>
      </c>
      <c r="AI414">
        <v>62.549676100000013</v>
      </c>
      <c r="AK414">
        <v>20</v>
      </c>
      <c r="AL414">
        <v>75.90670629032256</v>
      </c>
    </row>
    <row r="415" spans="1:38">
      <c r="A415">
        <v>21</v>
      </c>
      <c r="B415">
        <v>70.190961319672084</v>
      </c>
      <c r="D415">
        <v>21</v>
      </c>
      <c r="E415">
        <v>96.476908612903202</v>
      </c>
      <c r="G415">
        <v>21</v>
      </c>
      <c r="H415">
        <v>86.701579965517226</v>
      </c>
      <c r="J415">
        <v>21</v>
      </c>
      <c r="K415">
        <v>69.524958903225823</v>
      </c>
      <c r="M415">
        <v>21</v>
      </c>
      <c r="N415">
        <v>66.764794466666672</v>
      </c>
      <c r="P415">
        <v>21</v>
      </c>
      <c r="Q415">
        <v>65.222954999999999</v>
      </c>
      <c r="S415">
        <v>21</v>
      </c>
      <c r="T415">
        <v>58.424859100000006</v>
      </c>
      <c r="V415">
        <v>21</v>
      </c>
      <c r="W415">
        <v>72.411249806451607</v>
      </c>
      <c r="Y415">
        <v>21</v>
      </c>
      <c r="Z415">
        <v>71.896900677419339</v>
      </c>
      <c r="AB415">
        <v>21</v>
      </c>
      <c r="AC415">
        <v>62.533895266666654</v>
      </c>
      <c r="AE415">
        <v>21</v>
      </c>
      <c r="AF415">
        <v>64.760475838709681</v>
      </c>
      <c r="AH415">
        <v>21</v>
      </c>
      <c r="AI415">
        <v>58.801738266666668</v>
      </c>
      <c r="AK415">
        <v>21</v>
      </c>
      <c r="AL415">
        <v>68.73195151612903</v>
      </c>
    </row>
    <row r="416" spans="1:38">
      <c r="A416">
        <v>22</v>
      </c>
      <c r="B416">
        <v>65.233026825136591</v>
      </c>
      <c r="D416">
        <v>22</v>
      </c>
      <c r="E416">
        <v>92.176616096774168</v>
      </c>
      <c r="G416">
        <v>22</v>
      </c>
      <c r="H416">
        <v>84.219701034482767</v>
      </c>
      <c r="J416">
        <v>22</v>
      </c>
      <c r="K416">
        <v>64.169822709677447</v>
      </c>
      <c r="M416">
        <v>22</v>
      </c>
      <c r="N416">
        <v>60.280987366666672</v>
      </c>
      <c r="P416">
        <v>22</v>
      </c>
      <c r="Q416">
        <v>62.117459580645175</v>
      </c>
      <c r="S416">
        <v>22</v>
      </c>
      <c r="T416">
        <v>55.162335066666664</v>
      </c>
      <c r="V416">
        <v>22</v>
      </c>
      <c r="W416">
        <v>63.906196193548404</v>
      </c>
      <c r="Y416">
        <v>22</v>
      </c>
      <c r="Z416">
        <v>63.426651580645164</v>
      </c>
      <c r="AB416">
        <v>22</v>
      </c>
      <c r="AC416">
        <v>54.978535766666674</v>
      </c>
      <c r="AE416">
        <v>22</v>
      </c>
      <c r="AF416">
        <v>60.546497161290318</v>
      </c>
      <c r="AH416">
        <v>22</v>
      </c>
      <c r="AI416">
        <v>56.240480633333327</v>
      </c>
      <c r="AK416">
        <v>22</v>
      </c>
      <c r="AL416">
        <v>65.690509032258078</v>
      </c>
    </row>
    <row r="417" spans="1:38">
      <c r="A417">
        <v>23</v>
      </c>
      <c r="B417">
        <v>60.349297079234944</v>
      </c>
      <c r="D417">
        <v>23</v>
      </c>
      <c r="E417">
        <v>88.078070935483865</v>
      </c>
      <c r="G417">
        <v>23</v>
      </c>
      <c r="H417">
        <v>80.407637758620695</v>
      </c>
      <c r="J417">
        <v>23</v>
      </c>
      <c r="K417">
        <v>60.639176766666658</v>
      </c>
      <c r="M417">
        <v>23</v>
      </c>
      <c r="N417">
        <v>56.040880933333334</v>
      </c>
      <c r="P417">
        <v>23</v>
      </c>
      <c r="Q417">
        <v>55.214511129032253</v>
      </c>
      <c r="S417">
        <v>23</v>
      </c>
      <c r="T417">
        <v>51.930849500000008</v>
      </c>
      <c r="V417">
        <v>23</v>
      </c>
      <c r="W417">
        <v>56.1348895483871</v>
      </c>
      <c r="Y417">
        <v>23</v>
      </c>
      <c r="Z417">
        <v>55.259596677419353</v>
      </c>
      <c r="AB417">
        <v>23</v>
      </c>
      <c r="AC417">
        <v>49.530233366666678</v>
      </c>
      <c r="AE417">
        <v>23</v>
      </c>
      <c r="AF417">
        <v>54.287269064516124</v>
      </c>
      <c r="AH417">
        <v>23</v>
      </c>
      <c r="AI417">
        <v>53.420238709677434</v>
      </c>
      <c r="AK417">
        <v>23</v>
      </c>
      <c r="AL417">
        <v>63.792101967741949</v>
      </c>
    </row>
    <row r="418" spans="1:38">
      <c r="A418" t="s">
        <v>328</v>
      </c>
      <c r="B418">
        <v>65.416873474612942</v>
      </c>
      <c r="D418" t="s">
        <v>328</v>
      </c>
      <c r="E418">
        <v>93.987974625000035</v>
      </c>
      <c r="G418" t="s">
        <v>328</v>
      </c>
      <c r="H418">
        <v>84.525991645114956</v>
      </c>
      <c r="J418" t="s">
        <v>328</v>
      </c>
      <c r="K418">
        <v>65.400150466084213</v>
      </c>
      <c r="M418" t="s">
        <v>328</v>
      </c>
      <c r="N418">
        <v>59.928464374999997</v>
      </c>
      <c r="P418" t="s">
        <v>328</v>
      </c>
      <c r="Q418">
        <v>57.107045766129026</v>
      </c>
      <c r="S418" t="s">
        <v>328</v>
      </c>
      <c r="T418">
        <v>53.734920516666669</v>
      </c>
      <c r="V418" t="s">
        <v>328</v>
      </c>
      <c r="W418">
        <v>63.981281970430103</v>
      </c>
      <c r="Y418" t="s">
        <v>328</v>
      </c>
      <c r="Z418">
        <v>64.163130579301068</v>
      </c>
      <c r="AB418" t="s">
        <v>328</v>
      </c>
      <c r="AC418">
        <v>56.703076801388882</v>
      </c>
      <c r="AE418" t="s">
        <v>328</v>
      </c>
      <c r="AF418">
        <v>59.496712365591385</v>
      </c>
      <c r="AH418" t="s">
        <v>328</v>
      </c>
      <c r="AI418">
        <v>58.177297614292115</v>
      </c>
      <c r="AK418" t="s">
        <v>328</v>
      </c>
      <c r="AL418">
        <v>67.970476610215044</v>
      </c>
    </row>
    <row r="421" spans="1:38">
      <c r="A421" s="94">
        <v>2029</v>
      </c>
      <c r="B421" s="99" t="s">
        <v>325</v>
      </c>
      <c r="D421">
        <v>1</v>
      </c>
      <c r="E421" s="99" t="s">
        <v>316</v>
      </c>
      <c r="G421">
        <v>2</v>
      </c>
      <c r="H421" s="99" t="s">
        <v>316</v>
      </c>
      <c r="J421">
        <v>3</v>
      </c>
      <c r="K421" s="99" t="s">
        <v>316</v>
      </c>
      <c r="M421">
        <v>4</v>
      </c>
      <c r="N421" s="99" t="s">
        <v>316</v>
      </c>
      <c r="P421">
        <v>5</v>
      </c>
      <c r="Q421" s="99" t="s">
        <v>316</v>
      </c>
      <c r="S421">
        <v>6</v>
      </c>
      <c r="T421" s="99" t="s">
        <v>316</v>
      </c>
      <c r="V421">
        <v>7</v>
      </c>
      <c r="W421" s="99" t="s">
        <v>316</v>
      </c>
      <c r="Y421">
        <v>8</v>
      </c>
      <c r="Z421" s="99" t="s">
        <v>316</v>
      </c>
      <c r="AB421">
        <v>9</v>
      </c>
      <c r="AC421" s="99" t="s">
        <v>316</v>
      </c>
      <c r="AE421">
        <v>10</v>
      </c>
      <c r="AF421" s="99" t="s">
        <v>316</v>
      </c>
      <c r="AH421">
        <v>11</v>
      </c>
      <c r="AI421" s="99" t="s">
        <v>316</v>
      </c>
      <c r="AK421">
        <v>12</v>
      </c>
      <c r="AL421" s="99" t="s">
        <v>316</v>
      </c>
    </row>
    <row r="422" spans="1:38">
      <c r="A422" s="94" t="s">
        <v>308</v>
      </c>
      <c r="B422" s="58">
        <v>8760</v>
      </c>
      <c r="D422" s="94" t="s">
        <v>397</v>
      </c>
      <c r="E422" s="58">
        <v>744</v>
      </c>
      <c r="G422" s="94" t="s">
        <v>398</v>
      </c>
      <c r="H422" s="58">
        <v>672</v>
      </c>
      <c r="J422" s="94" t="s">
        <v>399</v>
      </c>
      <c r="K422" s="58">
        <v>743</v>
      </c>
      <c r="M422" s="94" t="s">
        <v>400</v>
      </c>
      <c r="N422" s="58">
        <v>720</v>
      </c>
      <c r="P422" s="94" t="s">
        <v>401</v>
      </c>
      <c r="Q422" s="58">
        <v>744</v>
      </c>
      <c r="S422" s="94" t="s">
        <v>402</v>
      </c>
      <c r="T422" s="58">
        <v>720</v>
      </c>
      <c r="V422" s="94" t="s">
        <v>403</v>
      </c>
      <c r="W422" s="58">
        <v>744</v>
      </c>
      <c r="Y422" s="94" t="s">
        <v>404</v>
      </c>
      <c r="Z422" s="58">
        <v>744</v>
      </c>
      <c r="AB422" s="94" t="s">
        <v>405</v>
      </c>
      <c r="AC422" s="58">
        <v>720</v>
      </c>
      <c r="AE422" s="94" t="s">
        <v>406</v>
      </c>
      <c r="AF422" s="58">
        <v>744</v>
      </c>
      <c r="AH422" s="94" t="s">
        <v>407</v>
      </c>
      <c r="AI422" s="58">
        <v>721</v>
      </c>
      <c r="AK422" s="94" t="s">
        <v>408</v>
      </c>
      <c r="AL422" s="58">
        <v>744</v>
      </c>
    </row>
    <row r="423" spans="1:38">
      <c r="A423" s="94" t="s">
        <v>326</v>
      </c>
      <c r="B423" s="58">
        <v>0</v>
      </c>
      <c r="D423" s="94" t="s">
        <v>326</v>
      </c>
      <c r="E423" s="58">
        <v>0</v>
      </c>
      <c r="G423" s="94" t="s">
        <v>326</v>
      </c>
      <c r="H423" s="58">
        <v>744</v>
      </c>
      <c r="J423" s="94" t="s">
        <v>326</v>
      </c>
      <c r="K423" s="58">
        <v>1416</v>
      </c>
      <c r="M423" s="94" t="s">
        <v>326</v>
      </c>
      <c r="N423" s="58">
        <v>2159</v>
      </c>
      <c r="P423" s="94" t="s">
        <v>326</v>
      </c>
      <c r="Q423" s="58">
        <v>2879</v>
      </c>
      <c r="S423" s="94" t="s">
        <v>326</v>
      </c>
      <c r="T423" s="58">
        <v>3623</v>
      </c>
      <c r="V423" s="94" t="s">
        <v>326</v>
      </c>
      <c r="W423" s="58">
        <v>4343</v>
      </c>
      <c r="Y423" s="94" t="s">
        <v>326</v>
      </c>
      <c r="Z423" s="58">
        <v>5087</v>
      </c>
      <c r="AB423" s="94" t="s">
        <v>326</v>
      </c>
      <c r="AC423" s="58">
        <v>5831</v>
      </c>
      <c r="AE423" s="94" t="s">
        <v>326</v>
      </c>
      <c r="AF423" s="58">
        <v>6551</v>
      </c>
      <c r="AH423" s="94" t="s">
        <v>326</v>
      </c>
      <c r="AI423" s="58">
        <v>7295</v>
      </c>
      <c r="AK423" s="94" t="s">
        <v>326</v>
      </c>
      <c r="AL423" s="58">
        <v>8016</v>
      </c>
    </row>
    <row r="424" spans="1:38">
      <c r="A424" s="94" t="s">
        <v>327</v>
      </c>
      <c r="B424" s="58">
        <v>8760</v>
      </c>
      <c r="D424" s="94" t="s">
        <v>327</v>
      </c>
      <c r="E424" s="58">
        <v>744</v>
      </c>
      <c r="G424" s="94" t="s">
        <v>327</v>
      </c>
      <c r="H424" s="58">
        <v>1416</v>
      </c>
      <c r="J424" s="94" t="s">
        <v>327</v>
      </c>
      <c r="K424" s="58">
        <v>2159</v>
      </c>
      <c r="M424" s="94" t="s">
        <v>327</v>
      </c>
      <c r="N424" s="58">
        <v>2879</v>
      </c>
      <c r="P424" s="94" t="s">
        <v>327</v>
      </c>
      <c r="Q424" s="58">
        <v>3623</v>
      </c>
      <c r="S424" s="94" t="s">
        <v>327</v>
      </c>
      <c r="T424" s="58">
        <v>4343</v>
      </c>
      <c r="V424" s="94" t="s">
        <v>327</v>
      </c>
      <c r="W424" s="58">
        <v>5087</v>
      </c>
      <c r="Y424" s="94" t="s">
        <v>327</v>
      </c>
      <c r="Z424" s="58">
        <v>5831</v>
      </c>
      <c r="AB424" s="94" t="s">
        <v>327</v>
      </c>
      <c r="AC424" s="58">
        <v>6551</v>
      </c>
      <c r="AE424" s="94" t="s">
        <v>327</v>
      </c>
      <c r="AF424" s="58">
        <v>7295</v>
      </c>
      <c r="AH424" s="94" t="s">
        <v>327</v>
      </c>
      <c r="AI424" s="58">
        <v>8016</v>
      </c>
      <c r="AK424" s="94" t="s">
        <v>327</v>
      </c>
      <c r="AL424" s="58">
        <v>8760</v>
      </c>
    </row>
    <row r="425" spans="1:38">
      <c r="A425" t="s">
        <v>293</v>
      </c>
      <c r="B425" s="16" t="s">
        <v>294</v>
      </c>
      <c r="D425" t="s">
        <v>293</v>
      </c>
      <c r="E425" s="16" t="s">
        <v>294</v>
      </c>
      <c r="G425" t="s">
        <v>293</v>
      </c>
      <c r="H425" s="16" t="s">
        <v>294</v>
      </c>
      <c r="J425" t="s">
        <v>293</v>
      </c>
      <c r="K425" s="16" t="s">
        <v>294</v>
      </c>
      <c r="M425" t="s">
        <v>293</v>
      </c>
      <c r="N425" s="16" t="s">
        <v>294</v>
      </c>
      <c r="P425" t="s">
        <v>293</v>
      </c>
      <c r="Q425" s="16" t="s">
        <v>294</v>
      </c>
      <c r="S425" t="s">
        <v>293</v>
      </c>
      <c r="T425" s="16" t="s">
        <v>294</v>
      </c>
      <c r="V425" t="s">
        <v>293</v>
      </c>
      <c r="W425" s="16" t="s">
        <v>294</v>
      </c>
      <c r="Y425" t="s">
        <v>293</v>
      </c>
      <c r="Z425" s="16" t="s">
        <v>294</v>
      </c>
      <c r="AB425" t="s">
        <v>293</v>
      </c>
      <c r="AC425" s="16" t="s">
        <v>294</v>
      </c>
      <c r="AE425" t="s">
        <v>293</v>
      </c>
      <c r="AF425" s="16" t="s">
        <v>294</v>
      </c>
      <c r="AH425" t="s">
        <v>293</v>
      </c>
      <c r="AI425" s="16" t="s">
        <v>294</v>
      </c>
      <c r="AK425" t="s">
        <v>293</v>
      </c>
      <c r="AL425" s="16" t="s">
        <v>294</v>
      </c>
    </row>
    <row r="426" spans="1:38">
      <c r="A426">
        <v>0</v>
      </c>
      <c r="B426">
        <v>58.031689586301376</v>
      </c>
      <c r="D426">
        <v>0</v>
      </c>
      <c r="E426">
        <v>79.971065838709677</v>
      </c>
      <c r="G426">
        <v>0</v>
      </c>
      <c r="H426">
        <v>76.544612607142867</v>
      </c>
      <c r="J426">
        <v>0</v>
      </c>
      <c r="K426">
        <v>56.287314064516117</v>
      </c>
      <c r="M426">
        <v>0</v>
      </c>
      <c r="N426">
        <v>52.745353933333334</v>
      </c>
      <c r="P426">
        <v>0</v>
      </c>
      <c r="Q426">
        <v>53.067427774193547</v>
      </c>
      <c r="S426">
        <v>0</v>
      </c>
      <c r="T426">
        <v>51.169571966666673</v>
      </c>
      <c r="V426">
        <v>0</v>
      </c>
      <c r="W426">
        <v>54.509774677419337</v>
      </c>
      <c r="Y426">
        <v>0</v>
      </c>
      <c r="Z426">
        <v>54.932951741935483</v>
      </c>
      <c r="AB426">
        <v>0</v>
      </c>
      <c r="AC426">
        <v>49.550799566666662</v>
      </c>
      <c r="AE426">
        <v>0</v>
      </c>
      <c r="AF426">
        <v>50.507580516129032</v>
      </c>
      <c r="AH426">
        <v>0</v>
      </c>
      <c r="AI426">
        <v>52.144073299999981</v>
      </c>
      <c r="AK426">
        <v>0</v>
      </c>
      <c r="AL426">
        <v>65.885936451612906</v>
      </c>
    </row>
    <row r="427" spans="1:38">
      <c r="A427">
        <v>1</v>
      </c>
      <c r="B427">
        <v>55.42805698356166</v>
      </c>
      <c r="D427">
        <v>1</v>
      </c>
      <c r="E427">
        <v>78.678414967741944</v>
      </c>
      <c r="G427">
        <v>1</v>
      </c>
      <c r="H427">
        <v>75.292250142857128</v>
      </c>
      <c r="J427">
        <v>1</v>
      </c>
      <c r="K427">
        <v>54.324306967741926</v>
      </c>
      <c r="M427">
        <v>1</v>
      </c>
      <c r="N427">
        <v>50.016312266666674</v>
      </c>
      <c r="P427">
        <v>1</v>
      </c>
      <c r="Q427">
        <v>49.400558516129017</v>
      </c>
      <c r="S427">
        <v>1</v>
      </c>
      <c r="T427">
        <v>48.591222700000003</v>
      </c>
      <c r="V427">
        <v>1</v>
      </c>
      <c r="W427">
        <v>51.49185454838711</v>
      </c>
      <c r="Y427">
        <v>1</v>
      </c>
      <c r="Z427">
        <v>51.485188741935488</v>
      </c>
      <c r="AB427">
        <v>1</v>
      </c>
      <c r="AC427">
        <v>46.250717800000004</v>
      </c>
      <c r="AE427">
        <v>1</v>
      </c>
      <c r="AF427">
        <v>47.192325451612895</v>
      </c>
      <c r="AH427">
        <v>1</v>
      </c>
      <c r="AI427">
        <v>50.015905466666666</v>
      </c>
      <c r="AK427">
        <v>1</v>
      </c>
      <c r="AL427">
        <v>63.45422332258066</v>
      </c>
    </row>
    <row r="428" spans="1:38">
      <c r="A428">
        <v>2</v>
      </c>
      <c r="B428">
        <v>53.877132613698592</v>
      </c>
      <c r="D428">
        <v>2</v>
      </c>
      <c r="E428">
        <v>78.971215967741927</v>
      </c>
      <c r="G428">
        <v>2</v>
      </c>
      <c r="H428">
        <v>74.493622392857134</v>
      </c>
      <c r="J428">
        <v>2</v>
      </c>
      <c r="K428">
        <v>52.446970612903222</v>
      </c>
      <c r="M428">
        <v>2</v>
      </c>
      <c r="N428">
        <v>48.522438666666666</v>
      </c>
      <c r="P428">
        <v>2</v>
      </c>
      <c r="Q428">
        <v>47.886557516129017</v>
      </c>
      <c r="S428">
        <v>2</v>
      </c>
      <c r="T428">
        <v>47.108844166666664</v>
      </c>
      <c r="V428">
        <v>2</v>
      </c>
      <c r="W428">
        <v>49.694473483870972</v>
      </c>
      <c r="Y428">
        <v>2</v>
      </c>
      <c r="Z428">
        <v>49.272644258064531</v>
      </c>
      <c r="AB428">
        <v>2</v>
      </c>
      <c r="AC428">
        <v>44.124675400000001</v>
      </c>
      <c r="AE428">
        <v>2</v>
      </c>
      <c r="AF428">
        <v>45.528290709677414</v>
      </c>
      <c r="AH428">
        <v>2</v>
      </c>
      <c r="AI428">
        <v>48.624823966666668</v>
      </c>
      <c r="AK428">
        <v>2</v>
      </c>
      <c r="AL428">
        <v>60.971089741935479</v>
      </c>
    </row>
    <row r="429" spans="1:38">
      <c r="A429">
        <v>3</v>
      </c>
      <c r="B429">
        <v>53.13395637534245</v>
      </c>
      <c r="D429">
        <v>3</v>
      </c>
      <c r="E429">
        <v>78.738872903225783</v>
      </c>
      <c r="G429">
        <v>3</v>
      </c>
      <c r="H429">
        <v>74.069175178571427</v>
      </c>
      <c r="J429">
        <v>3</v>
      </c>
      <c r="K429">
        <v>52.373777419354838</v>
      </c>
      <c r="M429">
        <v>3</v>
      </c>
      <c r="N429">
        <v>47.529970400000003</v>
      </c>
      <c r="P429">
        <v>3</v>
      </c>
      <c r="Q429">
        <v>47.147879645161296</v>
      </c>
      <c r="S429">
        <v>3</v>
      </c>
      <c r="T429">
        <v>46.229486833333333</v>
      </c>
      <c r="V429">
        <v>3</v>
      </c>
      <c r="W429">
        <v>48.410888193548395</v>
      </c>
      <c r="Y429">
        <v>3</v>
      </c>
      <c r="Z429">
        <v>47.699335322580652</v>
      </c>
      <c r="AB429">
        <v>3</v>
      </c>
      <c r="AC429">
        <v>43.058159666666675</v>
      </c>
      <c r="AE429">
        <v>3</v>
      </c>
      <c r="AF429">
        <v>44.645746290322577</v>
      </c>
      <c r="AH429">
        <v>3</v>
      </c>
      <c r="AI429">
        <v>48.279126900000016</v>
      </c>
      <c r="AK429">
        <v>3</v>
      </c>
      <c r="AL429">
        <v>60.565915000000011</v>
      </c>
    </row>
    <row r="430" spans="1:38">
      <c r="A430">
        <v>4</v>
      </c>
      <c r="B430">
        <v>53.747453153424658</v>
      </c>
      <c r="D430">
        <v>4</v>
      </c>
      <c r="E430">
        <v>80.726755419354859</v>
      </c>
      <c r="G430">
        <v>4</v>
      </c>
      <c r="H430">
        <v>75.837414428571421</v>
      </c>
      <c r="J430">
        <v>4</v>
      </c>
      <c r="K430">
        <v>53.161087096774203</v>
      </c>
      <c r="M430">
        <v>4</v>
      </c>
      <c r="N430">
        <v>48.214415766666662</v>
      </c>
      <c r="P430">
        <v>4</v>
      </c>
      <c r="Q430">
        <v>47.367788096774191</v>
      </c>
      <c r="S430">
        <v>4</v>
      </c>
      <c r="T430">
        <v>46.118735299999997</v>
      </c>
      <c r="V430">
        <v>4</v>
      </c>
      <c r="W430">
        <v>48.15699277419354</v>
      </c>
      <c r="Y430">
        <v>4</v>
      </c>
      <c r="Z430">
        <v>47.011091000000008</v>
      </c>
      <c r="AB430">
        <v>4</v>
      </c>
      <c r="AC430">
        <v>42.69413733333333</v>
      </c>
      <c r="AE430">
        <v>4</v>
      </c>
      <c r="AF430">
        <v>45.453344516129029</v>
      </c>
      <c r="AH430">
        <v>4</v>
      </c>
      <c r="AI430">
        <v>49.395018733333337</v>
      </c>
      <c r="AK430">
        <v>4</v>
      </c>
      <c r="AL430">
        <v>62.048863129032263</v>
      </c>
    </row>
    <row r="431" spans="1:38">
      <c r="A431">
        <v>5</v>
      </c>
      <c r="B431">
        <v>57.35614017534246</v>
      </c>
      <c r="D431">
        <v>5</v>
      </c>
      <c r="E431">
        <v>88.635109451612905</v>
      </c>
      <c r="G431">
        <v>5</v>
      </c>
      <c r="H431">
        <v>80.631141964285717</v>
      </c>
      <c r="J431">
        <v>5</v>
      </c>
      <c r="K431">
        <v>58.128544161290343</v>
      </c>
      <c r="M431">
        <v>5</v>
      </c>
      <c r="N431">
        <v>51.762960133333323</v>
      </c>
      <c r="P431">
        <v>5</v>
      </c>
      <c r="Q431">
        <v>50.40268396774195</v>
      </c>
      <c r="S431">
        <v>5</v>
      </c>
      <c r="T431">
        <v>46.931372066666661</v>
      </c>
      <c r="V431">
        <v>5</v>
      </c>
      <c r="W431">
        <v>49.522839064516134</v>
      </c>
      <c r="Y431">
        <v>5</v>
      </c>
      <c r="Z431">
        <v>48.262922967741936</v>
      </c>
      <c r="AB431">
        <v>5</v>
      </c>
      <c r="AC431">
        <v>45.866970966666671</v>
      </c>
      <c r="AE431">
        <v>5</v>
      </c>
      <c r="AF431">
        <v>50.418060967741944</v>
      </c>
      <c r="AH431">
        <v>5</v>
      </c>
      <c r="AI431">
        <v>53.25964543333334</v>
      </c>
      <c r="AK431">
        <v>5</v>
      </c>
      <c r="AL431">
        <v>65.684379129032251</v>
      </c>
    </row>
    <row r="432" spans="1:38">
      <c r="A432">
        <v>6</v>
      </c>
      <c r="B432">
        <v>62.932825323287709</v>
      </c>
      <c r="D432">
        <v>6</v>
      </c>
      <c r="E432">
        <v>104.30729516129034</v>
      </c>
      <c r="G432">
        <v>6</v>
      </c>
      <c r="H432">
        <v>87.481994285714322</v>
      </c>
      <c r="J432">
        <v>6</v>
      </c>
      <c r="K432">
        <v>63.502280193548394</v>
      </c>
      <c r="M432">
        <v>6</v>
      </c>
      <c r="N432">
        <v>57.495616766666657</v>
      </c>
      <c r="P432">
        <v>6</v>
      </c>
      <c r="Q432">
        <v>54.805777774193551</v>
      </c>
      <c r="S432">
        <v>6</v>
      </c>
      <c r="T432">
        <v>49.813633100000011</v>
      </c>
      <c r="V432">
        <v>6</v>
      </c>
      <c r="W432">
        <v>52.35084622580645</v>
      </c>
      <c r="Y432">
        <v>6</v>
      </c>
      <c r="Z432">
        <v>51.933203870967745</v>
      </c>
      <c r="AB432">
        <v>6</v>
      </c>
      <c r="AC432">
        <v>51.270226199999996</v>
      </c>
      <c r="AE432">
        <v>6</v>
      </c>
      <c r="AF432">
        <v>56.11309635483871</v>
      </c>
      <c r="AH432">
        <v>6</v>
      </c>
      <c r="AI432">
        <v>58.088139266666673</v>
      </c>
      <c r="AK432">
        <v>6</v>
      </c>
      <c r="AL432">
        <v>69.276434064516138</v>
      </c>
    </row>
    <row r="433" spans="1:38">
      <c r="A433">
        <v>7</v>
      </c>
      <c r="B433">
        <v>66.794770945205457</v>
      </c>
      <c r="D433">
        <v>7</v>
      </c>
      <c r="E433">
        <v>109.84963161290322</v>
      </c>
      <c r="G433">
        <v>7</v>
      </c>
      <c r="H433">
        <v>91.452326678571424</v>
      </c>
      <c r="J433">
        <v>7</v>
      </c>
      <c r="K433">
        <v>66.503166096774194</v>
      </c>
      <c r="M433">
        <v>7</v>
      </c>
      <c r="N433">
        <v>60.953447733333327</v>
      </c>
      <c r="P433">
        <v>7</v>
      </c>
      <c r="Q433">
        <v>59.778131870967727</v>
      </c>
      <c r="S433">
        <v>7</v>
      </c>
      <c r="T433">
        <v>53.299932733333328</v>
      </c>
      <c r="V433">
        <v>7</v>
      </c>
      <c r="W433">
        <v>56.442280032258068</v>
      </c>
      <c r="Y433">
        <v>7</v>
      </c>
      <c r="Z433">
        <v>56.685706354838715</v>
      </c>
      <c r="AB433">
        <v>7</v>
      </c>
      <c r="AC433">
        <v>54.872276066666664</v>
      </c>
      <c r="AE433">
        <v>7</v>
      </c>
      <c r="AF433">
        <v>61.466124258064525</v>
      </c>
      <c r="AH433">
        <v>7</v>
      </c>
      <c r="AI433">
        <v>59.860212900000001</v>
      </c>
      <c r="AK433">
        <v>7</v>
      </c>
      <c r="AL433">
        <v>71.52819090322582</v>
      </c>
    </row>
    <row r="434" spans="1:38">
      <c r="A434">
        <v>8</v>
      </c>
      <c r="B434">
        <v>68.322584997260265</v>
      </c>
      <c r="D434">
        <v>8</v>
      </c>
      <c r="E434">
        <v>107.8599964516129</v>
      </c>
      <c r="G434">
        <v>8</v>
      </c>
      <c r="H434">
        <v>90.798119142857132</v>
      </c>
      <c r="J434">
        <v>8</v>
      </c>
      <c r="K434">
        <v>67.395985225806442</v>
      </c>
      <c r="M434">
        <v>8</v>
      </c>
      <c r="N434">
        <v>63.226013866666683</v>
      </c>
      <c r="P434">
        <v>8</v>
      </c>
      <c r="Q434">
        <v>61.425293483870973</v>
      </c>
      <c r="S434">
        <v>8</v>
      </c>
      <c r="T434">
        <v>54.483517333333324</v>
      </c>
      <c r="V434">
        <v>8</v>
      </c>
      <c r="W434">
        <v>60.798781483870975</v>
      </c>
      <c r="Y434">
        <v>8</v>
      </c>
      <c r="Z434">
        <v>61.273872096774205</v>
      </c>
      <c r="AB434">
        <v>8</v>
      </c>
      <c r="AC434">
        <v>57.666718733333326</v>
      </c>
      <c r="AE434">
        <v>8</v>
      </c>
      <c r="AF434">
        <v>63.405962709677418</v>
      </c>
      <c r="AH434">
        <v>8</v>
      </c>
      <c r="AI434">
        <v>60.950228966666678</v>
      </c>
      <c r="AK434">
        <v>8</v>
      </c>
      <c r="AL434">
        <v>71.569199548387104</v>
      </c>
    </row>
    <row r="435" spans="1:38">
      <c r="A435">
        <v>9</v>
      </c>
      <c r="B435">
        <v>70.866673391780779</v>
      </c>
      <c r="D435">
        <v>9</v>
      </c>
      <c r="E435">
        <v>105.43861412903225</v>
      </c>
      <c r="G435">
        <v>9</v>
      </c>
      <c r="H435">
        <v>90.672558107142819</v>
      </c>
      <c r="J435">
        <v>9</v>
      </c>
      <c r="K435">
        <v>69.008408322580664</v>
      </c>
      <c r="M435">
        <v>9</v>
      </c>
      <c r="N435">
        <v>66.961102033333333</v>
      </c>
      <c r="P435">
        <v>9</v>
      </c>
      <c r="Q435">
        <v>63.720737612903221</v>
      </c>
      <c r="S435">
        <v>9</v>
      </c>
      <c r="T435">
        <v>58.681339733333331</v>
      </c>
      <c r="V435">
        <v>9</v>
      </c>
      <c r="W435">
        <v>66.528117548387087</v>
      </c>
      <c r="Y435">
        <v>9</v>
      </c>
      <c r="Z435">
        <v>68.182216903225807</v>
      </c>
      <c r="AB435">
        <v>9</v>
      </c>
      <c r="AC435">
        <v>62.69252496666666</v>
      </c>
      <c r="AE435">
        <v>9</v>
      </c>
      <c r="AF435">
        <v>66.251106870967746</v>
      </c>
      <c r="AH435">
        <v>9</v>
      </c>
      <c r="AI435">
        <v>62.07333293333334</v>
      </c>
      <c r="AK435">
        <v>9</v>
      </c>
      <c r="AL435">
        <v>71.040320258064511</v>
      </c>
    </row>
    <row r="436" spans="1:38">
      <c r="A436">
        <v>10</v>
      </c>
      <c r="B436">
        <v>72.458571361643791</v>
      </c>
      <c r="D436">
        <v>10</v>
      </c>
      <c r="E436">
        <v>104.62023012903224</v>
      </c>
      <c r="G436">
        <v>10</v>
      </c>
      <c r="H436">
        <v>89.565873035714304</v>
      </c>
      <c r="J436">
        <v>10</v>
      </c>
      <c r="K436">
        <v>69.87373809677419</v>
      </c>
      <c r="M436">
        <v>10</v>
      </c>
      <c r="N436">
        <v>68.666675566666669</v>
      </c>
      <c r="P436">
        <v>10</v>
      </c>
      <c r="Q436">
        <v>64.684404258064518</v>
      </c>
      <c r="S436">
        <v>10</v>
      </c>
      <c r="T436">
        <v>61.322972499999999</v>
      </c>
      <c r="V436">
        <v>10</v>
      </c>
      <c r="W436">
        <v>71.202636548387105</v>
      </c>
      <c r="Y436">
        <v>10</v>
      </c>
      <c r="Z436">
        <v>74.441721096774188</v>
      </c>
      <c r="AB436">
        <v>10</v>
      </c>
      <c r="AC436">
        <v>65.682049599999999</v>
      </c>
      <c r="AE436">
        <v>10</v>
      </c>
      <c r="AF436">
        <v>67.184772000000009</v>
      </c>
      <c r="AH436">
        <v>10</v>
      </c>
      <c r="AI436">
        <v>62.519941266666656</v>
      </c>
      <c r="AK436">
        <v>10</v>
      </c>
      <c r="AL436">
        <v>70.372657032258061</v>
      </c>
    </row>
    <row r="437" spans="1:38">
      <c r="A437">
        <v>11</v>
      </c>
      <c r="B437">
        <v>72.714757980821858</v>
      </c>
      <c r="D437">
        <v>11</v>
      </c>
      <c r="E437">
        <v>99.673358258064511</v>
      </c>
      <c r="G437">
        <v>11</v>
      </c>
      <c r="H437">
        <v>85.224594107142863</v>
      </c>
      <c r="J437">
        <v>11</v>
      </c>
      <c r="K437">
        <v>68.494158741935493</v>
      </c>
      <c r="M437">
        <v>11</v>
      </c>
      <c r="N437">
        <v>69.260986533333352</v>
      </c>
      <c r="P437">
        <v>11</v>
      </c>
      <c r="Q437">
        <v>64.950164387096777</v>
      </c>
      <c r="S437">
        <v>11</v>
      </c>
      <c r="T437">
        <v>64.35445949999999</v>
      </c>
      <c r="V437">
        <v>11</v>
      </c>
      <c r="W437">
        <v>75.534071161290328</v>
      </c>
      <c r="Y437">
        <v>11</v>
      </c>
      <c r="Z437">
        <v>78.550645580645153</v>
      </c>
      <c r="AB437">
        <v>11</v>
      </c>
      <c r="AC437">
        <v>67.976549966666667</v>
      </c>
      <c r="AE437">
        <v>11</v>
      </c>
      <c r="AF437">
        <v>67.017168838709694</v>
      </c>
      <c r="AH437">
        <v>11</v>
      </c>
      <c r="AI437">
        <v>62.27287230000001</v>
      </c>
      <c r="AK437">
        <v>11</v>
      </c>
      <c r="AL437">
        <v>69.607916225806449</v>
      </c>
    </row>
    <row r="438" spans="1:38">
      <c r="A438">
        <v>12</v>
      </c>
      <c r="B438">
        <v>71.986103298630127</v>
      </c>
      <c r="D438">
        <v>12</v>
      </c>
      <c r="E438">
        <v>94.016858741935522</v>
      </c>
      <c r="G438">
        <v>12</v>
      </c>
      <c r="H438">
        <v>82.377047964285723</v>
      </c>
      <c r="J438">
        <v>12</v>
      </c>
      <c r="K438">
        <v>66.738975129032255</v>
      </c>
      <c r="M438">
        <v>12</v>
      </c>
      <c r="N438">
        <v>67.86116553333332</v>
      </c>
      <c r="P438">
        <v>12</v>
      </c>
      <c r="Q438">
        <v>64.20583741935485</v>
      </c>
      <c r="S438">
        <v>12</v>
      </c>
      <c r="T438">
        <v>65.268214</v>
      </c>
      <c r="V438">
        <v>12</v>
      </c>
      <c r="W438">
        <v>78.050484483870974</v>
      </c>
      <c r="Y438">
        <v>12</v>
      </c>
      <c r="Z438">
        <v>81.13783974193548</v>
      </c>
      <c r="AB438">
        <v>12</v>
      </c>
      <c r="AC438">
        <v>68.072427900000008</v>
      </c>
      <c r="AE438">
        <v>12</v>
      </c>
      <c r="AF438">
        <v>66.083996612903235</v>
      </c>
      <c r="AH438">
        <v>12</v>
      </c>
      <c r="AI438">
        <v>61.358121800000021</v>
      </c>
      <c r="AK438">
        <v>12</v>
      </c>
      <c r="AL438">
        <v>68.848991225806458</v>
      </c>
    </row>
    <row r="439" spans="1:38">
      <c r="A439">
        <v>13</v>
      </c>
      <c r="B439">
        <v>71.729814175342526</v>
      </c>
      <c r="D439">
        <v>13</v>
      </c>
      <c r="E439">
        <v>91.630822193548369</v>
      </c>
      <c r="G439">
        <v>13</v>
      </c>
      <c r="H439">
        <v>80.891225964285724</v>
      </c>
      <c r="J439">
        <v>13</v>
      </c>
      <c r="K439">
        <v>65.474652290322567</v>
      </c>
      <c r="M439">
        <v>13</v>
      </c>
      <c r="N439">
        <v>66.562885633333352</v>
      </c>
      <c r="P439">
        <v>13</v>
      </c>
      <c r="Q439">
        <v>64.021662774193558</v>
      </c>
      <c r="S439">
        <v>13</v>
      </c>
      <c r="T439">
        <v>65.284717233333325</v>
      </c>
      <c r="V439">
        <v>13</v>
      </c>
      <c r="W439">
        <v>79.637885903225794</v>
      </c>
      <c r="Y439">
        <v>13</v>
      </c>
      <c r="Z439">
        <v>83.44329735483872</v>
      </c>
      <c r="AB439">
        <v>13</v>
      </c>
      <c r="AC439">
        <v>69.434557166666664</v>
      </c>
      <c r="AE439">
        <v>13</v>
      </c>
      <c r="AF439">
        <v>65.987355935483876</v>
      </c>
      <c r="AH439">
        <v>13</v>
      </c>
      <c r="AI439">
        <v>60.734502099999993</v>
      </c>
      <c r="AK439">
        <v>13</v>
      </c>
      <c r="AL439">
        <v>67.737484290322584</v>
      </c>
    </row>
    <row r="440" spans="1:38">
      <c r="A440">
        <v>14</v>
      </c>
      <c r="B440">
        <v>71.100902013698644</v>
      </c>
      <c r="D440">
        <v>14</v>
      </c>
      <c r="E440">
        <v>89.573638193548391</v>
      </c>
      <c r="G440">
        <v>14</v>
      </c>
      <c r="H440">
        <v>79.649801821428582</v>
      </c>
      <c r="J440">
        <v>14</v>
      </c>
      <c r="K440">
        <v>63.548311967741945</v>
      </c>
      <c r="M440">
        <v>14</v>
      </c>
      <c r="N440">
        <v>65.043299066666648</v>
      </c>
      <c r="P440">
        <v>14</v>
      </c>
      <c r="Q440">
        <v>62.894627419354826</v>
      </c>
      <c r="S440">
        <v>14</v>
      </c>
      <c r="T440">
        <v>66.271044300000014</v>
      </c>
      <c r="V440">
        <v>14</v>
      </c>
      <c r="W440">
        <v>80.332697645161289</v>
      </c>
      <c r="Y440">
        <v>14</v>
      </c>
      <c r="Z440">
        <v>84.810643387096775</v>
      </c>
      <c r="AB440">
        <v>14</v>
      </c>
      <c r="AC440">
        <v>69.392070633333333</v>
      </c>
      <c r="AE440">
        <v>14</v>
      </c>
      <c r="AF440">
        <v>64.966419161290332</v>
      </c>
      <c r="AH440">
        <v>14</v>
      </c>
      <c r="AI440">
        <v>59.850744033333321</v>
      </c>
      <c r="AK440">
        <v>14</v>
      </c>
      <c r="AL440">
        <v>66.935599096774183</v>
      </c>
    </row>
    <row r="441" spans="1:38">
      <c r="A441">
        <v>15</v>
      </c>
      <c r="B441">
        <v>71.142757506849264</v>
      </c>
      <c r="D441">
        <v>15</v>
      </c>
      <c r="E441">
        <v>90.97601441935484</v>
      </c>
      <c r="G441">
        <v>15</v>
      </c>
      <c r="H441">
        <v>79.221225500000031</v>
      </c>
      <c r="J441">
        <v>15</v>
      </c>
      <c r="K441">
        <v>62.9761588064516</v>
      </c>
      <c r="M441">
        <v>15</v>
      </c>
      <c r="N441">
        <v>63.929257166666652</v>
      </c>
      <c r="P441">
        <v>15</v>
      </c>
      <c r="Q441">
        <v>62.295264129032248</v>
      </c>
      <c r="S441">
        <v>15</v>
      </c>
      <c r="T441">
        <v>66.487340200000006</v>
      </c>
      <c r="V441">
        <v>15</v>
      </c>
      <c r="W441">
        <v>81.201059032258044</v>
      </c>
      <c r="Y441">
        <v>15</v>
      </c>
      <c r="Z441">
        <v>85.362268322580647</v>
      </c>
      <c r="AB441">
        <v>15</v>
      </c>
      <c r="AC441">
        <v>69.191404333333338</v>
      </c>
      <c r="AE441">
        <v>15</v>
      </c>
      <c r="AF441">
        <v>64.262602258064518</v>
      </c>
      <c r="AH441">
        <v>15</v>
      </c>
      <c r="AI441">
        <v>60.128876499999997</v>
      </c>
      <c r="AK441">
        <v>15</v>
      </c>
      <c r="AL441">
        <v>67.662304967741932</v>
      </c>
    </row>
    <row r="442" spans="1:38">
      <c r="A442">
        <v>16</v>
      </c>
      <c r="B442">
        <v>73.520207367123234</v>
      </c>
      <c r="D442">
        <v>16</v>
      </c>
      <c r="E442">
        <v>97.521919064516126</v>
      </c>
      <c r="G442">
        <v>16</v>
      </c>
      <c r="H442">
        <v>80.985821285714295</v>
      </c>
      <c r="J442">
        <v>16</v>
      </c>
      <c r="K442">
        <v>63.769883612903222</v>
      </c>
      <c r="M442">
        <v>16</v>
      </c>
      <c r="N442">
        <v>64.789111599999998</v>
      </c>
      <c r="P442">
        <v>16</v>
      </c>
      <c r="Q442">
        <v>63.367396322580646</v>
      </c>
      <c r="S442">
        <v>16</v>
      </c>
      <c r="T442">
        <v>66.996958133333337</v>
      </c>
      <c r="V442">
        <v>16</v>
      </c>
      <c r="W442">
        <v>83.801980774193552</v>
      </c>
      <c r="Y442">
        <v>16</v>
      </c>
      <c r="Z442">
        <v>87.247245290322581</v>
      </c>
      <c r="AB442">
        <v>16</v>
      </c>
      <c r="AC442">
        <v>70.647474000000017</v>
      </c>
      <c r="AE442">
        <v>16</v>
      </c>
      <c r="AF442">
        <v>66.623765548387084</v>
      </c>
      <c r="AH442">
        <v>16</v>
      </c>
      <c r="AI442">
        <v>64.882849300000004</v>
      </c>
      <c r="AK442">
        <v>16</v>
      </c>
      <c r="AL442">
        <v>71.467193322580641</v>
      </c>
    </row>
    <row r="443" spans="1:38">
      <c r="A443">
        <v>17</v>
      </c>
      <c r="B443">
        <v>78.175739000000021</v>
      </c>
      <c r="D443">
        <v>17</v>
      </c>
      <c r="E443">
        <v>115.33078738709676</v>
      </c>
      <c r="G443">
        <v>17</v>
      </c>
      <c r="H443">
        <v>85.844687642857153</v>
      </c>
      <c r="J443">
        <v>17</v>
      </c>
      <c r="K443">
        <v>66.259047967741935</v>
      </c>
      <c r="M443">
        <v>17</v>
      </c>
      <c r="N443">
        <v>65.5601427</v>
      </c>
      <c r="P443">
        <v>17</v>
      </c>
      <c r="Q443">
        <v>63.542809064516135</v>
      </c>
      <c r="S443">
        <v>17</v>
      </c>
      <c r="T443">
        <v>68.547050700000014</v>
      </c>
      <c r="V443">
        <v>17</v>
      </c>
      <c r="W443">
        <v>85.454636290322583</v>
      </c>
      <c r="Y443">
        <v>17</v>
      </c>
      <c r="Z443">
        <v>87.338921774193551</v>
      </c>
      <c r="AB443">
        <v>17</v>
      </c>
      <c r="AC443">
        <v>70.752456899999999</v>
      </c>
      <c r="AE443">
        <v>17</v>
      </c>
      <c r="AF443">
        <v>68.419192290322556</v>
      </c>
      <c r="AH443">
        <v>17</v>
      </c>
      <c r="AI443">
        <v>74.013711799999996</v>
      </c>
      <c r="AK443">
        <v>17</v>
      </c>
      <c r="AL443">
        <v>86.696302580645167</v>
      </c>
    </row>
    <row r="444" spans="1:38">
      <c r="A444">
        <v>18</v>
      </c>
      <c r="B444">
        <v>79.064027747945246</v>
      </c>
      <c r="D444">
        <v>18</v>
      </c>
      <c r="E444">
        <v>118.81253051612904</v>
      </c>
      <c r="G444">
        <v>18</v>
      </c>
      <c r="H444">
        <v>95.317860714285686</v>
      </c>
      <c r="J444">
        <v>18</v>
      </c>
      <c r="K444">
        <v>72.246775096774186</v>
      </c>
      <c r="M444">
        <v>18</v>
      </c>
      <c r="N444">
        <v>65.562153066666667</v>
      </c>
      <c r="P444">
        <v>18</v>
      </c>
      <c r="Q444">
        <v>62.476011129032244</v>
      </c>
      <c r="S444">
        <v>18</v>
      </c>
      <c r="T444">
        <v>64.86805480000001</v>
      </c>
      <c r="V444">
        <v>18</v>
      </c>
      <c r="W444">
        <v>83.776575935483876</v>
      </c>
      <c r="Y444">
        <v>18</v>
      </c>
      <c r="Z444">
        <v>83.619257290322579</v>
      </c>
      <c r="AB444">
        <v>18</v>
      </c>
      <c r="AC444">
        <v>69.237870399999991</v>
      </c>
      <c r="AE444">
        <v>18</v>
      </c>
      <c r="AF444">
        <v>72.635169580645154</v>
      </c>
      <c r="AH444">
        <v>18</v>
      </c>
      <c r="AI444">
        <v>73.556277733333346</v>
      </c>
      <c r="AK444">
        <v>18</v>
      </c>
      <c r="AL444">
        <v>86.844627161290319</v>
      </c>
    </row>
    <row r="445" spans="1:38">
      <c r="A445">
        <v>19</v>
      </c>
      <c r="B445">
        <v>78.126040084931461</v>
      </c>
      <c r="D445">
        <v>19</v>
      </c>
      <c r="E445">
        <v>114.70834790322583</v>
      </c>
      <c r="G445">
        <v>19</v>
      </c>
      <c r="H445">
        <v>94.78636382142858</v>
      </c>
      <c r="J445">
        <v>19</v>
      </c>
      <c r="K445">
        <v>74.33450029032258</v>
      </c>
      <c r="M445">
        <v>19</v>
      </c>
      <c r="N445">
        <v>69.770327133333325</v>
      </c>
      <c r="P445">
        <v>19</v>
      </c>
      <c r="Q445">
        <v>62.654647709677427</v>
      </c>
      <c r="S445">
        <v>19</v>
      </c>
      <c r="T445">
        <v>64.278273633333328</v>
      </c>
      <c r="V445">
        <v>19</v>
      </c>
      <c r="W445">
        <v>80.531984967741934</v>
      </c>
      <c r="Y445">
        <v>19</v>
      </c>
      <c r="Z445">
        <v>80.320467290322597</v>
      </c>
      <c r="AB445">
        <v>19</v>
      </c>
      <c r="AC445">
        <v>71.953209700000016</v>
      </c>
      <c r="AE445">
        <v>19</v>
      </c>
      <c r="AF445">
        <v>72.897868709677411</v>
      </c>
      <c r="AH445">
        <v>19</v>
      </c>
      <c r="AI445">
        <v>68.92210146666666</v>
      </c>
      <c r="AK445">
        <v>19</v>
      </c>
      <c r="AL445">
        <v>82.754411709677399</v>
      </c>
    </row>
    <row r="446" spans="1:38">
      <c r="A446">
        <v>20</v>
      </c>
      <c r="B446">
        <v>76.418218400000015</v>
      </c>
      <c r="D446">
        <v>20</v>
      </c>
      <c r="E446">
        <v>107.37490806451613</v>
      </c>
      <c r="G446">
        <v>20</v>
      </c>
      <c r="H446">
        <v>92.70427399999997</v>
      </c>
      <c r="J446">
        <v>20</v>
      </c>
      <c r="K446">
        <v>71.718454709677431</v>
      </c>
      <c r="M446">
        <v>20</v>
      </c>
      <c r="N446">
        <v>73.772478033333329</v>
      </c>
      <c r="P446">
        <v>20</v>
      </c>
      <c r="Q446">
        <v>67.072941483870991</v>
      </c>
      <c r="S446">
        <v>20</v>
      </c>
      <c r="T446">
        <v>64.198964500000002</v>
      </c>
      <c r="V446">
        <v>20</v>
      </c>
      <c r="W446">
        <v>78.207102225806452</v>
      </c>
      <c r="Y446">
        <v>20</v>
      </c>
      <c r="Z446">
        <v>79.459423935483855</v>
      </c>
      <c r="AB446">
        <v>20</v>
      </c>
      <c r="AC446">
        <v>70.851182433333321</v>
      </c>
      <c r="AE446">
        <v>20</v>
      </c>
      <c r="AF446">
        <v>71.380248870967719</v>
      </c>
      <c r="AH446">
        <v>20</v>
      </c>
      <c r="AI446">
        <v>63.356842600000007</v>
      </c>
      <c r="AK446">
        <v>20</v>
      </c>
      <c r="AL446">
        <v>77.417437387096768</v>
      </c>
    </row>
    <row r="447" spans="1:38">
      <c r="A447">
        <v>21</v>
      </c>
      <c r="B447">
        <v>72.195992550684949</v>
      </c>
      <c r="D447">
        <v>21</v>
      </c>
      <c r="E447">
        <v>100.99654580645158</v>
      </c>
      <c r="G447">
        <v>21</v>
      </c>
      <c r="H447">
        <v>86.41399189285714</v>
      </c>
      <c r="J447">
        <v>21</v>
      </c>
      <c r="K447">
        <v>65.91175225806451</v>
      </c>
      <c r="M447">
        <v>21</v>
      </c>
      <c r="N447">
        <v>67.876545633333322</v>
      </c>
      <c r="P447">
        <v>21</v>
      </c>
      <c r="Q447">
        <v>67.919221419354841</v>
      </c>
      <c r="S447">
        <v>21</v>
      </c>
      <c r="T447">
        <v>64.707296666666679</v>
      </c>
      <c r="V447">
        <v>21</v>
      </c>
      <c r="W447">
        <v>76.686127741935465</v>
      </c>
      <c r="Y447">
        <v>21</v>
      </c>
      <c r="Z447">
        <v>76.276537354838723</v>
      </c>
      <c r="AB447">
        <v>21</v>
      </c>
      <c r="AC447">
        <v>64.349517533333341</v>
      </c>
      <c r="AE447">
        <v>21</v>
      </c>
      <c r="AF447">
        <v>65.951321709677416</v>
      </c>
      <c r="AH447">
        <v>21</v>
      </c>
      <c r="AI447">
        <v>59.05297666666668</v>
      </c>
      <c r="AK447">
        <v>21</v>
      </c>
      <c r="AL447">
        <v>70.528023161290307</v>
      </c>
    </row>
    <row r="448" spans="1:38">
      <c r="A448">
        <v>22</v>
      </c>
      <c r="B448">
        <v>67.448412873972572</v>
      </c>
      <c r="D448">
        <v>22</v>
      </c>
      <c r="E448">
        <v>96.723617838709671</v>
      </c>
      <c r="G448">
        <v>22</v>
      </c>
      <c r="H448">
        <v>84.442014357142867</v>
      </c>
      <c r="J448">
        <v>22</v>
      </c>
      <c r="K448">
        <v>63.081961032258057</v>
      </c>
      <c r="M448">
        <v>22</v>
      </c>
      <c r="N448">
        <v>61.978914700000018</v>
      </c>
      <c r="P448">
        <v>22</v>
      </c>
      <c r="Q448">
        <v>64.755906645161289</v>
      </c>
      <c r="S448">
        <v>22</v>
      </c>
      <c r="T448">
        <v>58.808633033333322</v>
      </c>
      <c r="V448">
        <v>22</v>
      </c>
      <c r="W448">
        <v>67.897262580645162</v>
      </c>
      <c r="Y448">
        <v>22</v>
      </c>
      <c r="Z448">
        <v>65.886627096774205</v>
      </c>
      <c r="AB448">
        <v>22</v>
      </c>
      <c r="AC448">
        <v>59.277423533333334</v>
      </c>
      <c r="AE448">
        <v>22</v>
      </c>
      <c r="AF448">
        <v>61.402075290322593</v>
      </c>
      <c r="AH448">
        <v>22</v>
      </c>
      <c r="AI448">
        <v>57.513867499999989</v>
      </c>
      <c r="AK448">
        <v>22</v>
      </c>
      <c r="AL448">
        <v>68.218005451612925</v>
      </c>
    </row>
    <row r="449" spans="1:38">
      <c r="A449">
        <v>23</v>
      </c>
      <c r="B449">
        <v>62.017923260273996</v>
      </c>
      <c r="D449">
        <v>23</v>
      </c>
      <c r="E449">
        <v>87.652294677419377</v>
      </c>
      <c r="G449">
        <v>23</v>
      </c>
      <c r="H449">
        <v>81.723130357142864</v>
      </c>
      <c r="J449">
        <v>23</v>
      </c>
      <c r="K449">
        <v>59.383822300000006</v>
      </c>
      <c r="M449">
        <v>23</v>
      </c>
      <c r="N449">
        <v>56.916913633333337</v>
      </c>
      <c r="P449">
        <v>23</v>
      </c>
      <c r="Q449">
        <v>58.340108032258065</v>
      </c>
      <c r="S449">
        <v>23</v>
      </c>
      <c r="T449">
        <v>54.166162266666667</v>
      </c>
      <c r="V449">
        <v>23</v>
      </c>
      <c r="W449">
        <v>59.027121032258066</v>
      </c>
      <c r="Y449">
        <v>23</v>
      </c>
      <c r="Z449">
        <v>57.556189741935491</v>
      </c>
      <c r="AB449">
        <v>23</v>
      </c>
      <c r="AC449">
        <v>52.917961100000007</v>
      </c>
      <c r="AE449">
        <v>23</v>
      </c>
      <c r="AF449">
        <v>55.90796441935484</v>
      </c>
      <c r="AH449">
        <v>23</v>
      </c>
      <c r="AI449">
        <v>54.654459806451598</v>
      </c>
      <c r="AK449">
        <v>23</v>
      </c>
      <c r="AL449">
        <v>67.079557806451632</v>
      </c>
    </row>
    <row r="450" spans="1:38">
      <c r="A450" t="s">
        <v>328</v>
      </c>
      <c r="B450">
        <v>67.44128129863013</v>
      </c>
      <c r="D450" t="s">
        <v>328</v>
      </c>
      <c r="E450">
        <v>96.782868545698932</v>
      </c>
      <c r="G450" t="s">
        <v>328</v>
      </c>
      <c r="H450">
        <v>84.017546974702384</v>
      </c>
      <c r="J450" t="s">
        <v>328</v>
      </c>
      <c r="K450">
        <v>63.622668019220434</v>
      </c>
      <c r="M450" t="s">
        <v>328</v>
      </c>
      <c r="N450">
        <v>61.457436981944447</v>
      </c>
      <c r="P450" t="s">
        <v>328</v>
      </c>
      <c r="Q450">
        <v>59.507659935483879</v>
      </c>
      <c r="S450" t="s">
        <v>328</v>
      </c>
      <c r="T450">
        <v>58.249491558333339</v>
      </c>
      <c r="V450" t="s">
        <v>328</v>
      </c>
      <c r="W450">
        <v>67.468686431451616</v>
      </c>
      <c r="Y450" t="s">
        <v>328</v>
      </c>
      <c r="Z450">
        <v>68.424592438172027</v>
      </c>
      <c r="AB450" t="s">
        <v>328</v>
      </c>
      <c r="AC450">
        <v>59.907640079166669</v>
      </c>
      <c r="AE450" t="s">
        <v>328</v>
      </c>
      <c r="AF450">
        <v>60.904231661290311</v>
      </c>
      <c r="AH450" t="s">
        <v>328</v>
      </c>
      <c r="AI450">
        <v>59.396193864157702</v>
      </c>
      <c r="AK450" t="s">
        <v>328</v>
      </c>
      <c r="AL450">
        <v>70.174794290322595</v>
      </c>
    </row>
    <row r="453" spans="1:38">
      <c r="A453" s="94">
        <v>2030</v>
      </c>
      <c r="B453" s="99" t="s">
        <v>325</v>
      </c>
      <c r="D453">
        <v>1</v>
      </c>
      <c r="E453" s="99" t="s">
        <v>316</v>
      </c>
      <c r="G453">
        <v>2</v>
      </c>
      <c r="H453" s="99" t="s">
        <v>316</v>
      </c>
      <c r="J453">
        <v>3</v>
      </c>
      <c r="K453" s="99" t="s">
        <v>316</v>
      </c>
      <c r="M453">
        <v>4</v>
      </c>
      <c r="N453" s="99" t="s">
        <v>316</v>
      </c>
      <c r="P453">
        <v>5</v>
      </c>
      <c r="Q453" s="99" t="s">
        <v>316</v>
      </c>
      <c r="S453">
        <v>6</v>
      </c>
      <c r="T453" s="99" t="s">
        <v>316</v>
      </c>
      <c r="V453">
        <v>7</v>
      </c>
      <c r="W453" s="99" t="s">
        <v>316</v>
      </c>
      <c r="Y453">
        <v>8</v>
      </c>
      <c r="Z453" s="99" t="s">
        <v>316</v>
      </c>
      <c r="AB453">
        <v>9</v>
      </c>
      <c r="AC453" s="99" t="s">
        <v>316</v>
      </c>
      <c r="AE453">
        <v>10</v>
      </c>
      <c r="AF453" s="99" t="s">
        <v>316</v>
      </c>
      <c r="AH453">
        <v>11</v>
      </c>
      <c r="AI453" s="99" t="s">
        <v>316</v>
      </c>
      <c r="AK453">
        <v>12</v>
      </c>
      <c r="AL453" s="99" t="s">
        <v>316</v>
      </c>
    </row>
    <row r="454" spans="1:38">
      <c r="A454" s="94" t="s">
        <v>308</v>
      </c>
      <c r="B454" s="58">
        <v>8760</v>
      </c>
      <c r="D454" s="94" t="s">
        <v>397</v>
      </c>
      <c r="E454" s="58">
        <v>744</v>
      </c>
      <c r="G454" s="94" t="s">
        <v>398</v>
      </c>
      <c r="H454" s="58">
        <v>672</v>
      </c>
      <c r="J454" s="94" t="s">
        <v>399</v>
      </c>
      <c r="K454" s="58">
        <v>743</v>
      </c>
      <c r="M454" s="94" t="s">
        <v>400</v>
      </c>
      <c r="N454" s="58">
        <v>720</v>
      </c>
      <c r="P454" s="94" t="s">
        <v>401</v>
      </c>
      <c r="Q454" s="58">
        <v>744</v>
      </c>
      <c r="S454" s="94" t="s">
        <v>402</v>
      </c>
      <c r="T454" s="58">
        <v>720</v>
      </c>
      <c r="V454" s="94" t="s">
        <v>403</v>
      </c>
      <c r="W454" s="58">
        <v>744</v>
      </c>
      <c r="Y454" s="94" t="s">
        <v>404</v>
      </c>
      <c r="Z454" s="58">
        <v>744</v>
      </c>
      <c r="AB454" s="94" t="s">
        <v>405</v>
      </c>
      <c r="AC454" s="58">
        <v>720</v>
      </c>
      <c r="AE454" s="94" t="s">
        <v>406</v>
      </c>
      <c r="AF454" s="58">
        <v>744</v>
      </c>
      <c r="AH454" s="94" t="s">
        <v>407</v>
      </c>
      <c r="AI454" s="58">
        <v>721</v>
      </c>
      <c r="AK454" s="94" t="s">
        <v>408</v>
      </c>
      <c r="AL454" s="58">
        <v>744</v>
      </c>
    </row>
    <row r="455" spans="1:38">
      <c r="A455" s="94" t="s">
        <v>326</v>
      </c>
      <c r="B455" s="58">
        <v>0</v>
      </c>
      <c r="D455" s="94" t="s">
        <v>326</v>
      </c>
      <c r="E455" s="58">
        <v>0</v>
      </c>
      <c r="G455" s="94" t="s">
        <v>326</v>
      </c>
      <c r="H455" s="58">
        <v>744</v>
      </c>
      <c r="J455" s="94" t="s">
        <v>326</v>
      </c>
      <c r="K455" s="58">
        <v>1416</v>
      </c>
      <c r="M455" s="94" t="s">
        <v>326</v>
      </c>
      <c r="N455" s="58">
        <v>2159</v>
      </c>
      <c r="P455" s="94" t="s">
        <v>326</v>
      </c>
      <c r="Q455" s="58">
        <v>2879</v>
      </c>
      <c r="S455" s="94" t="s">
        <v>326</v>
      </c>
      <c r="T455" s="58">
        <v>3623</v>
      </c>
      <c r="V455" s="94" t="s">
        <v>326</v>
      </c>
      <c r="W455" s="58">
        <v>4343</v>
      </c>
      <c r="Y455" s="94" t="s">
        <v>326</v>
      </c>
      <c r="Z455" s="58">
        <v>5087</v>
      </c>
      <c r="AB455" s="94" t="s">
        <v>326</v>
      </c>
      <c r="AC455" s="58">
        <v>5831</v>
      </c>
      <c r="AE455" s="94" t="s">
        <v>326</v>
      </c>
      <c r="AF455" s="58">
        <v>6551</v>
      </c>
      <c r="AH455" s="94" t="s">
        <v>326</v>
      </c>
      <c r="AI455" s="58">
        <v>7295</v>
      </c>
      <c r="AK455" s="94" t="s">
        <v>326</v>
      </c>
      <c r="AL455" s="58">
        <v>8016</v>
      </c>
    </row>
    <row r="456" spans="1:38">
      <c r="A456" s="94" t="s">
        <v>327</v>
      </c>
      <c r="B456" s="58">
        <v>8760</v>
      </c>
      <c r="D456" s="94" t="s">
        <v>327</v>
      </c>
      <c r="E456" s="58">
        <v>744</v>
      </c>
      <c r="G456" s="94" t="s">
        <v>327</v>
      </c>
      <c r="H456" s="58">
        <v>1416</v>
      </c>
      <c r="J456" s="94" t="s">
        <v>327</v>
      </c>
      <c r="K456" s="58">
        <v>2159</v>
      </c>
      <c r="M456" s="94" t="s">
        <v>327</v>
      </c>
      <c r="N456" s="58">
        <v>2879</v>
      </c>
      <c r="P456" s="94" t="s">
        <v>327</v>
      </c>
      <c r="Q456" s="58">
        <v>3623</v>
      </c>
      <c r="S456" s="94" t="s">
        <v>327</v>
      </c>
      <c r="T456" s="58">
        <v>4343</v>
      </c>
      <c r="V456" s="94" t="s">
        <v>327</v>
      </c>
      <c r="W456" s="58">
        <v>5087</v>
      </c>
      <c r="Y456" s="94" t="s">
        <v>327</v>
      </c>
      <c r="Z456" s="58">
        <v>5831</v>
      </c>
      <c r="AB456" s="94" t="s">
        <v>327</v>
      </c>
      <c r="AC456" s="58">
        <v>6551</v>
      </c>
      <c r="AE456" s="94" t="s">
        <v>327</v>
      </c>
      <c r="AF456" s="58">
        <v>7295</v>
      </c>
      <c r="AH456" s="94" t="s">
        <v>327</v>
      </c>
      <c r="AI456" s="58">
        <v>8016</v>
      </c>
      <c r="AK456" s="94" t="s">
        <v>327</v>
      </c>
      <c r="AL456" s="58">
        <v>8760</v>
      </c>
    </row>
    <row r="457" spans="1:38">
      <c r="A457" t="s">
        <v>293</v>
      </c>
      <c r="B457" s="16" t="s">
        <v>294</v>
      </c>
      <c r="D457" t="s">
        <v>293</v>
      </c>
      <c r="E457" s="16" t="s">
        <v>294</v>
      </c>
      <c r="G457" t="s">
        <v>293</v>
      </c>
      <c r="H457" s="16" t="s">
        <v>294</v>
      </c>
      <c r="J457" t="s">
        <v>293</v>
      </c>
      <c r="K457" s="16" t="s">
        <v>294</v>
      </c>
      <c r="M457" t="s">
        <v>293</v>
      </c>
      <c r="N457" s="16" t="s">
        <v>294</v>
      </c>
      <c r="P457" t="s">
        <v>293</v>
      </c>
      <c r="Q457" s="16" t="s">
        <v>294</v>
      </c>
      <c r="S457" t="s">
        <v>293</v>
      </c>
      <c r="T457" s="16" t="s">
        <v>294</v>
      </c>
      <c r="V457" t="s">
        <v>293</v>
      </c>
      <c r="W457" s="16" t="s">
        <v>294</v>
      </c>
      <c r="Y457" t="s">
        <v>293</v>
      </c>
      <c r="Z457" s="16" t="s">
        <v>294</v>
      </c>
      <c r="AB457" t="s">
        <v>293</v>
      </c>
      <c r="AC457" s="16" t="s">
        <v>294</v>
      </c>
      <c r="AE457" t="s">
        <v>293</v>
      </c>
      <c r="AF457" s="16" t="s">
        <v>294</v>
      </c>
      <c r="AH457" t="s">
        <v>293</v>
      </c>
      <c r="AI457" s="16" t="s">
        <v>294</v>
      </c>
      <c r="AK457" t="s">
        <v>293</v>
      </c>
      <c r="AL457" s="16" t="s">
        <v>294</v>
      </c>
    </row>
    <row r="458" spans="1:38">
      <c r="A458">
        <v>0</v>
      </c>
      <c r="B458">
        <v>60.099222035616506</v>
      </c>
      <c r="D458">
        <v>0</v>
      </c>
      <c r="E458">
        <v>82.687288935483892</v>
      </c>
      <c r="G458">
        <v>0</v>
      </c>
      <c r="H458">
        <v>80.208625499999997</v>
      </c>
      <c r="J458">
        <v>0</v>
      </c>
      <c r="K458">
        <v>59.540658903225818</v>
      </c>
      <c r="M458">
        <v>0</v>
      </c>
      <c r="N458">
        <v>55.196546466666661</v>
      </c>
      <c r="P458">
        <v>0</v>
      </c>
      <c r="Q458">
        <v>53.53620941935484</v>
      </c>
      <c r="S458">
        <v>0</v>
      </c>
      <c r="T458">
        <v>53.776143766666671</v>
      </c>
      <c r="V458">
        <v>0</v>
      </c>
      <c r="W458">
        <v>56.391356548387108</v>
      </c>
      <c r="Y458">
        <v>0</v>
      </c>
      <c r="Z458">
        <v>56.182177999999993</v>
      </c>
      <c r="AB458">
        <v>0</v>
      </c>
      <c r="AC458">
        <v>50.77045866666667</v>
      </c>
      <c r="AE458">
        <v>0</v>
      </c>
      <c r="AF458">
        <v>50.905180161290303</v>
      </c>
      <c r="AH458">
        <v>0</v>
      </c>
      <c r="AI458">
        <v>53.828503700000006</v>
      </c>
      <c r="AK458">
        <v>0</v>
      </c>
      <c r="AL458">
        <v>69.248255483870977</v>
      </c>
    </row>
    <row r="459" spans="1:38">
      <c r="A459">
        <v>1</v>
      </c>
      <c r="B459">
        <v>57.368040764383544</v>
      </c>
      <c r="D459">
        <v>1</v>
      </c>
      <c r="E459">
        <v>81.214158516129046</v>
      </c>
      <c r="G459">
        <v>1</v>
      </c>
      <c r="H459">
        <v>78.082295035714267</v>
      </c>
      <c r="J459">
        <v>1</v>
      </c>
      <c r="K459">
        <v>56.798489999999994</v>
      </c>
      <c r="M459">
        <v>1</v>
      </c>
      <c r="N459">
        <v>52.436911000000009</v>
      </c>
      <c r="P459">
        <v>1</v>
      </c>
      <c r="Q459">
        <v>50.841062612903215</v>
      </c>
      <c r="S459">
        <v>1</v>
      </c>
      <c r="T459">
        <v>51.031565499999985</v>
      </c>
      <c r="V459">
        <v>1</v>
      </c>
      <c r="W459">
        <v>53.064689548387086</v>
      </c>
      <c r="Y459">
        <v>1</v>
      </c>
      <c r="Z459">
        <v>53.350069064516127</v>
      </c>
      <c r="AB459">
        <v>1</v>
      </c>
      <c r="AC459">
        <v>46.85011706666667</v>
      </c>
      <c r="AE459">
        <v>1</v>
      </c>
      <c r="AF459">
        <v>48.199735612903218</v>
      </c>
      <c r="AH459">
        <v>1</v>
      </c>
      <c r="AI459">
        <v>51.2741209</v>
      </c>
      <c r="AK459">
        <v>1</v>
      </c>
      <c r="AL459">
        <v>66.378542516129031</v>
      </c>
    </row>
    <row r="460" spans="1:38">
      <c r="A460">
        <v>2</v>
      </c>
      <c r="B460">
        <v>55.764197964383563</v>
      </c>
      <c r="D460">
        <v>2</v>
      </c>
      <c r="E460">
        <v>81.133131774193558</v>
      </c>
      <c r="G460">
        <v>2</v>
      </c>
      <c r="H460">
        <v>77.32185935714287</v>
      </c>
      <c r="J460">
        <v>2</v>
      </c>
      <c r="K460">
        <v>55.515327774193537</v>
      </c>
      <c r="M460">
        <v>2</v>
      </c>
      <c r="N460">
        <v>50.840184499999985</v>
      </c>
      <c r="P460">
        <v>2</v>
      </c>
      <c r="Q460">
        <v>49.456116290322576</v>
      </c>
      <c r="S460">
        <v>2</v>
      </c>
      <c r="T460">
        <v>49.647996599999992</v>
      </c>
      <c r="V460">
        <v>2</v>
      </c>
      <c r="W460">
        <v>51.277439258064511</v>
      </c>
      <c r="Y460">
        <v>2</v>
      </c>
      <c r="Z460">
        <v>50.893963258064517</v>
      </c>
      <c r="AB460">
        <v>2</v>
      </c>
      <c r="AC460">
        <v>44.560060166666666</v>
      </c>
      <c r="AE460">
        <v>2</v>
      </c>
      <c r="AF460">
        <v>46.266426032258074</v>
      </c>
      <c r="AH460">
        <v>2</v>
      </c>
      <c r="AI460">
        <v>50.148691966666668</v>
      </c>
      <c r="AK460">
        <v>2</v>
      </c>
      <c r="AL460">
        <v>63.296698774193544</v>
      </c>
    </row>
    <row r="461" spans="1:38">
      <c r="A461">
        <v>3</v>
      </c>
      <c r="B461">
        <v>54.89184739178085</v>
      </c>
      <c r="D461">
        <v>3</v>
      </c>
      <c r="E461">
        <v>81.150651580645174</v>
      </c>
      <c r="G461">
        <v>3</v>
      </c>
      <c r="H461">
        <v>76.693770821428558</v>
      </c>
      <c r="J461">
        <v>3</v>
      </c>
      <c r="K461">
        <v>54.973997677419341</v>
      </c>
      <c r="M461">
        <v>3</v>
      </c>
      <c r="N461">
        <v>50.000014500000006</v>
      </c>
      <c r="P461">
        <v>3</v>
      </c>
      <c r="Q461">
        <v>48.816305999999997</v>
      </c>
      <c r="S461">
        <v>3</v>
      </c>
      <c r="T461">
        <v>48.585771333333348</v>
      </c>
      <c r="V461">
        <v>3</v>
      </c>
      <c r="W461">
        <v>49.807972193548395</v>
      </c>
      <c r="Y461">
        <v>3</v>
      </c>
      <c r="Z461">
        <v>49.400196000000008</v>
      </c>
      <c r="AB461">
        <v>3</v>
      </c>
      <c r="AC461">
        <v>43.182193999999996</v>
      </c>
      <c r="AE461">
        <v>3</v>
      </c>
      <c r="AF461">
        <v>45.013600677419355</v>
      </c>
      <c r="AH461">
        <v>3</v>
      </c>
      <c r="AI461">
        <v>49.789443666666671</v>
      </c>
      <c r="AK461">
        <v>3</v>
      </c>
      <c r="AL461">
        <v>62.494566516129026</v>
      </c>
    </row>
    <row r="462" spans="1:38">
      <c r="A462">
        <v>4</v>
      </c>
      <c r="B462">
        <v>55.646015726027429</v>
      </c>
      <c r="D462">
        <v>4</v>
      </c>
      <c r="E462">
        <v>83.593109161290315</v>
      </c>
      <c r="G462">
        <v>4</v>
      </c>
      <c r="H462">
        <v>78.731426964285703</v>
      </c>
      <c r="J462">
        <v>4</v>
      </c>
      <c r="K462">
        <v>56.232247580645165</v>
      </c>
      <c r="M462">
        <v>4</v>
      </c>
      <c r="N462">
        <v>50.53311213333334</v>
      </c>
      <c r="P462">
        <v>4</v>
      </c>
      <c r="Q462">
        <v>48.877787967741924</v>
      </c>
      <c r="S462">
        <v>4</v>
      </c>
      <c r="T462">
        <v>48.342154933333333</v>
      </c>
      <c r="V462">
        <v>4</v>
      </c>
      <c r="W462">
        <v>49.638364161290312</v>
      </c>
      <c r="Y462">
        <v>4</v>
      </c>
      <c r="Z462">
        <v>48.507652354838712</v>
      </c>
      <c r="AB462">
        <v>4</v>
      </c>
      <c r="AC462">
        <v>43.180403266666659</v>
      </c>
      <c r="AE462">
        <v>4</v>
      </c>
      <c r="AF462">
        <v>46.081004193548367</v>
      </c>
      <c r="AH462">
        <v>4</v>
      </c>
      <c r="AI462">
        <v>50.861080566666672</v>
      </c>
      <c r="AK462">
        <v>4</v>
      </c>
      <c r="AL462">
        <v>64.450907419354849</v>
      </c>
    </row>
    <row r="463" spans="1:38">
      <c r="A463">
        <v>5</v>
      </c>
      <c r="B463">
        <v>59.453394526027353</v>
      </c>
      <c r="D463">
        <v>5</v>
      </c>
      <c r="E463">
        <v>92.698688677419327</v>
      </c>
      <c r="G463">
        <v>5</v>
      </c>
      <c r="H463">
        <v>84.162910107142878</v>
      </c>
      <c r="J463">
        <v>5</v>
      </c>
      <c r="K463">
        <v>60.120017096774198</v>
      </c>
      <c r="M463">
        <v>5</v>
      </c>
      <c r="N463">
        <v>53.909986799999992</v>
      </c>
      <c r="P463">
        <v>5</v>
      </c>
      <c r="Q463">
        <v>51.322464870967742</v>
      </c>
      <c r="S463">
        <v>5</v>
      </c>
      <c r="T463">
        <v>49.140749199999995</v>
      </c>
      <c r="V463">
        <v>5</v>
      </c>
      <c r="W463">
        <v>50.81988687096775</v>
      </c>
      <c r="Y463">
        <v>5</v>
      </c>
      <c r="Z463">
        <v>50.009459516129027</v>
      </c>
      <c r="AB463">
        <v>5</v>
      </c>
      <c r="AC463">
        <v>46.780381166666672</v>
      </c>
      <c r="AE463">
        <v>5</v>
      </c>
      <c r="AF463">
        <v>51.719704516129035</v>
      </c>
      <c r="AH463">
        <v>5</v>
      </c>
      <c r="AI463">
        <v>54.538141100000004</v>
      </c>
      <c r="AK463">
        <v>5</v>
      </c>
      <c r="AL463">
        <v>69.530738806451595</v>
      </c>
    </row>
    <row r="464" spans="1:38">
      <c r="A464">
        <v>6</v>
      </c>
      <c r="B464">
        <v>65.101629526027423</v>
      </c>
      <c r="D464">
        <v>6</v>
      </c>
      <c r="E464">
        <v>108.64812712903225</v>
      </c>
      <c r="G464">
        <v>6</v>
      </c>
      <c r="H464">
        <v>90.101967214285736</v>
      </c>
      <c r="J464">
        <v>6</v>
      </c>
      <c r="K464">
        <v>65.645995290322574</v>
      </c>
      <c r="M464">
        <v>6</v>
      </c>
      <c r="N464">
        <v>60.24207613333332</v>
      </c>
      <c r="P464">
        <v>6</v>
      </c>
      <c r="Q464">
        <v>56.55363280645161</v>
      </c>
      <c r="S464">
        <v>6</v>
      </c>
      <c r="T464">
        <v>51.848867633333334</v>
      </c>
      <c r="V464">
        <v>6</v>
      </c>
      <c r="W464">
        <v>53.966869838709691</v>
      </c>
      <c r="Y464">
        <v>6</v>
      </c>
      <c r="Z464">
        <v>53.905654580645162</v>
      </c>
      <c r="AB464">
        <v>6</v>
      </c>
      <c r="AC464">
        <v>51.892492299999994</v>
      </c>
      <c r="AE464">
        <v>6</v>
      </c>
      <c r="AF464">
        <v>58.090003548387095</v>
      </c>
      <c r="AH464">
        <v>6</v>
      </c>
      <c r="AI464">
        <v>59.022683700000002</v>
      </c>
      <c r="AK464">
        <v>6</v>
      </c>
      <c r="AL464">
        <v>72.514107193548369</v>
      </c>
    </row>
    <row r="465" spans="1:38">
      <c r="A465">
        <v>7</v>
      </c>
      <c r="B465">
        <v>69.550770293150691</v>
      </c>
      <c r="D465">
        <v>7</v>
      </c>
      <c r="E465">
        <v>114.89481041935487</v>
      </c>
      <c r="G465">
        <v>7</v>
      </c>
      <c r="H465">
        <v>95.573378964285737</v>
      </c>
      <c r="J465">
        <v>7</v>
      </c>
      <c r="K465">
        <v>68.947009129032267</v>
      </c>
      <c r="M465">
        <v>7</v>
      </c>
      <c r="N465">
        <v>65.709645500000008</v>
      </c>
      <c r="P465">
        <v>7</v>
      </c>
      <c r="Q465">
        <v>62.419073903225815</v>
      </c>
      <c r="S465">
        <v>7</v>
      </c>
      <c r="T465">
        <v>54.914394699999995</v>
      </c>
      <c r="V465">
        <v>7</v>
      </c>
      <c r="W465">
        <v>58.505555935483876</v>
      </c>
      <c r="Y465">
        <v>7</v>
      </c>
      <c r="Z465">
        <v>58.711359483870972</v>
      </c>
      <c r="AB465">
        <v>7</v>
      </c>
      <c r="AC465">
        <v>56.047846533333313</v>
      </c>
      <c r="AE465">
        <v>7</v>
      </c>
      <c r="AF465">
        <v>62.584638774193543</v>
      </c>
      <c r="AH465">
        <v>7</v>
      </c>
      <c r="AI465">
        <v>61.713003100000002</v>
      </c>
      <c r="AK465">
        <v>7</v>
      </c>
      <c r="AL465">
        <v>75.822386258064526</v>
      </c>
    </row>
    <row r="466" spans="1:38">
      <c r="A466">
        <v>8</v>
      </c>
      <c r="B466">
        <v>70.944006049315078</v>
      </c>
      <c r="D466">
        <v>8</v>
      </c>
      <c r="E466">
        <v>111.23368222580649</v>
      </c>
      <c r="G466">
        <v>8</v>
      </c>
      <c r="H466">
        <v>95.424063357142884</v>
      </c>
      <c r="J466">
        <v>8</v>
      </c>
      <c r="K466">
        <v>70.772833483870969</v>
      </c>
      <c r="M466">
        <v>8</v>
      </c>
      <c r="N466">
        <v>68.125850066666658</v>
      </c>
      <c r="P466">
        <v>8</v>
      </c>
      <c r="Q466">
        <v>63.18529687096774</v>
      </c>
      <c r="S466">
        <v>8</v>
      </c>
      <c r="T466">
        <v>57.441730766666687</v>
      </c>
      <c r="V466">
        <v>8</v>
      </c>
      <c r="W466">
        <v>62.974863064516121</v>
      </c>
      <c r="Y466">
        <v>8</v>
      </c>
      <c r="Z466">
        <v>63.812614451612902</v>
      </c>
      <c r="AB466">
        <v>8</v>
      </c>
      <c r="AC466">
        <v>58.236175699999997</v>
      </c>
      <c r="AE466">
        <v>8</v>
      </c>
      <c r="AF466">
        <v>63.962288193548382</v>
      </c>
      <c r="AH466">
        <v>8</v>
      </c>
      <c r="AI466">
        <v>62.091509700000003</v>
      </c>
      <c r="AK466">
        <v>8</v>
      </c>
      <c r="AL466">
        <v>75.214242580645177</v>
      </c>
    </row>
    <row r="467" spans="1:38">
      <c r="A467">
        <v>9</v>
      </c>
      <c r="B467">
        <v>73.421909665753461</v>
      </c>
      <c r="D467">
        <v>9</v>
      </c>
      <c r="E467">
        <v>108.92990509677419</v>
      </c>
      <c r="G467">
        <v>9</v>
      </c>
      <c r="H467">
        <v>94.864218107142861</v>
      </c>
      <c r="J467">
        <v>9</v>
      </c>
      <c r="K467">
        <v>72.677310451612897</v>
      </c>
      <c r="M467">
        <v>9</v>
      </c>
      <c r="N467">
        <v>70.783216566666667</v>
      </c>
      <c r="P467">
        <v>9</v>
      </c>
      <c r="Q467">
        <v>65.622609516129032</v>
      </c>
      <c r="S467">
        <v>9</v>
      </c>
      <c r="T467">
        <v>61.420543200000012</v>
      </c>
      <c r="V467">
        <v>9</v>
      </c>
      <c r="W467">
        <v>68.628340354838713</v>
      </c>
      <c r="Y467">
        <v>9</v>
      </c>
      <c r="Z467">
        <v>70.903550483870973</v>
      </c>
      <c r="AB467">
        <v>9</v>
      </c>
      <c r="AC467">
        <v>62.955988866666665</v>
      </c>
      <c r="AE467">
        <v>9</v>
      </c>
      <c r="AF467">
        <v>66.449071193548392</v>
      </c>
      <c r="AH467">
        <v>9</v>
      </c>
      <c r="AI467">
        <v>64.440735533333338</v>
      </c>
      <c r="AK467">
        <v>9</v>
      </c>
      <c r="AL467">
        <v>74.36290309677419</v>
      </c>
    </row>
    <row r="468" spans="1:38">
      <c r="A468">
        <v>10</v>
      </c>
      <c r="B468">
        <v>75.193503473972555</v>
      </c>
      <c r="D468">
        <v>10</v>
      </c>
      <c r="E468">
        <v>109.28000196774194</v>
      </c>
      <c r="G468">
        <v>10</v>
      </c>
      <c r="H468">
        <v>93.286821107142856</v>
      </c>
      <c r="J468">
        <v>10</v>
      </c>
      <c r="K468">
        <v>73.314015838709665</v>
      </c>
      <c r="M468">
        <v>10</v>
      </c>
      <c r="N468">
        <v>72.368555866666668</v>
      </c>
      <c r="P468">
        <v>10</v>
      </c>
      <c r="Q468">
        <v>67.250625806451609</v>
      </c>
      <c r="S468">
        <v>10</v>
      </c>
      <c r="T468">
        <v>64.985529866666667</v>
      </c>
      <c r="V468">
        <v>10</v>
      </c>
      <c r="W468">
        <v>73.498633838709679</v>
      </c>
      <c r="Y468">
        <v>10</v>
      </c>
      <c r="Z468">
        <v>76.697912741935468</v>
      </c>
      <c r="AB468">
        <v>10</v>
      </c>
      <c r="AC468">
        <v>65.469796366666657</v>
      </c>
      <c r="AE468">
        <v>10</v>
      </c>
      <c r="AF468">
        <v>68.127656806451611</v>
      </c>
      <c r="AH468">
        <v>10</v>
      </c>
      <c r="AI468">
        <v>65.233311966666676</v>
      </c>
      <c r="AK468">
        <v>10</v>
      </c>
      <c r="AL468">
        <v>73.504764451612914</v>
      </c>
    </row>
    <row r="469" spans="1:38">
      <c r="A469">
        <v>11</v>
      </c>
      <c r="B469">
        <v>75.286551123287666</v>
      </c>
      <c r="D469">
        <v>11</v>
      </c>
      <c r="E469">
        <v>103.64426516129031</v>
      </c>
      <c r="G469">
        <v>11</v>
      </c>
      <c r="H469">
        <v>88.413529000000011</v>
      </c>
      <c r="J469">
        <v>11</v>
      </c>
      <c r="K469">
        <v>72.095540483870977</v>
      </c>
      <c r="M469">
        <v>11</v>
      </c>
      <c r="N469">
        <v>73.218945300000001</v>
      </c>
      <c r="P469">
        <v>11</v>
      </c>
      <c r="Q469">
        <v>67.420976161290298</v>
      </c>
      <c r="S469">
        <v>11</v>
      </c>
      <c r="T469">
        <v>68.164188666666661</v>
      </c>
      <c r="V469">
        <v>11</v>
      </c>
      <c r="W469">
        <v>77.648793741935478</v>
      </c>
      <c r="Y469">
        <v>11</v>
      </c>
      <c r="Z469">
        <v>80.43005616129031</v>
      </c>
      <c r="AB469">
        <v>11</v>
      </c>
      <c r="AC469">
        <v>67.494143399999999</v>
      </c>
      <c r="AE469">
        <v>11</v>
      </c>
      <c r="AF469">
        <v>67.829733548387111</v>
      </c>
      <c r="AH469">
        <v>11</v>
      </c>
      <c r="AI469">
        <v>64.881316266666673</v>
      </c>
      <c r="AK469">
        <v>11</v>
      </c>
      <c r="AL469">
        <v>72.584006967741942</v>
      </c>
    </row>
    <row r="470" spans="1:38">
      <c r="A470">
        <v>12</v>
      </c>
      <c r="B470">
        <v>74.55609190410955</v>
      </c>
      <c r="D470">
        <v>12</v>
      </c>
      <c r="E470">
        <v>97.612148580645126</v>
      </c>
      <c r="G470">
        <v>12</v>
      </c>
      <c r="H470">
        <v>86.36443349999999</v>
      </c>
      <c r="J470">
        <v>12</v>
      </c>
      <c r="K470">
        <v>71.076323548387066</v>
      </c>
      <c r="M470">
        <v>12</v>
      </c>
      <c r="N470">
        <v>72.293311299999999</v>
      </c>
      <c r="P470">
        <v>12</v>
      </c>
      <c r="Q470">
        <v>67.098797000000005</v>
      </c>
      <c r="S470">
        <v>12</v>
      </c>
      <c r="T470">
        <v>69.352233433333339</v>
      </c>
      <c r="V470">
        <v>12</v>
      </c>
      <c r="W470">
        <v>80.204800096774193</v>
      </c>
      <c r="Y470">
        <v>12</v>
      </c>
      <c r="Z470">
        <v>82.002078419354859</v>
      </c>
      <c r="AB470">
        <v>12</v>
      </c>
      <c r="AC470">
        <v>68.051733900000002</v>
      </c>
      <c r="AE470">
        <v>12</v>
      </c>
      <c r="AF470">
        <v>66.320780129032272</v>
      </c>
      <c r="AH470">
        <v>12</v>
      </c>
      <c r="AI470">
        <v>63.109145700000013</v>
      </c>
      <c r="AK470">
        <v>12</v>
      </c>
      <c r="AL470">
        <v>71.51012632258066</v>
      </c>
    </row>
    <row r="471" spans="1:38">
      <c r="A471">
        <v>13</v>
      </c>
      <c r="B471">
        <v>74.192960745205539</v>
      </c>
      <c r="D471">
        <v>13</v>
      </c>
      <c r="E471">
        <v>94.331875774193577</v>
      </c>
      <c r="G471">
        <v>13</v>
      </c>
      <c r="H471">
        <v>84.557819714285685</v>
      </c>
      <c r="J471">
        <v>13</v>
      </c>
      <c r="K471">
        <v>69.482460225806449</v>
      </c>
      <c r="M471">
        <v>13</v>
      </c>
      <c r="N471">
        <v>71.369395866666665</v>
      </c>
      <c r="P471">
        <v>13</v>
      </c>
      <c r="Q471">
        <v>66.935322838709666</v>
      </c>
      <c r="S471">
        <v>13</v>
      </c>
      <c r="T471">
        <v>69.303811766666669</v>
      </c>
      <c r="V471">
        <v>13</v>
      </c>
      <c r="W471">
        <v>81.731863838709685</v>
      </c>
      <c r="Y471">
        <v>13</v>
      </c>
      <c r="Z471">
        <v>84.190988290322551</v>
      </c>
      <c r="AB471">
        <v>13</v>
      </c>
      <c r="AC471">
        <v>69.545099799999988</v>
      </c>
      <c r="AE471">
        <v>13</v>
      </c>
      <c r="AF471">
        <v>65.945029709677414</v>
      </c>
      <c r="AH471">
        <v>13</v>
      </c>
      <c r="AI471">
        <v>62.567131133333326</v>
      </c>
      <c r="AK471">
        <v>13</v>
      </c>
      <c r="AL471">
        <v>70.58402587096775</v>
      </c>
    </row>
    <row r="472" spans="1:38">
      <c r="A472">
        <v>14</v>
      </c>
      <c r="B472">
        <v>73.367035602739747</v>
      </c>
      <c r="D472">
        <v>14</v>
      </c>
      <c r="E472">
        <v>92.308993645161266</v>
      </c>
      <c r="G472">
        <v>14</v>
      </c>
      <c r="H472">
        <v>82.721829892857158</v>
      </c>
      <c r="J472">
        <v>14</v>
      </c>
      <c r="K472">
        <v>67.30531132258065</v>
      </c>
      <c r="M472">
        <v>14</v>
      </c>
      <c r="N472">
        <v>69.880722399999996</v>
      </c>
      <c r="P472">
        <v>14</v>
      </c>
      <c r="Q472">
        <v>65.578189580645159</v>
      </c>
      <c r="S472">
        <v>14</v>
      </c>
      <c r="T472">
        <v>69.032052933333333</v>
      </c>
      <c r="V472">
        <v>14</v>
      </c>
      <c r="W472">
        <v>82.048753580645155</v>
      </c>
      <c r="Y472">
        <v>14</v>
      </c>
      <c r="Z472">
        <v>85.887580935483882</v>
      </c>
      <c r="AB472">
        <v>14</v>
      </c>
      <c r="AC472">
        <v>69.572768333333343</v>
      </c>
      <c r="AE472">
        <v>14</v>
      </c>
      <c r="AF472">
        <v>65.079535129032266</v>
      </c>
      <c r="AH472">
        <v>14</v>
      </c>
      <c r="AI472">
        <v>61.206339999999997</v>
      </c>
      <c r="AK472">
        <v>14</v>
      </c>
      <c r="AL472">
        <v>69.920676064516115</v>
      </c>
    </row>
    <row r="473" spans="1:38">
      <c r="A473">
        <v>15</v>
      </c>
      <c r="B473">
        <v>73.603751956164359</v>
      </c>
      <c r="D473">
        <v>15</v>
      </c>
      <c r="E473">
        <v>94.701897064516132</v>
      </c>
      <c r="G473">
        <v>15</v>
      </c>
      <c r="H473">
        <v>82.850865178571439</v>
      </c>
      <c r="J473">
        <v>15</v>
      </c>
      <c r="K473">
        <v>66.359728580645154</v>
      </c>
      <c r="M473">
        <v>15</v>
      </c>
      <c r="N473">
        <v>68.839298899999989</v>
      </c>
      <c r="P473">
        <v>15</v>
      </c>
      <c r="Q473">
        <v>64.511856935483891</v>
      </c>
      <c r="S473">
        <v>15</v>
      </c>
      <c r="T473">
        <v>70.518032300000002</v>
      </c>
      <c r="V473">
        <v>15</v>
      </c>
      <c r="W473">
        <v>82.848503419354842</v>
      </c>
      <c r="Y473">
        <v>15</v>
      </c>
      <c r="Z473">
        <v>86.484612741935493</v>
      </c>
      <c r="AB473">
        <v>15</v>
      </c>
      <c r="AC473">
        <v>69.418512299999989</v>
      </c>
      <c r="AE473">
        <v>15</v>
      </c>
      <c r="AF473">
        <v>64.417715999999999</v>
      </c>
      <c r="AH473">
        <v>15</v>
      </c>
      <c r="AI473">
        <v>61.573337666666667</v>
      </c>
      <c r="AK473">
        <v>15</v>
      </c>
      <c r="AL473">
        <v>70.839227322580641</v>
      </c>
    </row>
    <row r="474" spans="1:38">
      <c r="A474">
        <v>16</v>
      </c>
      <c r="B474">
        <v>76.158168520547946</v>
      </c>
      <c r="D474">
        <v>16</v>
      </c>
      <c r="E474">
        <v>101.60509951612903</v>
      </c>
      <c r="G474">
        <v>16</v>
      </c>
      <c r="H474">
        <v>84.372069750000009</v>
      </c>
      <c r="J474">
        <v>16</v>
      </c>
      <c r="K474">
        <v>68.017618774193551</v>
      </c>
      <c r="M474">
        <v>16</v>
      </c>
      <c r="N474">
        <v>70.544539766666674</v>
      </c>
      <c r="P474">
        <v>16</v>
      </c>
      <c r="Q474">
        <v>65.591878225806454</v>
      </c>
      <c r="S474">
        <v>16</v>
      </c>
      <c r="T474">
        <v>70.374979300000007</v>
      </c>
      <c r="V474">
        <v>16</v>
      </c>
      <c r="W474">
        <v>85.277608612903251</v>
      </c>
      <c r="Y474">
        <v>16</v>
      </c>
      <c r="Z474">
        <v>87.457895354838712</v>
      </c>
      <c r="AB474">
        <v>16</v>
      </c>
      <c r="AC474">
        <v>70.697661433333352</v>
      </c>
      <c r="AE474">
        <v>16</v>
      </c>
      <c r="AF474">
        <v>65.977261903225809</v>
      </c>
      <c r="AH474">
        <v>16</v>
      </c>
      <c r="AI474">
        <v>68.338808233333339</v>
      </c>
      <c r="AK474">
        <v>16</v>
      </c>
      <c r="AL474">
        <v>75.641472935483861</v>
      </c>
    </row>
    <row r="475" spans="1:38">
      <c r="A475">
        <v>17</v>
      </c>
      <c r="B475">
        <v>80.782463167123339</v>
      </c>
      <c r="D475">
        <v>17</v>
      </c>
      <c r="E475">
        <v>118.43797425806449</v>
      </c>
      <c r="G475">
        <v>17</v>
      </c>
      <c r="H475">
        <v>90.293245535714263</v>
      </c>
      <c r="J475">
        <v>17</v>
      </c>
      <c r="K475">
        <v>71.102526161290328</v>
      </c>
      <c r="M475">
        <v>17</v>
      </c>
      <c r="N475">
        <v>71.185263699999993</v>
      </c>
      <c r="P475">
        <v>17</v>
      </c>
      <c r="Q475">
        <v>65.554085161290331</v>
      </c>
      <c r="S475">
        <v>17</v>
      </c>
      <c r="T475">
        <v>70.8826459</v>
      </c>
      <c r="V475">
        <v>17</v>
      </c>
      <c r="W475">
        <v>86.676727483870962</v>
      </c>
      <c r="Y475">
        <v>17</v>
      </c>
      <c r="Z475">
        <v>87.731195451612905</v>
      </c>
      <c r="AB475">
        <v>17</v>
      </c>
      <c r="AC475">
        <v>70.79349386666668</v>
      </c>
      <c r="AE475">
        <v>17</v>
      </c>
      <c r="AF475">
        <v>68.827517645161279</v>
      </c>
      <c r="AH475">
        <v>17</v>
      </c>
      <c r="AI475">
        <v>75.704610066666646</v>
      </c>
      <c r="AK475">
        <v>17</v>
      </c>
      <c r="AL475">
        <v>92.005708516129033</v>
      </c>
    </row>
    <row r="476" spans="1:38">
      <c r="A476">
        <v>18</v>
      </c>
      <c r="B476">
        <v>82.266381673972646</v>
      </c>
      <c r="D476">
        <v>18</v>
      </c>
      <c r="E476">
        <v>122.79143793548386</v>
      </c>
      <c r="G476">
        <v>18</v>
      </c>
      <c r="H476">
        <v>104.01589939285716</v>
      </c>
      <c r="J476">
        <v>18</v>
      </c>
      <c r="K476">
        <v>77.39756351612904</v>
      </c>
      <c r="M476">
        <v>18</v>
      </c>
      <c r="N476">
        <v>70.033569033333336</v>
      </c>
      <c r="P476">
        <v>18</v>
      </c>
      <c r="Q476">
        <v>64.389550935483868</v>
      </c>
      <c r="S476">
        <v>18</v>
      </c>
      <c r="T476">
        <v>68.888432699999996</v>
      </c>
      <c r="V476">
        <v>18</v>
      </c>
      <c r="W476">
        <v>85.736257290322584</v>
      </c>
      <c r="Y476">
        <v>18</v>
      </c>
      <c r="Z476">
        <v>84.083725354838705</v>
      </c>
      <c r="AB476">
        <v>18</v>
      </c>
      <c r="AC476">
        <v>70.103813333333335</v>
      </c>
      <c r="AE476">
        <v>18</v>
      </c>
      <c r="AF476">
        <v>73.595501419354818</v>
      </c>
      <c r="AH476">
        <v>18</v>
      </c>
      <c r="AI476">
        <v>74.160462966666671</v>
      </c>
      <c r="AK476">
        <v>18</v>
      </c>
      <c r="AL476">
        <v>92.625182483870958</v>
      </c>
    </row>
    <row r="477" spans="1:38">
      <c r="A477">
        <v>19</v>
      </c>
      <c r="B477">
        <v>81.27160704383553</v>
      </c>
      <c r="D477">
        <v>19</v>
      </c>
      <c r="E477">
        <v>119.27923309677418</v>
      </c>
      <c r="G477">
        <v>19</v>
      </c>
      <c r="H477">
        <v>102.20501275000001</v>
      </c>
      <c r="J477">
        <v>19</v>
      </c>
      <c r="K477">
        <v>79.419498483870981</v>
      </c>
      <c r="M477">
        <v>19</v>
      </c>
      <c r="N477">
        <v>73.762786566666662</v>
      </c>
      <c r="P477">
        <v>19</v>
      </c>
      <c r="Q477">
        <v>63.64379412903228</v>
      </c>
      <c r="S477">
        <v>19</v>
      </c>
      <c r="T477">
        <v>67.366794366666667</v>
      </c>
      <c r="V477">
        <v>19</v>
      </c>
      <c r="W477">
        <v>82.88444067741932</v>
      </c>
      <c r="Y477">
        <v>19</v>
      </c>
      <c r="Z477">
        <v>81.005153612903229</v>
      </c>
      <c r="AB477">
        <v>19</v>
      </c>
      <c r="AC477">
        <v>72.217337133333331</v>
      </c>
      <c r="AE477">
        <v>19</v>
      </c>
      <c r="AF477">
        <v>74.853620806451588</v>
      </c>
      <c r="AH477">
        <v>19</v>
      </c>
      <c r="AI477">
        <v>72.331790266666673</v>
      </c>
      <c r="AK477">
        <v>19</v>
      </c>
      <c r="AL477">
        <v>87.044419322580666</v>
      </c>
    </row>
    <row r="478" spans="1:38">
      <c r="A478">
        <v>20</v>
      </c>
      <c r="B478">
        <v>79.500049602739637</v>
      </c>
      <c r="D478">
        <v>20</v>
      </c>
      <c r="E478">
        <v>110.94580667741937</v>
      </c>
      <c r="G478">
        <v>20</v>
      </c>
      <c r="H478">
        <v>99.666956535714277</v>
      </c>
      <c r="J478">
        <v>20</v>
      </c>
      <c r="K478">
        <v>77.185333419354819</v>
      </c>
      <c r="M478">
        <v>20</v>
      </c>
      <c r="N478">
        <v>77.486911533333355</v>
      </c>
      <c r="P478">
        <v>20</v>
      </c>
      <c r="Q478">
        <v>68.445283677419368</v>
      </c>
      <c r="S478">
        <v>20</v>
      </c>
      <c r="T478">
        <v>67.532810266666672</v>
      </c>
      <c r="V478">
        <v>20</v>
      </c>
      <c r="W478">
        <v>80.690050741935494</v>
      </c>
      <c r="Y478">
        <v>20</v>
      </c>
      <c r="Z478">
        <v>80.995051258064521</v>
      </c>
      <c r="AB478">
        <v>20</v>
      </c>
      <c r="AC478">
        <v>71.783539333333337</v>
      </c>
      <c r="AE478">
        <v>20</v>
      </c>
      <c r="AF478">
        <v>71.650551806451617</v>
      </c>
      <c r="AH478">
        <v>20</v>
      </c>
      <c r="AI478">
        <v>66.692106366666664</v>
      </c>
      <c r="AK478">
        <v>20</v>
      </c>
      <c r="AL478">
        <v>81.764770709677407</v>
      </c>
    </row>
    <row r="479" spans="1:38">
      <c r="A479">
        <v>21</v>
      </c>
      <c r="B479">
        <v>75.084802301369862</v>
      </c>
      <c r="D479">
        <v>21</v>
      </c>
      <c r="E479">
        <v>103.47144783870966</v>
      </c>
      <c r="G479">
        <v>21</v>
      </c>
      <c r="H479">
        <v>91.250804678571427</v>
      </c>
      <c r="J479">
        <v>21</v>
      </c>
      <c r="K479">
        <v>71.578425774193548</v>
      </c>
      <c r="M479">
        <v>21</v>
      </c>
      <c r="N479">
        <v>73.128823733333348</v>
      </c>
      <c r="P479">
        <v>21</v>
      </c>
      <c r="Q479">
        <v>69.365208451612901</v>
      </c>
      <c r="S479">
        <v>21</v>
      </c>
      <c r="T479">
        <v>68.375879966666673</v>
      </c>
      <c r="V479">
        <v>21</v>
      </c>
      <c r="W479">
        <v>78.723741967741915</v>
      </c>
      <c r="Y479">
        <v>21</v>
      </c>
      <c r="Z479">
        <v>78.280679225806438</v>
      </c>
      <c r="AB479">
        <v>21</v>
      </c>
      <c r="AC479">
        <v>66.611677799999995</v>
      </c>
      <c r="AE479">
        <v>21</v>
      </c>
      <c r="AF479">
        <v>65.903789516129024</v>
      </c>
      <c r="AH479">
        <v>21</v>
      </c>
      <c r="AI479">
        <v>59.703175833333333</v>
      </c>
      <c r="AK479">
        <v>21</v>
      </c>
      <c r="AL479">
        <v>75.139403645161295</v>
      </c>
    </row>
    <row r="480" spans="1:38">
      <c r="A480">
        <v>22</v>
      </c>
      <c r="B480">
        <v>69.913110791780795</v>
      </c>
      <c r="D480">
        <v>22</v>
      </c>
      <c r="E480">
        <v>99.044893870967741</v>
      </c>
      <c r="G480">
        <v>22</v>
      </c>
      <c r="H480">
        <v>88.357839928571394</v>
      </c>
      <c r="J480">
        <v>22</v>
      </c>
      <c r="K480">
        <v>66.807870483870971</v>
      </c>
      <c r="M480">
        <v>22</v>
      </c>
      <c r="N480">
        <v>64.554887633333337</v>
      </c>
      <c r="P480">
        <v>22</v>
      </c>
      <c r="Q480">
        <v>65.91013587096775</v>
      </c>
      <c r="S480">
        <v>22</v>
      </c>
      <c r="T480">
        <v>62.207235066666662</v>
      </c>
      <c r="V480">
        <v>22</v>
      </c>
      <c r="W480">
        <v>69.97545106451615</v>
      </c>
      <c r="Y480">
        <v>22</v>
      </c>
      <c r="Z480">
        <v>69.09697141935483</v>
      </c>
      <c r="AB480">
        <v>22</v>
      </c>
      <c r="AC480">
        <v>60.168184533333353</v>
      </c>
      <c r="AE480">
        <v>22</v>
      </c>
      <c r="AF480">
        <v>62.196409419354829</v>
      </c>
      <c r="AH480">
        <v>22</v>
      </c>
      <c r="AI480">
        <v>58.75719573333334</v>
      </c>
      <c r="AK480">
        <v>22</v>
      </c>
      <c r="AL480">
        <v>72.569585032258075</v>
      </c>
    </row>
    <row r="481" spans="1:38">
      <c r="A481">
        <v>23</v>
      </c>
      <c r="B481">
        <v>64.335856649315062</v>
      </c>
      <c r="D481">
        <v>23</v>
      </c>
      <c r="E481">
        <v>91.748790064516115</v>
      </c>
      <c r="G481">
        <v>23</v>
      </c>
      <c r="H481">
        <v>85.535889535714304</v>
      </c>
      <c r="J481">
        <v>23</v>
      </c>
      <c r="K481">
        <v>61.955163800000001</v>
      </c>
      <c r="M481">
        <v>23</v>
      </c>
      <c r="N481">
        <v>59.726053533333335</v>
      </c>
      <c r="P481">
        <v>23</v>
      </c>
      <c r="Q481">
        <v>60.194386000000002</v>
      </c>
      <c r="S481">
        <v>23</v>
      </c>
      <c r="T481">
        <v>56.295326833333327</v>
      </c>
      <c r="V481">
        <v>23</v>
      </c>
      <c r="W481">
        <v>60.914835064516126</v>
      </c>
      <c r="Y481">
        <v>23</v>
      </c>
      <c r="Z481">
        <v>60.416285064516117</v>
      </c>
      <c r="AB481">
        <v>23</v>
      </c>
      <c r="AC481">
        <v>53.945031966666654</v>
      </c>
      <c r="AE481">
        <v>23</v>
      </c>
      <c r="AF481">
        <v>56.091416387096771</v>
      </c>
      <c r="AH481">
        <v>23</v>
      </c>
      <c r="AI481">
        <v>57.110279903225802</v>
      </c>
      <c r="AK481">
        <v>23</v>
      </c>
      <c r="AL481">
        <v>69.328378032258058</v>
      </c>
    </row>
    <row r="482" spans="1:38">
      <c r="A482" t="s">
        <v>328</v>
      </c>
      <c r="B482">
        <v>69.906390354109575</v>
      </c>
      <c r="D482" t="s">
        <v>328</v>
      </c>
      <c r="E482">
        <v>100.22447579032257</v>
      </c>
      <c r="G482" t="s">
        <v>328</v>
      </c>
      <c r="H482">
        <v>88.127397163690475</v>
      </c>
      <c r="J482" t="s">
        <v>328</v>
      </c>
      <c r="K482">
        <v>67.263386158333347</v>
      </c>
      <c r="M482" t="s">
        <v>328</v>
      </c>
      <c r="N482">
        <v>65.257108699999989</v>
      </c>
      <c r="P482" t="s">
        <v>328</v>
      </c>
      <c r="Q482">
        <v>61.355027126344083</v>
      </c>
      <c r="S482" t="s">
        <v>328</v>
      </c>
      <c r="T482">
        <v>61.226244625</v>
      </c>
      <c r="V482" t="s">
        <v>328</v>
      </c>
      <c r="W482">
        <v>69.330658299731184</v>
      </c>
      <c r="Y482" t="s">
        <v>328</v>
      </c>
      <c r="Z482">
        <v>70.018203467741913</v>
      </c>
      <c r="AB482" t="s">
        <v>328</v>
      </c>
      <c r="AC482">
        <v>60.430371301388881</v>
      </c>
      <c r="AE482" t="s">
        <v>328</v>
      </c>
      <c r="AF482">
        <v>61.50367388037634</v>
      </c>
      <c r="AH482" t="s">
        <v>328</v>
      </c>
      <c r="AI482">
        <v>61.211538584856633</v>
      </c>
      <c r="AK482" t="s">
        <v>328</v>
      </c>
      <c r="AL482">
        <v>73.682295680107529</v>
      </c>
    </row>
    <row r="485" spans="1:38">
      <c r="A485" s="94">
        <v>2031</v>
      </c>
      <c r="B485" s="99" t="s">
        <v>325</v>
      </c>
      <c r="D485">
        <v>1</v>
      </c>
      <c r="E485" s="99" t="s">
        <v>316</v>
      </c>
      <c r="G485">
        <v>2</v>
      </c>
      <c r="H485" s="99" t="s">
        <v>316</v>
      </c>
      <c r="J485">
        <v>3</v>
      </c>
      <c r="K485" s="99" t="s">
        <v>316</v>
      </c>
      <c r="M485">
        <v>4</v>
      </c>
      <c r="N485" s="99" t="s">
        <v>316</v>
      </c>
      <c r="P485">
        <v>5</v>
      </c>
      <c r="Q485" s="99" t="s">
        <v>316</v>
      </c>
      <c r="S485">
        <v>6</v>
      </c>
      <c r="T485" s="99" t="s">
        <v>316</v>
      </c>
      <c r="V485">
        <v>7</v>
      </c>
      <c r="W485" s="99" t="s">
        <v>316</v>
      </c>
      <c r="Y485">
        <v>8</v>
      </c>
      <c r="Z485" s="99" t="s">
        <v>316</v>
      </c>
      <c r="AB485">
        <v>9</v>
      </c>
      <c r="AC485" s="99" t="s">
        <v>316</v>
      </c>
      <c r="AE485">
        <v>10</v>
      </c>
      <c r="AF485" s="99" t="s">
        <v>316</v>
      </c>
      <c r="AH485">
        <v>11</v>
      </c>
      <c r="AI485" s="99" t="s">
        <v>316</v>
      </c>
      <c r="AK485">
        <v>12</v>
      </c>
      <c r="AL485" s="99" t="s">
        <v>316</v>
      </c>
    </row>
    <row r="486" spans="1:38">
      <c r="A486" s="94" t="s">
        <v>308</v>
      </c>
      <c r="B486" s="58">
        <v>8760</v>
      </c>
      <c r="D486" s="94" t="s">
        <v>397</v>
      </c>
      <c r="E486" s="58">
        <v>744</v>
      </c>
      <c r="G486" s="94" t="s">
        <v>398</v>
      </c>
      <c r="H486" s="58">
        <v>672</v>
      </c>
      <c r="J486" s="94" t="s">
        <v>399</v>
      </c>
      <c r="K486" s="58">
        <v>743</v>
      </c>
      <c r="M486" s="94" t="s">
        <v>400</v>
      </c>
      <c r="N486" s="58">
        <v>720</v>
      </c>
      <c r="P486" s="94" t="s">
        <v>401</v>
      </c>
      <c r="Q486" s="58">
        <v>744</v>
      </c>
      <c r="S486" s="94" t="s">
        <v>402</v>
      </c>
      <c r="T486" s="58">
        <v>720</v>
      </c>
      <c r="V486" s="94" t="s">
        <v>403</v>
      </c>
      <c r="W486" s="58">
        <v>744</v>
      </c>
      <c r="Y486" s="94" t="s">
        <v>404</v>
      </c>
      <c r="Z486" s="58">
        <v>744</v>
      </c>
      <c r="AB486" s="94" t="s">
        <v>405</v>
      </c>
      <c r="AC486" s="58">
        <v>720</v>
      </c>
      <c r="AE486" s="94" t="s">
        <v>406</v>
      </c>
      <c r="AF486" s="58">
        <v>744</v>
      </c>
      <c r="AH486" s="94" t="s">
        <v>407</v>
      </c>
      <c r="AI486" s="58">
        <v>721</v>
      </c>
      <c r="AK486" s="94" t="s">
        <v>408</v>
      </c>
      <c r="AL486" s="58">
        <v>744</v>
      </c>
    </row>
    <row r="487" spans="1:38">
      <c r="A487" s="94" t="s">
        <v>326</v>
      </c>
      <c r="B487" s="58">
        <v>0</v>
      </c>
      <c r="D487" s="94" t="s">
        <v>326</v>
      </c>
      <c r="E487" s="58">
        <v>0</v>
      </c>
      <c r="G487" s="94" t="s">
        <v>326</v>
      </c>
      <c r="H487" s="58">
        <v>744</v>
      </c>
      <c r="J487" s="94" t="s">
        <v>326</v>
      </c>
      <c r="K487" s="58">
        <v>1416</v>
      </c>
      <c r="M487" s="94" t="s">
        <v>326</v>
      </c>
      <c r="N487" s="58">
        <v>2159</v>
      </c>
      <c r="P487" s="94" t="s">
        <v>326</v>
      </c>
      <c r="Q487" s="58">
        <v>2879</v>
      </c>
      <c r="S487" s="94" t="s">
        <v>326</v>
      </c>
      <c r="T487" s="58">
        <v>3623</v>
      </c>
      <c r="V487" s="94" t="s">
        <v>326</v>
      </c>
      <c r="W487" s="58">
        <v>4343</v>
      </c>
      <c r="Y487" s="94" t="s">
        <v>326</v>
      </c>
      <c r="Z487" s="58">
        <v>5087</v>
      </c>
      <c r="AB487" s="94" t="s">
        <v>326</v>
      </c>
      <c r="AC487" s="58">
        <v>5831</v>
      </c>
      <c r="AE487" s="94" t="s">
        <v>326</v>
      </c>
      <c r="AF487" s="58">
        <v>6551</v>
      </c>
      <c r="AH487" s="94" t="s">
        <v>326</v>
      </c>
      <c r="AI487" s="58">
        <v>7295</v>
      </c>
      <c r="AK487" s="94" t="s">
        <v>326</v>
      </c>
      <c r="AL487" s="58">
        <v>8016</v>
      </c>
    </row>
    <row r="488" spans="1:38">
      <c r="A488" s="94" t="s">
        <v>327</v>
      </c>
      <c r="B488" s="58">
        <v>8760</v>
      </c>
      <c r="D488" s="94" t="s">
        <v>327</v>
      </c>
      <c r="E488" s="58">
        <v>744</v>
      </c>
      <c r="G488" s="94" t="s">
        <v>327</v>
      </c>
      <c r="H488" s="58">
        <v>1416</v>
      </c>
      <c r="J488" s="94" t="s">
        <v>327</v>
      </c>
      <c r="K488" s="58">
        <v>2159</v>
      </c>
      <c r="M488" s="94" t="s">
        <v>327</v>
      </c>
      <c r="N488" s="58">
        <v>2879</v>
      </c>
      <c r="P488" s="94" t="s">
        <v>327</v>
      </c>
      <c r="Q488" s="58">
        <v>3623</v>
      </c>
      <c r="S488" s="94" t="s">
        <v>327</v>
      </c>
      <c r="T488" s="58">
        <v>4343</v>
      </c>
      <c r="V488" s="94" t="s">
        <v>327</v>
      </c>
      <c r="W488" s="58">
        <v>5087</v>
      </c>
      <c r="Y488" s="94" t="s">
        <v>327</v>
      </c>
      <c r="Z488" s="58">
        <v>5831</v>
      </c>
      <c r="AB488" s="94" t="s">
        <v>327</v>
      </c>
      <c r="AC488" s="58">
        <v>6551</v>
      </c>
      <c r="AE488" s="94" t="s">
        <v>327</v>
      </c>
      <c r="AF488" s="58">
        <v>7295</v>
      </c>
      <c r="AH488" s="94" t="s">
        <v>327</v>
      </c>
      <c r="AI488" s="58">
        <v>8016</v>
      </c>
      <c r="AK488" s="94" t="s">
        <v>327</v>
      </c>
      <c r="AL488" s="58">
        <v>8760</v>
      </c>
    </row>
    <row r="489" spans="1:38">
      <c r="A489" t="s">
        <v>293</v>
      </c>
      <c r="B489" s="16" t="s">
        <v>294</v>
      </c>
      <c r="D489" t="s">
        <v>293</v>
      </c>
      <c r="E489" s="16" t="s">
        <v>294</v>
      </c>
      <c r="G489" t="s">
        <v>293</v>
      </c>
      <c r="H489" s="16" t="s">
        <v>294</v>
      </c>
      <c r="J489" t="s">
        <v>293</v>
      </c>
      <c r="K489" s="16" t="s">
        <v>294</v>
      </c>
      <c r="M489" t="s">
        <v>293</v>
      </c>
      <c r="N489" s="16" t="s">
        <v>294</v>
      </c>
      <c r="P489" t="s">
        <v>293</v>
      </c>
      <c r="Q489" s="16" t="s">
        <v>294</v>
      </c>
      <c r="S489" t="s">
        <v>293</v>
      </c>
      <c r="T489" s="16" t="s">
        <v>294</v>
      </c>
      <c r="V489" t="s">
        <v>293</v>
      </c>
      <c r="W489" s="16" t="s">
        <v>294</v>
      </c>
      <c r="Y489" t="s">
        <v>293</v>
      </c>
      <c r="Z489" s="16" t="s">
        <v>294</v>
      </c>
      <c r="AB489" t="s">
        <v>293</v>
      </c>
      <c r="AC489" s="16" t="s">
        <v>294</v>
      </c>
      <c r="AE489" t="s">
        <v>293</v>
      </c>
      <c r="AF489" s="16" t="s">
        <v>294</v>
      </c>
      <c r="AH489" t="s">
        <v>293</v>
      </c>
      <c r="AI489" s="16" t="s">
        <v>294</v>
      </c>
      <c r="AK489" t="s">
        <v>293</v>
      </c>
      <c r="AL489" s="16" t="s">
        <v>294</v>
      </c>
    </row>
    <row r="490" spans="1:38">
      <c r="A490">
        <v>0</v>
      </c>
      <c r="B490">
        <v>62.558564117808267</v>
      </c>
      <c r="D490">
        <v>0</v>
      </c>
      <c r="E490">
        <v>90.669164096774182</v>
      </c>
      <c r="G490">
        <v>0</v>
      </c>
      <c r="H490">
        <v>81.754350678571441</v>
      </c>
      <c r="J490">
        <v>0</v>
      </c>
      <c r="K490">
        <v>59.348394322580639</v>
      </c>
      <c r="M490">
        <v>0</v>
      </c>
      <c r="N490">
        <v>56.890926866666675</v>
      </c>
      <c r="P490">
        <v>0</v>
      </c>
      <c r="Q490">
        <v>56.406914387096769</v>
      </c>
      <c r="S490">
        <v>0</v>
      </c>
      <c r="T490">
        <v>55.416861733333342</v>
      </c>
      <c r="V490">
        <v>0</v>
      </c>
      <c r="W490">
        <v>58.194881999999993</v>
      </c>
      <c r="Y490">
        <v>0</v>
      </c>
      <c r="Z490">
        <v>58.84830412903225</v>
      </c>
      <c r="AB490">
        <v>0</v>
      </c>
      <c r="AC490">
        <v>53.130938633333322</v>
      </c>
      <c r="AE490">
        <v>0</v>
      </c>
      <c r="AF490">
        <v>54.513367709677425</v>
      </c>
      <c r="AH490">
        <v>0</v>
      </c>
      <c r="AI490">
        <v>55.922250933333345</v>
      </c>
      <c r="AK490">
        <v>0</v>
      </c>
      <c r="AL490">
        <v>70.532674612903222</v>
      </c>
    </row>
    <row r="491" spans="1:38">
      <c r="A491">
        <v>1</v>
      </c>
      <c r="B491">
        <v>59.612510657534244</v>
      </c>
      <c r="D491">
        <v>1</v>
      </c>
      <c r="E491">
        <v>88.875647903225811</v>
      </c>
      <c r="G491">
        <v>1</v>
      </c>
      <c r="H491">
        <v>78.695624821428581</v>
      </c>
      <c r="J491">
        <v>1</v>
      </c>
      <c r="K491">
        <v>56.676046096774179</v>
      </c>
      <c r="M491">
        <v>1</v>
      </c>
      <c r="N491">
        <v>54.428310000000003</v>
      </c>
      <c r="P491">
        <v>1</v>
      </c>
      <c r="Q491">
        <v>53.152331032258068</v>
      </c>
      <c r="S491">
        <v>1</v>
      </c>
      <c r="T491">
        <v>52.570612966666651</v>
      </c>
      <c r="V491">
        <v>1</v>
      </c>
      <c r="W491">
        <v>54.890859419354825</v>
      </c>
      <c r="Y491">
        <v>1</v>
      </c>
      <c r="Z491">
        <v>55.326255774193541</v>
      </c>
      <c r="AB491">
        <v>1</v>
      </c>
      <c r="AC491">
        <v>49.962743766666669</v>
      </c>
      <c r="AE491">
        <v>1</v>
      </c>
      <c r="AF491">
        <v>51.070586677419357</v>
      </c>
      <c r="AH491">
        <v>1</v>
      </c>
      <c r="AI491">
        <v>52.282953033333328</v>
      </c>
      <c r="AK491">
        <v>1</v>
      </c>
      <c r="AL491">
        <v>68.322798967741946</v>
      </c>
    </row>
    <row r="492" spans="1:38">
      <c r="A492">
        <v>2</v>
      </c>
      <c r="B492">
        <v>58.065984994520562</v>
      </c>
      <c r="D492">
        <v>2</v>
      </c>
      <c r="E492">
        <v>87.745720903225802</v>
      </c>
      <c r="G492">
        <v>2</v>
      </c>
      <c r="H492">
        <v>77.777576428571408</v>
      </c>
      <c r="J492">
        <v>2</v>
      </c>
      <c r="K492">
        <v>55.669063322580641</v>
      </c>
      <c r="M492">
        <v>2</v>
      </c>
      <c r="N492">
        <v>53.284551999999998</v>
      </c>
      <c r="P492">
        <v>2</v>
      </c>
      <c r="Q492">
        <v>51.703062129032254</v>
      </c>
      <c r="S492">
        <v>2</v>
      </c>
      <c r="T492">
        <v>50.609299133333337</v>
      </c>
      <c r="V492">
        <v>2</v>
      </c>
      <c r="W492">
        <v>53.001645032258068</v>
      </c>
      <c r="Y492">
        <v>2</v>
      </c>
      <c r="Z492">
        <v>53.067671419354845</v>
      </c>
      <c r="AB492">
        <v>2</v>
      </c>
      <c r="AC492">
        <v>48.007425733333335</v>
      </c>
      <c r="AE492">
        <v>2</v>
      </c>
      <c r="AF492">
        <v>49.362725612903247</v>
      </c>
      <c r="AH492">
        <v>2</v>
      </c>
      <c r="AI492">
        <v>50.860118899999989</v>
      </c>
      <c r="AK492">
        <v>2</v>
      </c>
      <c r="AL492">
        <v>66.6588377096774</v>
      </c>
    </row>
    <row r="493" spans="1:38">
      <c r="A493">
        <v>3</v>
      </c>
      <c r="B493">
        <v>57.100963504109608</v>
      </c>
      <c r="D493">
        <v>3</v>
      </c>
      <c r="E493">
        <v>87.685377064516118</v>
      </c>
      <c r="G493">
        <v>3</v>
      </c>
      <c r="H493">
        <v>76.55341132142857</v>
      </c>
      <c r="J493">
        <v>3</v>
      </c>
      <c r="K493">
        <v>55.533412032258056</v>
      </c>
      <c r="M493">
        <v>3</v>
      </c>
      <c r="N493">
        <v>52.485188766666667</v>
      </c>
      <c r="P493">
        <v>3</v>
      </c>
      <c r="Q493">
        <v>50.997532838709681</v>
      </c>
      <c r="S493">
        <v>3</v>
      </c>
      <c r="T493">
        <v>49.436664433333334</v>
      </c>
      <c r="V493">
        <v>3</v>
      </c>
      <c r="W493">
        <v>51.450234709677417</v>
      </c>
      <c r="Y493">
        <v>3</v>
      </c>
      <c r="Z493">
        <v>51.265483387096765</v>
      </c>
      <c r="AB493">
        <v>3</v>
      </c>
      <c r="AC493">
        <v>46.374289800000007</v>
      </c>
      <c r="AE493">
        <v>3</v>
      </c>
      <c r="AF493">
        <v>47.824833225806444</v>
      </c>
      <c r="AH493">
        <v>3</v>
      </c>
      <c r="AI493">
        <v>50.398875566666675</v>
      </c>
      <c r="AK493">
        <v>3</v>
      </c>
      <c r="AL493">
        <v>66.130404322580631</v>
      </c>
    </row>
    <row r="494" spans="1:38">
      <c r="A494">
        <v>4</v>
      </c>
      <c r="B494">
        <v>57.75803836986298</v>
      </c>
      <c r="D494">
        <v>4</v>
      </c>
      <c r="E494">
        <v>89.43767503225807</v>
      </c>
      <c r="G494">
        <v>4</v>
      </c>
      <c r="H494">
        <v>78.442696892857143</v>
      </c>
      <c r="J494">
        <v>4</v>
      </c>
      <c r="K494">
        <v>56.265861419354827</v>
      </c>
      <c r="M494">
        <v>4</v>
      </c>
      <c r="N494">
        <v>52.9271496</v>
      </c>
      <c r="P494">
        <v>4</v>
      </c>
      <c r="Q494">
        <v>51.293004096774197</v>
      </c>
      <c r="S494">
        <v>4</v>
      </c>
      <c r="T494">
        <v>49.280549299999997</v>
      </c>
      <c r="V494">
        <v>4</v>
      </c>
      <c r="W494">
        <v>51.063741161290324</v>
      </c>
      <c r="Y494">
        <v>4</v>
      </c>
      <c r="Z494">
        <v>50.326048354838711</v>
      </c>
      <c r="AB494">
        <v>4</v>
      </c>
      <c r="AC494">
        <v>46.125743133333337</v>
      </c>
      <c r="AE494">
        <v>4</v>
      </c>
      <c r="AF494">
        <v>49.049517419354828</v>
      </c>
      <c r="AH494">
        <v>4</v>
      </c>
      <c r="AI494">
        <v>52.042055566666676</v>
      </c>
      <c r="AK494">
        <v>4</v>
      </c>
      <c r="AL494">
        <v>67.855235225806453</v>
      </c>
    </row>
    <row r="495" spans="1:38">
      <c r="A495">
        <v>5</v>
      </c>
      <c r="B495">
        <v>61.687337610958835</v>
      </c>
      <c r="D495">
        <v>5</v>
      </c>
      <c r="E495">
        <v>99.523665645161273</v>
      </c>
      <c r="G495">
        <v>5</v>
      </c>
      <c r="H495">
        <v>84.320119285714284</v>
      </c>
      <c r="J495">
        <v>5</v>
      </c>
      <c r="K495">
        <v>60.320664677419366</v>
      </c>
      <c r="M495">
        <v>5</v>
      </c>
      <c r="N495">
        <v>55.702340466666662</v>
      </c>
      <c r="P495">
        <v>5</v>
      </c>
      <c r="Q495">
        <v>54.997407387096764</v>
      </c>
      <c r="S495">
        <v>5</v>
      </c>
      <c r="T495">
        <v>50.011279599999995</v>
      </c>
      <c r="V495">
        <v>5</v>
      </c>
      <c r="W495">
        <v>52.240753612903227</v>
      </c>
      <c r="Y495">
        <v>5</v>
      </c>
      <c r="Z495">
        <v>51.722753129032249</v>
      </c>
      <c r="AB495">
        <v>5</v>
      </c>
      <c r="AC495">
        <v>49.185615599999998</v>
      </c>
      <c r="AE495">
        <v>5</v>
      </c>
      <c r="AF495">
        <v>54.330737064516128</v>
      </c>
      <c r="AH495">
        <v>5</v>
      </c>
      <c r="AI495">
        <v>56.848195799999999</v>
      </c>
      <c r="AK495">
        <v>5</v>
      </c>
      <c r="AL495">
        <v>72.105694096774201</v>
      </c>
    </row>
    <row r="496" spans="1:38">
      <c r="A496">
        <v>6</v>
      </c>
      <c r="B496">
        <v>67.432348679452048</v>
      </c>
      <c r="D496">
        <v>6</v>
      </c>
      <c r="E496">
        <v>115.42057332258068</v>
      </c>
      <c r="G496">
        <v>6</v>
      </c>
      <c r="H496">
        <v>91.608949107142863</v>
      </c>
      <c r="J496">
        <v>6</v>
      </c>
      <c r="K496">
        <v>65.708054000000018</v>
      </c>
      <c r="M496">
        <v>6</v>
      </c>
      <c r="N496">
        <v>60.896459399999983</v>
      </c>
      <c r="P496">
        <v>6</v>
      </c>
      <c r="Q496">
        <v>61.001423225806462</v>
      </c>
      <c r="S496">
        <v>6</v>
      </c>
      <c r="T496">
        <v>52.869768933333347</v>
      </c>
      <c r="V496">
        <v>6</v>
      </c>
      <c r="W496">
        <v>55.496557870967727</v>
      </c>
      <c r="Y496">
        <v>6</v>
      </c>
      <c r="Z496">
        <v>55.30595293548388</v>
      </c>
      <c r="AB496">
        <v>6</v>
      </c>
      <c r="AC496">
        <v>54.144801833333339</v>
      </c>
      <c r="AE496">
        <v>6</v>
      </c>
      <c r="AF496">
        <v>60.556637258064541</v>
      </c>
      <c r="AH496">
        <v>6</v>
      </c>
      <c r="AI496">
        <v>61.636976566666668</v>
      </c>
      <c r="AK496">
        <v>6</v>
      </c>
      <c r="AL496">
        <v>75.585526903225798</v>
      </c>
    </row>
    <row r="497" spans="1:38">
      <c r="A497">
        <v>7</v>
      </c>
      <c r="B497">
        <v>71.763419602739759</v>
      </c>
      <c r="D497">
        <v>7</v>
      </c>
      <c r="E497">
        <v>121.81636306451612</v>
      </c>
      <c r="G497">
        <v>7</v>
      </c>
      <c r="H497">
        <v>97.247467285714279</v>
      </c>
      <c r="J497">
        <v>7</v>
      </c>
      <c r="K497">
        <v>69.039420838709674</v>
      </c>
      <c r="M497">
        <v>7</v>
      </c>
      <c r="N497">
        <v>63.936875799999974</v>
      </c>
      <c r="P497">
        <v>7</v>
      </c>
      <c r="Q497">
        <v>64.618315225806441</v>
      </c>
      <c r="S497">
        <v>7</v>
      </c>
      <c r="T497">
        <v>55.293349200000009</v>
      </c>
      <c r="V497">
        <v>7</v>
      </c>
      <c r="W497">
        <v>60.425025580645155</v>
      </c>
      <c r="Y497">
        <v>7</v>
      </c>
      <c r="Z497">
        <v>60.969516258064523</v>
      </c>
      <c r="AB497">
        <v>7</v>
      </c>
      <c r="AC497">
        <v>58.582607466666666</v>
      </c>
      <c r="AE497">
        <v>7</v>
      </c>
      <c r="AF497">
        <v>66.31813822580645</v>
      </c>
      <c r="AH497">
        <v>7</v>
      </c>
      <c r="AI497">
        <v>65.274529833333332</v>
      </c>
      <c r="AK497">
        <v>7</v>
      </c>
      <c r="AL497">
        <v>78.687356354838712</v>
      </c>
    </row>
    <row r="498" spans="1:38">
      <c r="A498">
        <v>8</v>
      </c>
      <c r="B498">
        <v>73.56485992876712</v>
      </c>
      <c r="D498">
        <v>8</v>
      </c>
      <c r="E498">
        <v>117.86407867741936</v>
      </c>
      <c r="G498">
        <v>8</v>
      </c>
      <c r="H498">
        <v>99.203017142857121</v>
      </c>
      <c r="J498">
        <v>8</v>
      </c>
      <c r="K498">
        <v>70.760056387096782</v>
      </c>
      <c r="M498">
        <v>8</v>
      </c>
      <c r="N498">
        <v>67.599497933333353</v>
      </c>
      <c r="P498">
        <v>8</v>
      </c>
      <c r="Q498">
        <v>67.697372290322576</v>
      </c>
      <c r="S498">
        <v>8</v>
      </c>
      <c r="T498">
        <v>57.056446100000002</v>
      </c>
      <c r="V498">
        <v>8</v>
      </c>
      <c r="W498">
        <v>64.93902945161291</v>
      </c>
      <c r="Y498">
        <v>8</v>
      </c>
      <c r="Z498">
        <v>65.486912225806449</v>
      </c>
      <c r="AB498">
        <v>8</v>
      </c>
      <c r="AC498">
        <v>61.796275066666666</v>
      </c>
      <c r="AE498">
        <v>8</v>
      </c>
      <c r="AF498">
        <v>67.251162548387086</v>
      </c>
      <c r="AH498">
        <v>8</v>
      </c>
      <c r="AI498">
        <v>66.173553466666675</v>
      </c>
      <c r="AK498">
        <v>8</v>
      </c>
      <c r="AL498">
        <v>78.089008322580653</v>
      </c>
    </row>
    <row r="499" spans="1:38">
      <c r="A499">
        <v>9</v>
      </c>
      <c r="B499">
        <v>75.913387123287691</v>
      </c>
      <c r="D499">
        <v>9</v>
      </c>
      <c r="E499">
        <v>115.07212180645162</v>
      </c>
      <c r="G499">
        <v>9</v>
      </c>
      <c r="H499">
        <v>99.977402857142835</v>
      </c>
      <c r="J499">
        <v>9</v>
      </c>
      <c r="K499">
        <v>72.509930193548385</v>
      </c>
      <c r="M499">
        <v>9</v>
      </c>
      <c r="N499">
        <v>70.540546800000001</v>
      </c>
      <c r="P499">
        <v>9</v>
      </c>
      <c r="Q499">
        <v>70.270965225806449</v>
      </c>
      <c r="S499">
        <v>9</v>
      </c>
      <c r="T499">
        <v>60.309151900000003</v>
      </c>
      <c r="V499">
        <v>9</v>
      </c>
      <c r="W499">
        <v>70.465745258064501</v>
      </c>
      <c r="Y499">
        <v>9</v>
      </c>
      <c r="Z499">
        <v>71.520416967741937</v>
      </c>
      <c r="AB499">
        <v>9</v>
      </c>
      <c r="AC499">
        <v>66.55013156666665</v>
      </c>
      <c r="AE499">
        <v>9</v>
      </c>
      <c r="AF499">
        <v>70.369191612903236</v>
      </c>
      <c r="AH499">
        <v>9</v>
      </c>
      <c r="AI499">
        <v>66.554822466666664</v>
      </c>
      <c r="AK499">
        <v>9</v>
      </c>
      <c r="AL499">
        <v>77.868385000000018</v>
      </c>
    </row>
    <row r="500" spans="1:38">
      <c r="A500">
        <v>10</v>
      </c>
      <c r="B500">
        <v>77.483774147945212</v>
      </c>
      <c r="D500">
        <v>10</v>
      </c>
      <c r="E500">
        <v>114.81035048387096</v>
      </c>
      <c r="G500">
        <v>10</v>
      </c>
      <c r="H500">
        <v>98.284595500000009</v>
      </c>
      <c r="J500">
        <v>10</v>
      </c>
      <c r="K500">
        <v>72.660810741935506</v>
      </c>
      <c r="M500">
        <v>10</v>
      </c>
      <c r="N500">
        <v>72.640511966666665</v>
      </c>
      <c r="P500">
        <v>10</v>
      </c>
      <c r="Q500">
        <v>70.517443870967739</v>
      </c>
      <c r="S500">
        <v>10</v>
      </c>
      <c r="T500">
        <v>62.052758166666671</v>
      </c>
      <c r="V500">
        <v>10</v>
      </c>
      <c r="W500">
        <v>75.960391806451639</v>
      </c>
      <c r="Y500">
        <v>10</v>
      </c>
      <c r="Z500">
        <v>76.527174516129023</v>
      </c>
      <c r="AB500">
        <v>10</v>
      </c>
      <c r="AC500">
        <v>70.2662227</v>
      </c>
      <c r="AE500">
        <v>10</v>
      </c>
      <c r="AF500">
        <v>72.285204064516122</v>
      </c>
      <c r="AH500">
        <v>10</v>
      </c>
      <c r="AI500">
        <v>66.869457966666658</v>
      </c>
      <c r="AK500">
        <v>10</v>
      </c>
      <c r="AL500">
        <v>77.714120193548396</v>
      </c>
    </row>
    <row r="501" spans="1:38">
      <c r="A501">
        <v>11</v>
      </c>
      <c r="B501">
        <v>77.60165318630132</v>
      </c>
      <c r="D501">
        <v>11</v>
      </c>
      <c r="E501">
        <v>110.64303516129033</v>
      </c>
      <c r="G501">
        <v>11</v>
      </c>
      <c r="H501">
        <v>93.569638428571437</v>
      </c>
      <c r="J501">
        <v>11</v>
      </c>
      <c r="K501">
        <v>71.814857064516133</v>
      </c>
      <c r="M501">
        <v>11</v>
      </c>
      <c r="N501">
        <v>72.941793099999998</v>
      </c>
      <c r="P501">
        <v>11</v>
      </c>
      <c r="Q501">
        <v>69.751923870967744</v>
      </c>
      <c r="S501">
        <v>11</v>
      </c>
      <c r="T501">
        <v>64.260443233333319</v>
      </c>
      <c r="V501">
        <v>11</v>
      </c>
      <c r="W501">
        <v>80.771989161290307</v>
      </c>
      <c r="Y501">
        <v>11</v>
      </c>
      <c r="Z501">
        <v>80.29422125806451</v>
      </c>
      <c r="AB501">
        <v>11</v>
      </c>
      <c r="AC501">
        <v>71.981757733333325</v>
      </c>
      <c r="AE501">
        <v>11</v>
      </c>
      <c r="AF501">
        <v>71.962754354838694</v>
      </c>
      <c r="AH501">
        <v>11</v>
      </c>
      <c r="AI501">
        <v>67.132764566666665</v>
      </c>
      <c r="AK501">
        <v>11</v>
      </c>
      <c r="AL501">
        <v>76.540276483870983</v>
      </c>
    </row>
    <row r="502" spans="1:38">
      <c r="A502">
        <v>12</v>
      </c>
      <c r="B502">
        <v>76.799336534246521</v>
      </c>
      <c r="D502">
        <v>12</v>
      </c>
      <c r="E502">
        <v>105.56966919354836</v>
      </c>
      <c r="G502">
        <v>12</v>
      </c>
      <c r="H502">
        <v>90.051764571428606</v>
      </c>
      <c r="J502">
        <v>12</v>
      </c>
      <c r="K502">
        <v>69.311042193548374</v>
      </c>
      <c r="M502">
        <v>12</v>
      </c>
      <c r="N502">
        <v>72.369017600000006</v>
      </c>
      <c r="P502">
        <v>12</v>
      </c>
      <c r="Q502">
        <v>68.539563032258073</v>
      </c>
      <c r="S502">
        <v>12</v>
      </c>
      <c r="T502">
        <v>65.086711433333306</v>
      </c>
      <c r="V502">
        <v>12</v>
      </c>
      <c r="W502">
        <v>84.200859806451618</v>
      </c>
      <c r="Y502">
        <v>12</v>
      </c>
      <c r="Z502">
        <v>81.59140329032256</v>
      </c>
      <c r="AB502">
        <v>12</v>
      </c>
      <c r="AC502">
        <v>73.051813633333325</v>
      </c>
      <c r="AE502">
        <v>12</v>
      </c>
      <c r="AF502">
        <v>71.201122645161291</v>
      </c>
      <c r="AH502">
        <v>12</v>
      </c>
      <c r="AI502">
        <v>65.815763000000004</v>
      </c>
      <c r="AK502">
        <v>12</v>
      </c>
      <c r="AL502">
        <v>75.089864258064509</v>
      </c>
    </row>
    <row r="503" spans="1:38">
      <c r="A503">
        <v>13</v>
      </c>
      <c r="B503">
        <v>76.480905342465775</v>
      </c>
      <c r="D503">
        <v>13</v>
      </c>
      <c r="E503">
        <v>102.35012670967745</v>
      </c>
      <c r="G503">
        <v>13</v>
      </c>
      <c r="H503">
        <v>87.351418607142861</v>
      </c>
      <c r="J503">
        <v>13</v>
      </c>
      <c r="K503">
        <v>68.240841129032262</v>
      </c>
      <c r="M503">
        <v>13</v>
      </c>
      <c r="N503">
        <v>71.374868566666663</v>
      </c>
      <c r="P503">
        <v>13</v>
      </c>
      <c r="Q503">
        <v>69.059790161290337</v>
      </c>
      <c r="S503">
        <v>13</v>
      </c>
      <c r="T503">
        <v>66.540503033333337</v>
      </c>
      <c r="V503">
        <v>13</v>
      </c>
      <c r="W503">
        <v>85.157974258064513</v>
      </c>
      <c r="Y503">
        <v>13</v>
      </c>
      <c r="Z503">
        <v>84.639993419354838</v>
      </c>
      <c r="AB503">
        <v>13</v>
      </c>
      <c r="AC503">
        <v>73.703465199999997</v>
      </c>
      <c r="AE503">
        <v>13</v>
      </c>
      <c r="AF503">
        <v>70.670062709677424</v>
      </c>
      <c r="AH503">
        <v>13</v>
      </c>
      <c r="AI503">
        <v>64.612424499999989</v>
      </c>
      <c r="AK503">
        <v>13</v>
      </c>
      <c r="AL503">
        <v>74.163562903225809</v>
      </c>
    </row>
    <row r="504" spans="1:38">
      <c r="A504">
        <v>14</v>
      </c>
      <c r="B504">
        <v>75.586033136986259</v>
      </c>
      <c r="D504">
        <v>14</v>
      </c>
      <c r="E504">
        <v>99.711884903225808</v>
      </c>
      <c r="G504">
        <v>14</v>
      </c>
      <c r="H504">
        <v>85.287394107142873</v>
      </c>
      <c r="J504">
        <v>14</v>
      </c>
      <c r="K504">
        <v>66.151749193548383</v>
      </c>
      <c r="M504">
        <v>14</v>
      </c>
      <c r="N504">
        <v>69.88856283333331</v>
      </c>
      <c r="P504">
        <v>14</v>
      </c>
      <c r="Q504">
        <v>67.304183161290311</v>
      </c>
      <c r="S504">
        <v>14</v>
      </c>
      <c r="T504">
        <v>66.386943766666661</v>
      </c>
      <c r="V504">
        <v>14</v>
      </c>
      <c r="W504">
        <v>86.158937967741963</v>
      </c>
      <c r="Y504">
        <v>14</v>
      </c>
      <c r="Z504">
        <v>85.617705032258101</v>
      </c>
      <c r="AB504">
        <v>14</v>
      </c>
      <c r="AC504">
        <v>73.77201203333334</v>
      </c>
      <c r="AE504">
        <v>14</v>
      </c>
      <c r="AF504">
        <v>69.701367612903212</v>
      </c>
      <c r="AH504">
        <v>14</v>
      </c>
      <c r="AI504">
        <v>63.724388966666652</v>
      </c>
      <c r="AK504">
        <v>14</v>
      </c>
      <c r="AL504">
        <v>73.344424774193556</v>
      </c>
    </row>
    <row r="505" spans="1:38">
      <c r="A505">
        <v>15</v>
      </c>
      <c r="B505">
        <v>75.473664528767145</v>
      </c>
      <c r="D505">
        <v>15</v>
      </c>
      <c r="E505">
        <v>102.14543983870968</v>
      </c>
      <c r="G505">
        <v>15</v>
      </c>
      <c r="H505">
        <v>84.986941428571413</v>
      </c>
      <c r="J505">
        <v>15</v>
      </c>
      <c r="K505">
        <v>65.252343451612916</v>
      </c>
      <c r="M505">
        <v>15</v>
      </c>
      <c r="N505">
        <v>68.290234833333344</v>
      </c>
      <c r="P505">
        <v>15</v>
      </c>
      <c r="Q505">
        <v>65.304880451612917</v>
      </c>
      <c r="S505">
        <v>15</v>
      </c>
      <c r="T505">
        <v>66.758840966666668</v>
      </c>
      <c r="V505">
        <v>15</v>
      </c>
      <c r="W505">
        <v>87.540024387096793</v>
      </c>
      <c r="Y505">
        <v>15</v>
      </c>
      <c r="Z505">
        <v>86.0087786129032</v>
      </c>
      <c r="AB505">
        <v>15</v>
      </c>
      <c r="AC505">
        <v>73.074466300000012</v>
      </c>
      <c r="AE505">
        <v>15</v>
      </c>
      <c r="AF505">
        <v>69.283122225806466</v>
      </c>
      <c r="AH505">
        <v>15</v>
      </c>
      <c r="AI505">
        <v>62.697835733333328</v>
      </c>
      <c r="AK505">
        <v>15</v>
      </c>
      <c r="AL505">
        <v>74.259341935483874</v>
      </c>
    </row>
    <row r="506" spans="1:38">
      <c r="A506">
        <v>16</v>
      </c>
      <c r="B506">
        <v>78.324446920547871</v>
      </c>
      <c r="D506">
        <v>16</v>
      </c>
      <c r="E506">
        <v>108.51495112903223</v>
      </c>
      <c r="G506">
        <v>16</v>
      </c>
      <c r="H506">
        <v>89.698610464285721</v>
      </c>
      <c r="J506">
        <v>16</v>
      </c>
      <c r="K506">
        <v>66.204671322580637</v>
      </c>
      <c r="M506">
        <v>16</v>
      </c>
      <c r="N506">
        <v>68.993084600000003</v>
      </c>
      <c r="P506">
        <v>16</v>
      </c>
      <c r="Q506">
        <v>66.137293645161307</v>
      </c>
      <c r="S506">
        <v>16</v>
      </c>
      <c r="T506">
        <v>66.894832233333318</v>
      </c>
      <c r="V506">
        <v>16</v>
      </c>
      <c r="W506">
        <v>89.899178838709673</v>
      </c>
      <c r="Y506">
        <v>16</v>
      </c>
      <c r="Z506">
        <v>88.532122645161309</v>
      </c>
      <c r="AB506">
        <v>16</v>
      </c>
      <c r="AC506">
        <v>75.593955666666659</v>
      </c>
      <c r="AE506">
        <v>16</v>
      </c>
      <c r="AF506">
        <v>70.332741677419378</v>
      </c>
      <c r="AH506">
        <v>16</v>
      </c>
      <c r="AI506">
        <v>68.509784500000009</v>
      </c>
      <c r="AK506">
        <v>16</v>
      </c>
      <c r="AL506">
        <v>80.608470516129003</v>
      </c>
    </row>
    <row r="507" spans="1:38">
      <c r="A507">
        <v>17</v>
      </c>
      <c r="B507">
        <v>83.424701304109604</v>
      </c>
      <c r="D507">
        <v>17</v>
      </c>
      <c r="E507">
        <v>127.45674819354839</v>
      </c>
      <c r="G507">
        <v>17</v>
      </c>
      <c r="H507">
        <v>96.308021821428596</v>
      </c>
      <c r="J507">
        <v>17</v>
      </c>
      <c r="K507">
        <v>70.578405129032248</v>
      </c>
      <c r="M507">
        <v>17</v>
      </c>
      <c r="N507">
        <v>70.695614533333327</v>
      </c>
      <c r="P507">
        <v>17</v>
      </c>
      <c r="Q507">
        <v>67.443751290322595</v>
      </c>
      <c r="S507">
        <v>17</v>
      </c>
      <c r="T507">
        <v>69.565561199999991</v>
      </c>
      <c r="V507">
        <v>17</v>
      </c>
      <c r="W507">
        <v>89.862325322580631</v>
      </c>
      <c r="Y507">
        <v>17</v>
      </c>
      <c r="Z507">
        <v>87.766015999999993</v>
      </c>
      <c r="AB507">
        <v>17</v>
      </c>
      <c r="AC507">
        <v>74.995196866666689</v>
      </c>
      <c r="AE507">
        <v>17</v>
      </c>
      <c r="AF507">
        <v>73.103808935483855</v>
      </c>
      <c r="AH507">
        <v>17</v>
      </c>
      <c r="AI507">
        <v>76.635840866666669</v>
      </c>
      <c r="AK507">
        <v>17</v>
      </c>
      <c r="AL507">
        <v>96.583298709677408</v>
      </c>
    </row>
    <row r="508" spans="1:38">
      <c r="A508">
        <v>18</v>
      </c>
      <c r="B508">
        <v>84.921813865753464</v>
      </c>
      <c r="D508">
        <v>18</v>
      </c>
      <c r="E508">
        <v>132.90440941935483</v>
      </c>
      <c r="G508">
        <v>18</v>
      </c>
      <c r="H508">
        <v>105.77789775000004</v>
      </c>
      <c r="J508">
        <v>18</v>
      </c>
      <c r="K508">
        <v>78.76729196774194</v>
      </c>
      <c r="M508">
        <v>18</v>
      </c>
      <c r="N508">
        <v>71.495169766666649</v>
      </c>
      <c r="P508">
        <v>18</v>
      </c>
      <c r="Q508">
        <v>66.436602580645157</v>
      </c>
      <c r="S508">
        <v>18</v>
      </c>
      <c r="T508">
        <v>66.431421400000019</v>
      </c>
      <c r="V508">
        <v>18</v>
      </c>
      <c r="W508">
        <v>87.164890935483896</v>
      </c>
      <c r="Y508">
        <v>18</v>
      </c>
      <c r="Z508">
        <v>85.456275193548379</v>
      </c>
      <c r="AB508">
        <v>18</v>
      </c>
      <c r="AC508">
        <v>73.910324266666677</v>
      </c>
      <c r="AE508">
        <v>18</v>
      </c>
      <c r="AF508">
        <v>78.369929258064531</v>
      </c>
      <c r="AH508">
        <v>18</v>
      </c>
      <c r="AI508">
        <v>76.701971700000016</v>
      </c>
      <c r="AK508">
        <v>18</v>
      </c>
      <c r="AL508">
        <v>96.013965483870976</v>
      </c>
    </row>
    <row r="509" spans="1:38">
      <c r="A509">
        <v>19</v>
      </c>
      <c r="B509">
        <v>83.995258898630098</v>
      </c>
      <c r="D509">
        <v>19</v>
      </c>
      <c r="E509">
        <v>126.32142270967741</v>
      </c>
      <c r="G509">
        <v>19</v>
      </c>
      <c r="H509">
        <v>104.90640992857142</v>
      </c>
      <c r="J509">
        <v>19</v>
      </c>
      <c r="K509">
        <v>80.435715677419367</v>
      </c>
      <c r="M509">
        <v>19</v>
      </c>
      <c r="N509">
        <v>76.275974166666643</v>
      </c>
      <c r="P509">
        <v>19</v>
      </c>
      <c r="Q509">
        <v>67.202690870967743</v>
      </c>
      <c r="S509">
        <v>19</v>
      </c>
      <c r="T509">
        <v>64.792941066666671</v>
      </c>
      <c r="V509">
        <v>19</v>
      </c>
      <c r="W509">
        <v>83.922214838709692</v>
      </c>
      <c r="Y509">
        <v>19</v>
      </c>
      <c r="Z509">
        <v>82.270418741935458</v>
      </c>
      <c r="AB509">
        <v>19</v>
      </c>
      <c r="AC509">
        <v>75.375967966666664</v>
      </c>
      <c r="AE509">
        <v>19</v>
      </c>
      <c r="AF509">
        <v>80.156891354838692</v>
      </c>
      <c r="AH509">
        <v>19</v>
      </c>
      <c r="AI509">
        <v>74.98224913333334</v>
      </c>
      <c r="AK509">
        <v>19</v>
      </c>
      <c r="AL509">
        <v>91.88664741935483</v>
      </c>
    </row>
    <row r="510" spans="1:38">
      <c r="A510">
        <v>20</v>
      </c>
      <c r="B510">
        <v>81.830167498630161</v>
      </c>
      <c r="D510">
        <v>20</v>
      </c>
      <c r="E510">
        <v>117.61839170967743</v>
      </c>
      <c r="G510">
        <v>20</v>
      </c>
      <c r="H510">
        <v>100.81927596428571</v>
      </c>
      <c r="J510">
        <v>20</v>
      </c>
      <c r="K510">
        <v>77.519067516129041</v>
      </c>
      <c r="M510">
        <v>20</v>
      </c>
      <c r="N510">
        <v>76.354827533333335</v>
      </c>
      <c r="P510">
        <v>20</v>
      </c>
      <c r="Q510">
        <v>71.037938032258069</v>
      </c>
      <c r="S510">
        <v>20</v>
      </c>
      <c r="T510">
        <v>66.107646966666664</v>
      </c>
      <c r="V510">
        <v>20</v>
      </c>
      <c r="W510">
        <v>82.553380870967757</v>
      </c>
      <c r="Y510">
        <v>20</v>
      </c>
      <c r="Z510">
        <v>82.869028225806446</v>
      </c>
      <c r="AB510">
        <v>20</v>
      </c>
      <c r="AC510">
        <v>75.441763533333329</v>
      </c>
      <c r="AE510">
        <v>20</v>
      </c>
      <c r="AF510">
        <v>77.856715548387086</v>
      </c>
      <c r="AH510">
        <v>20</v>
      </c>
      <c r="AI510">
        <v>68.314421133333326</v>
      </c>
      <c r="AK510">
        <v>20</v>
      </c>
      <c r="AL510">
        <v>85.981337290322585</v>
      </c>
    </row>
    <row r="511" spans="1:38">
      <c r="A511">
        <v>21</v>
      </c>
      <c r="B511">
        <v>77.139373413698593</v>
      </c>
      <c r="D511">
        <v>21</v>
      </c>
      <c r="E511">
        <v>108.1572779032258</v>
      </c>
      <c r="G511">
        <v>21</v>
      </c>
      <c r="H511">
        <v>94.136572428571441</v>
      </c>
      <c r="J511">
        <v>21</v>
      </c>
      <c r="K511">
        <v>70.80891258064517</v>
      </c>
      <c r="M511">
        <v>21</v>
      </c>
      <c r="N511">
        <v>70.934004966666663</v>
      </c>
      <c r="P511">
        <v>21</v>
      </c>
      <c r="Q511">
        <v>72.289491709677421</v>
      </c>
      <c r="S511">
        <v>21</v>
      </c>
      <c r="T511">
        <v>67.591331833333328</v>
      </c>
      <c r="V511">
        <v>21</v>
      </c>
      <c r="W511">
        <v>81.21333338709681</v>
      </c>
      <c r="Y511">
        <v>21</v>
      </c>
      <c r="Z511">
        <v>78.773047354838724</v>
      </c>
      <c r="AB511">
        <v>21</v>
      </c>
      <c r="AC511">
        <v>70.067171566666673</v>
      </c>
      <c r="AE511">
        <v>21</v>
      </c>
      <c r="AF511">
        <v>72.329379741935497</v>
      </c>
      <c r="AH511">
        <v>21</v>
      </c>
      <c r="AI511">
        <v>62.034608933333338</v>
      </c>
      <c r="AK511">
        <v>21</v>
      </c>
      <c r="AL511">
        <v>77.758678258064563</v>
      </c>
    </row>
    <row r="512" spans="1:38">
      <c r="A512">
        <v>22</v>
      </c>
      <c r="B512">
        <v>72.187594950684911</v>
      </c>
      <c r="D512">
        <v>22</v>
      </c>
      <c r="E512">
        <v>107.82144661290323</v>
      </c>
      <c r="G512">
        <v>22</v>
      </c>
      <c r="H512">
        <v>88.522750035714267</v>
      </c>
      <c r="J512">
        <v>22</v>
      </c>
      <c r="K512">
        <v>65.899537870967748</v>
      </c>
      <c r="M512">
        <v>22</v>
      </c>
      <c r="N512">
        <v>64.785431333333335</v>
      </c>
      <c r="P512">
        <v>22</v>
      </c>
      <c r="Q512">
        <v>69.474595419354841</v>
      </c>
      <c r="S512">
        <v>22</v>
      </c>
      <c r="T512">
        <v>64.232102366666652</v>
      </c>
      <c r="V512">
        <v>22</v>
      </c>
      <c r="W512">
        <v>71.168755322580665</v>
      </c>
      <c r="Y512">
        <v>22</v>
      </c>
      <c r="Z512">
        <v>70.279758419354849</v>
      </c>
      <c r="AB512">
        <v>22</v>
      </c>
      <c r="AC512">
        <v>63.467957133333321</v>
      </c>
      <c r="AE512">
        <v>22</v>
      </c>
      <c r="AF512">
        <v>66.491276741935479</v>
      </c>
      <c r="AH512">
        <v>22</v>
      </c>
      <c r="AI512">
        <v>60.558080733333327</v>
      </c>
      <c r="AK512">
        <v>22</v>
      </c>
      <c r="AL512">
        <v>73.978436354838706</v>
      </c>
    </row>
    <row r="513" spans="1:38">
      <c r="A513">
        <v>23</v>
      </c>
      <c r="B513">
        <v>66.682321997260274</v>
      </c>
      <c r="D513">
        <v>23</v>
      </c>
      <c r="E513">
        <v>100.29658916129034</v>
      </c>
      <c r="G513">
        <v>23</v>
      </c>
      <c r="H513">
        <v>84.78923196428569</v>
      </c>
      <c r="J513">
        <v>23</v>
      </c>
      <c r="K513">
        <v>61.8902292</v>
      </c>
      <c r="M513">
        <v>23</v>
      </c>
      <c r="N513">
        <v>60.440525666666673</v>
      </c>
      <c r="P513">
        <v>23</v>
      </c>
      <c r="Q513">
        <v>62.692677870967749</v>
      </c>
      <c r="S513">
        <v>23</v>
      </c>
      <c r="T513">
        <v>59.058347800000007</v>
      </c>
      <c r="V513">
        <v>23</v>
      </c>
      <c r="W513">
        <v>62.982834096774191</v>
      </c>
      <c r="Y513">
        <v>23</v>
      </c>
      <c r="Z513">
        <v>62.527231645161287</v>
      </c>
      <c r="AB513">
        <v>23</v>
      </c>
      <c r="AC513">
        <v>55.462649766666665</v>
      </c>
      <c r="AE513">
        <v>23</v>
      </c>
      <c r="AF513">
        <v>59.818681387096788</v>
      </c>
      <c r="AH513">
        <v>23</v>
      </c>
      <c r="AI513">
        <v>58.446592419354843</v>
      </c>
      <c r="AK513">
        <v>23</v>
      </c>
      <c r="AL513">
        <v>72.570763129032258</v>
      </c>
    </row>
    <row r="514" spans="1:38">
      <c r="A514" t="s">
        <v>328</v>
      </c>
      <c r="B514">
        <v>72.224519179794513</v>
      </c>
      <c r="D514" t="s">
        <v>328</v>
      </c>
      <c r="E514">
        <v>107.43467211021506</v>
      </c>
      <c r="G514" t="s">
        <v>328</v>
      </c>
      <c r="H514">
        <v>90.419630784226186</v>
      </c>
      <c r="J514" t="s">
        <v>328</v>
      </c>
      <c r="K514">
        <v>66.973599097043035</v>
      </c>
      <c r="M514" t="s">
        <v>328</v>
      </c>
      <c r="N514">
        <v>65.673811212499984</v>
      </c>
      <c r="P514" t="s">
        <v>328</v>
      </c>
      <c r="Q514">
        <v>63.972131408602145</v>
      </c>
      <c r="S514" t="s">
        <v>328</v>
      </c>
      <c r="T514">
        <v>60.358932031944441</v>
      </c>
      <c r="V514" t="s">
        <v>328</v>
      </c>
      <c r="W514">
        <v>71.696898545698943</v>
      </c>
      <c r="Y514" t="s">
        <v>328</v>
      </c>
      <c r="Z514">
        <v>71.124687038978493</v>
      </c>
      <c r="AB514" t="s">
        <v>328</v>
      </c>
      <c r="AC514">
        <v>63.917720706944458</v>
      </c>
      <c r="AE514" t="s">
        <v>328</v>
      </c>
      <c r="AF514">
        <v>65.59208148387097</v>
      </c>
      <c r="AH514" t="s">
        <v>328</v>
      </c>
      <c r="AI514">
        <v>63.126271511917572</v>
      </c>
      <c r="AK514" t="s">
        <v>328</v>
      </c>
      <c r="AL514">
        <v>77.013712884408605</v>
      </c>
    </row>
    <row r="517" spans="1:38">
      <c r="A517" s="94">
        <v>2032</v>
      </c>
      <c r="B517" s="99" t="s">
        <v>325</v>
      </c>
      <c r="D517">
        <v>1</v>
      </c>
      <c r="E517" s="99" t="s">
        <v>316</v>
      </c>
      <c r="G517">
        <v>2</v>
      </c>
      <c r="H517" s="99" t="s">
        <v>316</v>
      </c>
      <c r="J517">
        <v>3</v>
      </c>
      <c r="K517" s="99" t="s">
        <v>316</v>
      </c>
      <c r="M517">
        <v>4</v>
      </c>
      <c r="N517" s="99" t="s">
        <v>316</v>
      </c>
      <c r="P517">
        <v>5</v>
      </c>
      <c r="Q517" s="99" t="s">
        <v>316</v>
      </c>
      <c r="S517">
        <v>6</v>
      </c>
      <c r="T517" s="99" t="s">
        <v>316</v>
      </c>
      <c r="V517">
        <v>7</v>
      </c>
      <c r="W517" s="99" t="s">
        <v>316</v>
      </c>
      <c r="Y517">
        <v>8</v>
      </c>
      <c r="Z517" s="99" t="s">
        <v>316</v>
      </c>
      <c r="AB517">
        <v>9</v>
      </c>
      <c r="AC517" s="99" t="s">
        <v>316</v>
      </c>
      <c r="AE517">
        <v>10</v>
      </c>
      <c r="AF517" s="99" t="s">
        <v>316</v>
      </c>
      <c r="AH517">
        <v>11</v>
      </c>
      <c r="AI517" s="99" t="s">
        <v>316</v>
      </c>
      <c r="AK517">
        <v>12</v>
      </c>
      <c r="AL517" s="99" t="s">
        <v>316</v>
      </c>
    </row>
    <row r="518" spans="1:38">
      <c r="A518" s="94" t="s">
        <v>308</v>
      </c>
      <c r="B518" s="58">
        <v>8784</v>
      </c>
      <c r="D518" s="94" t="s">
        <v>397</v>
      </c>
      <c r="E518" s="58">
        <v>744</v>
      </c>
      <c r="G518" s="94" t="s">
        <v>398</v>
      </c>
      <c r="H518" s="58">
        <v>696</v>
      </c>
      <c r="J518" s="94" t="s">
        <v>399</v>
      </c>
      <c r="K518" s="58">
        <v>743</v>
      </c>
      <c r="M518" s="94" t="s">
        <v>400</v>
      </c>
      <c r="N518" s="58">
        <v>720</v>
      </c>
      <c r="P518" s="94" t="s">
        <v>401</v>
      </c>
      <c r="Q518" s="58">
        <v>744</v>
      </c>
      <c r="S518" s="94" t="s">
        <v>402</v>
      </c>
      <c r="T518" s="58">
        <v>720</v>
      </c>
      <c r="V518" s="94" t="s">
        <v>403</v>
      </c>
      <c r="W518" s="58">
        <v>744</v>
      </c>
      <c r="Y518" s="94" t="s">
        <v>404</v>
      </c>
      <c r="Z518" s="58">
        <v>744</v>
      </c>
      <c r="AB518" s="94" t="s">
        <v>405</v>
      </c>
      <c r="AC518" s="58">
        <v>720</v>
      </c>
      <c r="AE518" s="94" t="s">
        <v>406</v>
      </c>
      <c r="AF518" s="58">
        <v>744</v>
      </c>
      <c r="AH518" s="94" t="s">
        <v>407</v>
      </c>
      <c r="AI518" s="58">
        <v>721</v>
      </c>
      <c r="AK518" s="94" t="s">
        <v>408</v>
      </c>
      <c r="AL518" s="58">
        <v>744</v>
      </c>
    </row>
    <row r="519" spans="1:38">
      <c r="A519" s="94" t="s">
        <v>326</v>
      </c>
      <c r="B519" s="58">
        <v>0</v>
      </c>
      <c r="D519" s="94" t="s">
        <v>326</v>
      </c>
      <c r="E519" s="58">
        <v>0</v>
      </c>
      <c r="G519" s="94" t="s">
        <v>326</v>
      </c>
      <c r="H519" s="58">
        <v>744</v>
      </c>
      <c r="J519" s="94" t="s">
        <v>326</v>
      </c>
      <c r="K519" s="58">
        <v>1440</v>
      </c>
      <c r="M519" s="94" t="s">
        <v>326</v>
      </c>
      <c r="N519" s="58">
        <v>2183</v>
      </c>
      <c r="P519" s="94" t="s">
        <v>326</v>
      </c>
      <c r="Q519" s="58">
        <v>2903</v>
      </c>
      <c r="S519" s="94" t="s">
        <v>326</v>
      </c>
      <c r="T519" s="58">
        <v>3647</v>
      </c>
      <c r="V519" s="94" t="s">
        <v>326</v>
      </c>
      <c r="W519" s="58">
        <v>4367</v>
      </c>
      <c r="Y519" s="94" t="s">
        <v>326</v>
      </c>
      <c r="Z519" s="58">
        <v>5111</v>
      </c>
      <c r="AB519" s="94" t="s">
        <v>326</v>
      </c>
      <c r="AC519" s="58">
        <v>5855</v>
      </c>
      <c r="AE519" s="94" t="s">
        <v>326</v>
      </c>
      <c r="AF519" s="58">
        <v>6575</v>
      </c>
      <c r="AH519" s="94" t="s">
        <v>326</v>
      </c>
      <c r="AI519" s="58">
        <v>7319</v>
      </c>
      <c r="AK519" s="94" t="s">
        <v>326</v>
      </c>
      <c r="AL519" s="58">
        <v>8040</v>
      </c>
    </row>
    <row r="520" spans="1:38">
      <c r="A520" s="94" t="s">
        <v>327</v>
      </c>
      <c r="B520" s="58">
        <v>8784</v>
      </c>
      <c r="D520" s="94" t="s">
        <v>327</v>
      </c>
      <c r="E520" s="58">
        <v>744</v>
      </c>
      <c r="G520" s="94" t="s">
        <v>327</v>
      </c>
      <c r="H520" s="58">
        <v>1440</v>
      </c>
      <c r="J520" s="94" t="s">
        <v>327</v>
      </c>
      <c r="K520" s="58">
        <v>2183</v>
      </c>
      <c r="M520" s="94" t="s">
        <v>327</v>
      </c>
      <c r="N520" s="58">
        <v>2903</v>
      </c>
      <c r="P520" s="94" t="s">
        <v>327</v>
      </c>
      <c r="Q520" s="58">
        <v>3647</v>
      </c>
      <c r="S520" s="94" t="s">
        <v>327</v>
      </c>
      <c r="T520" s="58">
        <v>4367</v>
      </c>
      <c r="V520" s="94" t="s">
        <v>327</v>
      </c>
      <c r="W520" s="58">
        <v>5111</v>
      </c>
      <c r="Y520" s="94" t="s">
        <v>327</v>
      </c>
      <c r="Z520" s="58">
        <v>5855</v>
      </c>
      <c r="AB520" s="94" t="s">
        <v>327</v>
      </c>
      <c r="AC520" s="58">
        <v>6575</v>
      </c>
      <c r="AE520" s="94" t="s">
        <v>327</v>
      </c>
      <c r="AF520" s="58">
        <v>7319</v>
      </c>
      <c r="AH520" s="94" t="s">
        <v>327</v>
      </c>
      <c r="AI520" s="58">
        <v>8040</v>
      </c>
      <c r="AK520" s="94" t="s">
        <v>327</v>
      </c>
      <c r="AL520" s="58">
        <v>8784</v>
      </c>
    </row>
    <row r="521" spans="1:38">
      <c r="A521" t="s">
        <v>293</v>
      </c>
      <c r="B521" s="16" t="s">
        <v>294</v>
      </c>
      <c r="D521" t="s">
        <v>293</v>
      </c>
      <c r="E521" s="16" t="s">
        <v>294</v>
      </c>
      <c r="G521" t="s">
        <v>293</v>
      </c>
      <c r="H521" s="16" t="s">
        <v>294</v>
      </c>
      <c r="J521" t="s">
        <v>293</v>
      </c>
      <c r="K521" s="16" t="s">
        <v>294</v>
      </c>
      <c r="M521" t="s">
        <v>293</v>
      </c>
      <c r="N521" s="16" t="s">
        <v>294</v>
      </c>
      <c r="P521" t="s">
        <v>293</v>
      </c>
      <c r="Q521" s="16" t="s">
        <v>294</v>
      </c>
      <c r="S521" t="s">
        <v>293</v>
      </c>
      <c r="T521" s="16" t="s">
        <v>294</v>
      </c>
      <c r="V521" t="s">
        <v>293</v>
      </c>
      <c r="W521" s="16" t="s">
        <v>294</v>
      </c>
      <c r="Y521" t="s">
        <v>293</v>
      </c>
      <c r="Z521" s="16" t="s">
        <v>294</v>
      </c>
      <c r="AB521" t="s">
        <v>293</v>
      </c>
      <c r="AC521" s="16" t="s">
        <v>294</v>
      </c>
      <c r="AE521" t="s">
        <v>293</v>
      </c>
      <c r="AF521" s="16" t="s">
        <v>294</v>
      </c>
      <c r="AH521" t="s">
        <v>293</v>
      </c>
      <c r="AI521" s="16" t="s">
        <v>294</v>
      </c>
      <c r="AK521" t="s">
        <v>293</v>
      </c>
      <c r="AL521" s="16" t="s">
        <v>294</v>
      </c>
    </row>
    <row r="522" spans="1:38">
      <c r="A522">
        <v>0</v>
      </c>
      <c r="B522">
        <v>64.294075852459059</v>
      </c>
      <c r="D522">
        <v>0</v>
      </c>
      <c r="E522">
        <v>91.823002193548348</v>
      </c>
      <c r="G522">
        <v>0</v>
      </c>
      <c r="H522">
        <v>83.769380793103451</v>
      </c>
      <c r="J522">
        <v>0</v>
      </c>
      <c r="K522">
        <v>60.256033193548383</v>
      </c>
      <c r="M522">
        <v>0</v>
      </c>
      <c r="N522">
        <v>57.507276066666655</v>
      </c>
      <c r="P522">
        <v>0</v>
      </c>
      <c r="Q522">
        <v>57.364978709677416</v>
      </c>
      <c r="S522">
        <v>0</v>
      </c>
      <c r="T522">
        <v>56.789788266666655</v>
      </c>
      <c r="V522">
        <v>0</v>
      </c>
      <c r="W522">
        <v>59.76268625806452</v>
      </c>
      <c r="Y522">
        <v>0</v>
      </c>
      <c r="Z522">
        <v>61.037531064516124</v>
      </c>
      <c r="AB522">
        <v>0</v>
      </c>
      <c r="AC522">
        <v>55.218391199999999</v>
      </c>
      <c r="AE522">
        <v>0</v>
      </c>
      <c r="AF522">
        <v>56.309318580645161</v>
      </c>
      <c r="AH522">
        <v>0</v>
      </c>
      <c r="AI522">
        <v>58.763832366666648</v>
      </c>
      <c r="AK522">
        <v>0</v>
      </c>
      <c r="AL522">
        <v>73.251001032258074</v>
      </c>
    </row>
    <row r="523" spans="1:38">
      <c r="A523">
        <v>1</v>
      </c>
      <c r="B523">
        <v>61.233866573770413</v>
      </c>
      <c r="D523">
        <v>1</v>
      </c>
      <c r="E523">
        <v>88.369289806451619</v>
      </c>
      <c r="G523">
        <v>1</v>
      </c>
      <c r="H523">
        <v>81.003118068965506</v>
      </c>
      <c r="J523">
        <v>1</v>
      </c>
      <c r="K523">
        <v>57.28714738709678</v>
      </c>
      <c r="M523">
        <v>1</v>
      </c>
      <c r="N523">
        <v>54.946676866666657</v>
      </c>
      <c r="P523">
        <v>1</v>
      </c>
      <c r="Q523">
        <v>54.137249774193556</v>
      </c>
      <c r="S523">
        <v>1</v>
      </c>
      <c r="T523">
        <v>54.151741133333338</v>
      </c>
      <c r="V523">
        <v>1</v>
      </c>
      <c r="W523">
        <v>56.088812483870981</v>
      </c>
      <c r="Y523">
        <v>1</v>
      </c>
      <c r="Z523">
        <v>57.420070935483857</v>
      </c>
      <c r="AB523">
        <v>1</v>
      </c>
      <c r="AC523">
        <v>51.748892866666658</v>
      </c>
      <c r="AE523">
        <v>1</v>
      </c>
      <c r="AF523">
        <v>52.816394870967734</v>
      </c>
      <c r="AH523">
        <v>1</v>
      </c>
      <c r="AI523">
        <v>56.022371900000003</v>
      </c>
      <c r="AK523">
        <v>1</v>
      </c>
      <c r="AL523">
        <v>71.184720516129033</v>
      </c>
    </row>
    <row r="524" spans="1:38">
      <c r="A524">
        <v>2</v>
      </c>
      <c r="B524">
        <v>59.543123904371555</v>
      </c>
      <c r="D524">
        <v>2</v>
      </c>
      <c r="E524">
        <v>87.282784225806452</v>
      </c>
      <c r="G524">
        <v>2</v>
      </c>
      <c r="H524">
        <v>80.053576758620693</v>
      </c>
      <c r="J524">
        <v>2</v>
      </c>
      <c r="K524">
        <v>56.148402483870974</v>
      </c>
      <c r="M524">
        <v>2</v>
      </c>
      <c r="N524">
        <v>53.534696833333335</v>
      </c>
      <c r="P524">
        <v>2</v>
      </c>
      <c r="Q524">
        <v>52.474174322580637</v>
      </c>
      <c r="S524">
        <v>2</v>
      </c>
      <c r="T524">
        <v>52.396525499999981</v>
      </c>
      <c r="V524">
        <v>2</v>
      </c>
      <c r="W524">
        <v>54.006229935483873</v>
      </c>
      <c r="Y524">
        <v>2</v>
      </c>
      <c r="Z524">
        <v>54.763346129032257</v>
      </c>
      <c r="AB524">
        <v>2</v>
      </c>
      <c r="AC524">
        <v>49.517174233333328</v>
      </c>
      <c r="AE524">
        <v>2</v>
      </c>
      <c r="AF524">
        <v>50.800870322580643</v>
      </c>
      <c r="AH524">
        <v>2</v>
      </c>
      <c r="AI524">
        <v>54.586135066666664</v>
      </c>
      <c r="AK524">
        <v>2</v>
      </c>
      <c r="AL524">
        <v>69.369149806451603</v>
      </c>
    </row>
    <row r="525" spans="1:38">
      <c r="A525">
        <v>3</v>
      </c>
      <c r="B525">
        <v>58.633365139344242</v>
      </c>
      <c r="D525">
        <v>3</v>
      </c>
      <c r="E525">
        <v>87.190088032258075</v>
      </c>
      <c r="G525">
        <v>3</v>
      </c>
      <c r="H525">
        <v>79.033562137931042</v>
      </c>
      <c r="J525">
        <v>3</v>
      </c>
      <c r="K525">
        <v>55.875299806451615</v>
      </c>
      <c r="M525">
        <v>3</v>
      </c>
      <c r="N525">
        <v>52.791312033333341</v>
      </c>
      <c r="P525">
        <v>3</v>
      </c>
      <c r="Q525">
        <v>51.839584774193533</v>
      </c>
      <c r="S525">
        <v>3</v>
      </c>
      <c r="T525">
        <v>51.315768233333323</v>
      </c>
      <c r="V525">
        <v>3</v>
      </c>
      <c r="W525">
        <v>52.651607483870968</v>
      </c>
      <c r="Y525">
        <v>3</v>
      </c>
      <c r="Z525">
        <v>52.888616064516121</v>
      </c>
      <c r="AB525">
        <v>3</v>
      </c>
      <c r="AC525">
        <v>48.113841866666654</v>
      </c>
      <c r="AE525">
        <v>3</v>
      </c>
      <c r="AF525">
        <v>49.500958806451607</v>
      </c>
      <c r="AH525">
        <v>3</v>
      </c>
      <c r="AI525">
        <v>54.073467699999995</v>
      </c>
      <c r="AK525">
        <v>3</v>
      </c>
      <c r="AL525">
        <v>68.731478709677432</v>
      </c>
    </row>
    <row r="526" spans="1:38">
      <c r="A526">
        <v>4</v>
      </c>
      <c r="B526">
        <v>59.312293710382512</v>
      </c>
      <c r="D526">
        <v>4</v>
      </c>
      <c r="E526">
        <v>89.823193225806449</v>
      </c>
      <c r="G526">
        <v>4</v>
      </c>
      <c r="H526">
        <v>81.037304655172434</v>
      </c>
      <c r="J526">
        <v>4</v>
      </c>
      <c r="K526">
        <v>56.829688354838709</v>
      </c>
      <c r="M526">
        <v>4</v>
      </c>
      <c r="N526">
        <v>53.163043833333319</v>
      </c>
      <c r="P526">
        <v>4</v>
      </c>
      <c r="Q526">
        <v>51.917303322580636</v>
      </c>
      <c r="S526">
        <v>4</v>
      </c>
      <c r="T526">
        <v>51.22439043333334</v>
      </c>
      <c r="V526">
        <v>4</v>
      </c>
      <c r="W526">
        <v>52.203482612903223</v>
      </c>
      <c r="Y526">
        <v>4</v>
      </c>
      <c r="Z526">
        <v>52.033697225806456</v>
      </c>
      <c r="AB526">
        <v>4</v>
      </c>
      <c r="AC526">
        <v>47.678966633333324</v>
      </c>
      <c r="AE526">
        <v>4</v>
      </c>
      <c r="AF526">
        <v>50.613729580645177</v>
      </c>
      <c r="AH526">
        <v>4</v>
      </c>
      <c r="AI526">
        <v>55.560095833333321</v>
      </c>
      <c r="AK526">
        <v>4</v>
      </c>
      <c r="AL526">
        <v>70.108672161290329</v>
      </c>
    </row>
    <row r="527" spans="1:38">
      <c r="A527">
        <v>5</v>
      </c>
      <c r="B527">
        <v>63.578581617486314</v>
      </c>
      <c r="D527">
        <v>5</v>
      </c>
      <c r="E527">
        <v>102.06893303225804</v>
      </c>
      <c r="G527">
        <v>5</v>
      </c>
      <c r="H527">
        <v>87.380343413793085</v>
      </c>
      <c r="J527">
        <v>5</v>
      </c>
      <c r="K527">
        <v>61.392166967741936</v>
      </c>
      <c r="M527">
        <v>5</v>
      </c>
      <c r="N527">
        <v>56.693847266666666</v>
      </c>
      <c r="P527">
        <v>5</v>
      </c>
      <c r="Q527">
        <v>55.805360129032266</v>
      </c>
      <c r="S527">
        <v>5</v>
      </c>
      <c r="T527">
        <v>51.86168769999999</v>
      </c>
      <c r="V527">
        <v>5</v>
      </c>
      <c r="W527">
        <v>53.40625203225806</v>
      </c>
      <c r="Y527">
        <v>5</v>
      </c>
      <c r="Z527">
        <v>53.674690322580638</v>
      </c>
      <c r="AB527">
        <v>5</v>
      </c>
      <c r="AC527">
        <v>51.020349999999993</v>
      </c>
      <c r="AE527">
        <v>5</v>
      </c>
      <c r="AF527">
        <v>56.145738290322598</v>
      </c>
      <c r="AH527">
        <v>5</v>
      </c>
      <c r="AI527">
        <v>60.538639833333313</v>
      </c>
      <c r="AK527">
        <v>5</v>
      </c>
      <c r="AL527">
        <v>73.387348548387095</v>
      </c>
    </row>
    <row r="528" spans="1:38">
      <c r="A528">
        <v>6</v>
      </c>
      <c r="B528">
        <v>69.641843631147651</v>
      </c>
      <c r="D528">
        <v>6</v>
      </c>
      <c r="E528">
        <v>117.96490906451614</v>
      </c>
      <c r="G528">
        <v>6</v>
      </c>
      <c r="H528">
        <v>94.781020896551723</v>
      </c>
      <c r="J528">
        <v>6</v>
      </c>
      <c r="K528">
        <v>69.082824064516132</v>
      </c>
      <c r="M528">
        <v>6</v>
      </c>
      <c r="N528">
        <v>62.507339399999999</v>
      </c>
      <c r="P528">
        <v>6</v>
      </c>
      <c r="Q528">
        <v>59.442052677419369</v>
      </c>
      <c r="S528">
        <v>6</v>
      </c>
      <c r="T528">
        <v>54.815754900000009</v>
      </c>
      <c r="V528">
        <v>6</v>
      </c>
      <c r="W528">
        <v>56.760513838709677</v>
      </c>
      <c r="Y528">
        <v>6</v>
      </c>
      <c r="Z528">
        <v>57.666302903225812</v>
      </c>
      <c r="AB528">
        <v>6</v>
      </c>
      <c r="AC528">
        <v>55.634410933333335</v>
      </c>
      <c r="AE528">
        <v>6</v>
      </c>
      <c r="AF528">
        <v>64.319269225806451</v>
      </c>
      <c r="AH528">
        <v>6</v>
      </c>
      <c r="AI528">
        <v>65.855418400000005</v>
      </c>
      <c r="AK528">
        <v>6</v>
      </c>
      <c r="AL528">
        <v>77.21178803225807</v>
      </c>
    </row>
    <row r="529" spans="1:38">
      <c r="A529">
        <v>7</v>
      </c>
      <c r="B529">
        <v>74.157169480874259</v>
      </c>
      <c r="D529">
        <v>7</v>
      </c>
      <c r="E529">
        <v>123.75654187096774</v>
      </c>
      <c r="G529">
        <v>7</v>
      </c>
      <c r="H529">
        <v>98.787094206896569</v>
      </c>
      <c r="J529">
        <v>7</v>
      </c>
      <c r="K529">
        <v>72.917347645161286</v>
      </c>
      <c r="M529">
        <v>7</v>
      </c>
      <c r="N529">
        <v>66.460692966666656</v>
      </c>
      <c r="P529">
        <v>7</v>
      </c>
      <c r="Q529">
        <v>63.933451999999988</v>
      </c>
      <c r="S529">
        <v>7</v>
      </c>
      <c r="T529">
        <v>57.459890866666683</v>
      </c>
      <c r="V529">
        <v>7</v>
      </c>
      <c r="W529">
        <v>61.882716322580649</v>
      </c>
      <c r="Y529">
        <v>7</v>
      </c>
      <c r="Z529">
        <v>63.537118806451616</v>
      </c>
      <c r="AB529">
        <v>7</v>
      </c>
      <c r="AC529">
        <v>61.373754999999996</v>
      </c>
      <c r="AE529">
        <v>7</v>
      </c>
      <c r="AF529">
        <v>69.31707274193549</v>
      </c>
      <c r="AH529">
        <v>7</v>
      </c>
      <c r="AI529">
        <v>69.433806099999984</v>
      </c>
      <c r="AK529">
        <v>7</v>
      </c>
      <c r="AL529">
        <v>81.263942548387107</v>
      </c>
    </row>
    <row r="530" spans="1:38">
      <c r="A530">
        <v>8</v>
      </c>
      <c r="B530">
        <v>75.85187548360652</v>
      </c>
      <c r="D530">
        <v>8</v>
      </c>
      <c r="E530">
        <v>120.29479167741935</v>
      </c>
      <c r="G530">
        <v>8</v>
      </c>
      <c r="H530">
        <v>98.113720034482739</v>
      </c>
      <c r="J530">
        <v>8</v>
      </c>
      <c r="K530">
        <v>74.678308806451625</v>
      </c>
      <c r="M530">
        <v>8</v>
      </c>
      <c r="N530">
        <v>69.650658966666668</v>
      </c>
      <c r="P530">
        <v>8</v>
      </c>
      <c r="Q530">
        <v>65.573894967741936</v>
      </c>
      <c r="S530">
        <v>8</v>
      </c>
      <c r="T530">
        <v>59.014527433333349</v>
      </c>
      <c r="V530">
        <v>8</v>
      </c>
      <c r="W530">
        <v>66.293965709677437</v>
      </c>
      <c r="Y530">
        <v>8</v>
      </c>
      <c r="Z530">
        <v>68.476393935483856</v>
      </c>
      <c r="AB530">
        <v>8</v>
      </c>
      <c r="AC530">
        <v>64.957489700000011</v>
      </c>
      <c r="AE530">
        <v>8</v>
      </c>
      <c r="AF530">
        <v>71.124835806451614</v>
      </c>
      <c r="AH530">
        <v>8</v>
      </c>
      <c r="AI530">
        <v>71.239174199999994</v>
      </c>
      <c r="AK530">
        <v>8</v>
      </c>
      <c r="AL530">
        <v>80.997584483870966</v>
      </c>
    </row>
    <row r="531" spans="1:38">
      <c r="A531">
        <v>9</v>
      </c>
      <c r="B531">
        <v>77.934003478142017</v>
      </c>
      <c r="D531">
        <v>9</v>
      </c>
      <c r="E531">
        <v>118.20023496774192</v>
      </c>
      <c r="G531">
        <v>9</v>
      </c>
      <c r="H531">
        <v>98.368502586206901</v>
      </c>
      <c r="J531">
        <v>9</v>
      </c>
      <c r="K531">
        <v>75.421916161290326</v>
      </c>
      <c r="M531">
        <v>9</v>
      </c>
      <c r="N531">
        <v>72.121121133333347</v>
      </c>
      <c r="P531">
        <v>9</v>
      </c>
      <c r="Q531">
        <v>66.989954032258041</v>
      </c>
      <c r="S531">
        <v>9</v>
      </c>
      <c r="T531">
        <v>61.799560566666678</v>
      </c>
      <c r="V531">
        <v>9</v>
      </c>
      <c r="W531">
        <v>72.168477677419361</v>
      </c>
      <c r="Y531">
        <v>9</v>
      </c>
      <c r="Z531">
        <v>75.486827419354839</v>
      </c>
      <c r="AB531">
        <v>9</v>
      </c>
      <c r="AC531">
        <v>69.1633815</v>
      </c>
      <c r="AE531">
        <v>9</v>
      </c>
      <c r="AF531">
        <v>73.049060741935492</v>
      </c>
      <c r="AH531">
        <v>9</v>
      </c>
      <c r="AI531">
        <v>72.226357666666686</v>
      </c>
      <c r="AK531">
        <v>9</v>
      </c>
      <c r="AL531">
        <v>80.35598293548388</v>
      </c>
    </row>
    <row r="532" spans="1:38">
      <c r="A532">
        <v>10</v>
      </c>
      <c r="B532">
        <v>79.756361207650272</v>
      </c>
      <c r="D532">
        <v>10</v>
      </c>
      <c r="E532">
        <v>117.12127583870966</v>
      </c>
      <c r="G532">
        <v>10</v>
      </c>
      <c r="H532">
        <v>97.262711137931035</v>
      </c>
      <c r="J532">
        <v>10</v>
      </c>
      <c r="K532">
        <v>75.602776612903213</v>
      </c>
      <c r="M532">
        <v>10</v>
      </c>
      <c r="N532">
        <v>74.967246766666648</v>
      </c>
      <c r="P532">
        <v>10</v>
      </c>
      <c r="Q532">
        <v>68.875450709677409</v>
      </c>
      <c r="S532">
        <v>10</v>
      </c>
      <c r="T532">
        <v>63.964711799999996</v>
      </c>
      <c r="V532">
        <v>10</v>
      </c>
      <c r="W532">
        <v>77.952358870967743</v>
      </c>
      <c r="Y532">
        <v>10</v>
      </c>
      <c r="Z532">
        <v>81.493431451612921</v>
      </c>
      <c r="AB532">
        <v>10</v>
      </c>
      <c r="AC532">
        <v>72.172956633333314</v>
      </c>
      <c r="AE532">
        <v>10</v>
      </c>
      <c r="AF532">
        <v>75.050297032258072</v>
      </c>
      <c r="AH532">
        <v>10</v>
      </c>
      <c r="AI532">
        <v>72.639524633333338</v>
      </c>
      <c r="AK532">
        <v>10</v>
      </c>
      <c r="AL532">
        <v>79.964938000000004</v>
      </c>
    </row>
    <row r="533" spans="1:38">
      <c r="A533">
        <v>11</v>
      </c>
      <c r="B533">
        <v>79.886233377049109</v>
      </c>
      <c r="D533">
        <v>11</v>
      </c>
      <c r="E533">
        <v>112.68364932258064</v>
      </c>
      <c r="G533">
        <v>11</v>
      </c>
      <c r="H533">
        <v>94.063524413793132</v>
      </c>
      <c r="J533">
        <v>11</v>
      </c>
      <c r="K533">
        <v>74.669074032258052</v>
      </c>
      <c r="M533">
        <v>11</v>
      </c>
      <c r="N533">
        <v>74.929225933333342</v>
      </c>
      <c r="P533">
        <v>11</v>
      </c>
      <c r="Q533">
        <v>68.837725870967745</v>
      </c>
      <c r="S533">
        <v>11</v>
      </c>
      <c r="T533">
        <v>64.684670400000002</v>
      </c>
      <c r="V533">
        <v>11</v>
      </c>
      <c r="W533">
        <v>82.302653645161314</v>
      </c>
      <c r="Y533">
        <v>11</v>
      </c>
      <c r="Z533">
        <v>86.681888451612892</v>
      </c>
      <c r="AB533">
        <v>11</v>
      </c>
      <c r="AC533">
        <v>74.33634716666667</v>
      </c>
      <c r="AE533">
        <v>11</v>
      </c>
      <c r="AF533">
        <v>74.322981677419364</v>
      </c>
      <c r="AH533">
        <v>11</v>
      </c>
      <c r="AI533">
        <v>72.220264166666666</v>
      </c>
      <c r="AK533">
        <v>11</v>
      </c>
      <c r="AL533">
        <v>78.740864999999971</v>
      </c>
    </row>
    <row r="534" spans="1:38">
      <c r="A534">
        <v>12</v>
      </c>
      <c r="B534">
        <v>79.045198341530067</v>
      </c>
      <c r="D534">
        <v>12</v>
      </c>
      <c r="E534">
        <v>107.48578538709674</v>
      </c>
      <c r="G534">
        <v>12</v>
      </c>
      <c r="H534">
        <v>90.226865551724131</v>
      </c>
      <c r="J534">
        <v>12</v>
      </c>
      <c r="K534">
        <v>72.820014419354848</v>
      </c>
      <c r="M534">
        <v>12</v>
      </c>
      <c r="N534">
        <v>73.457826733333349</v>
      </c>
      <c r="P534">
        <v>12</v>
      </c>
      <c r="Q534">
        <v>67.475049645161292</v>
      </c>
      <c r="S534">
        <v>12</v>
      </c>
      <c r="T534">
        <v>64.899050799999998</v>
      </c>
      <c r="V534">
        <v>12</v>
      </c>
      <c r="W534">
        <v>84.997688870967721</v>
      </c>
      <c r="Y534">
        <v>12</v>
      </c>
      <c r="Z534">
        <v>89.653178838709678</v>
      </c>
      <c r="AB534">
        <v>12</v>
      </c>
      <c r="AC534">
        <v>75.191624400000009</v>
      </c>
      <c r="AE534">
        <v>12</v>
      </c>
      <c r="AF534">
        <v>73.527157000000003</v>
      </c>
      <c r="AH534">
        <v>12</v>
      </c>
      <c r="AI534">
        <v>71.041292933333338</v>
      </c>
      <c r="AK534">
        <v>12</v>
      </c>
      <c r="AL534">
        <v>77.469178935483839</v>
      </c>
    </row>
    <row r="535" spans="1:38">
      <c r="A535">
        <v>13</v>
      </c>
      <c r="B535">
        <v>78.840132874316893</v>
      </c>
      <c r="D535">
        <v>13</v>
      </c>
      <c r="E535">
        <v>104.09442009677417</v>
      </c>
      <c r="G535">
        <v>13</v>
      </c>
      <c r="H535">
        <v>87.58262689655173</v>
      </c>
      <c r="J535">
        <v>13</v>
      </c>
      <c r="K535">
        <v>71.319550935483861</v>
      </c>
      <c r="M535">
        <v>13</v>
      </c>
      <c r="N535">
        <v>72.332931733333353</v>
      </c>
      <c r="P535">
        <v>13</v>
      </c>
      <c r="Q535">
        <v>66.888750290322605</v>
      </c>
      <c r="S535">
        <v>13</v>
      </c>
      <c r="T535">
        <v>66.575674500000005</v>
      </c>
      <c r="V535">
        <v>13</v>
      </c>
      <c r="W535">
        <v>87.031414612903191</v>
      </c>
      <c r="Y535">
        <v>13</v>
      </c>
      <c r="Z535">
        <v>93.134341838709688</v>
      </c>
      <c r="AB535">
        <v>13</v>
      </c>
      <c r="AC535">
        <v>76.099207333333339</v>
      </c>
      <c r="AE535">
        <v>13</v>
      </c>
      <c r="AF535">
        <v>73.403475999999998</v>
      </c>
      <c r="AH535">
        <v>13</v>
      </c>
      <c r="AI535">
        <v>70.512057533333333</v>
      </c>
      <c r="AK535">
        <v>13</v>
      </c>
      <c r="AL535">
        <v>76.708572645161283</v>
      </c>
    </row>
    <row r="536" spans="1:38">
      <c r="A536">
        <v>14</v>
      </c>
      <c r="B536">
        <v>78.461949101092941</v>
      </c>
      <c r="D536">
        <v>14</v>
      </c>
      <c r="E536">
        <v>102.48677083870967</v>
      </c>
      <c r="G536">
        <v>14</v>
      </c>
      <c r="H536">
        <v>86.380572137931026</v>
      </c>
      <c r="J536">
        <v>14</v>
      </c>
      <c r="K536">
        <v>69.180186129032279</v>
      </c>
      <c r="M536">
        <v>14</v>
      </c>
      <c r="N536">
        <v>70.942179600000003</v>
      </c>
      <c r="P536">
        <v>14</v>
      </c>
      <c r="Q536">
        <v>65.223069451612915</v>
      </c>
      <c r="S536">
        <v>14</v>
      </c>
      <c r="T536">
        <v>68.489815399999998</v>
      </c>
      <c r="V536">
        <v>14</v>
      </c>
      <c r="W536">
        <v>88.67355593548389</v>
      </c>
      <c r="Y536">
        <v>14</v>
      </c>
      <c r="Z536">
        <v>95.462983096774209</v>
      </c>
      <c r="AB536">
        <v>14</v>
      </c>
      <c r="AC536">
        <v>76.517143766666678</v>
      </c>
      <c r="AE536">
        <v>14</v>
      </c>
      <c r="AF536">
        <v>72.539929129032245</v>
      </c>
      <c r="AH536">
        <v>14</v>
      </c>
      <c r="AI536">
        <v>69.550919966666669</v>
      </c>
      <c r="AK536">
        <v>14</v>
      </c>
      <c r="AL536">
        <v>75.692699516129039</v>
      </c>
    </row>
    <row r="537" spans="1:38">
      <c r="A537">
        <v>15</v>
      </c>
      <c r="B537">
        <v>78.341565112021854</v>
      </c>
      <c r="D537">
        <v>15</v>
      </c>
      <c r="E537">
        <v>103.99071612903225</v>
      </c>
      <c r="G537">
        <v>15</v>
      </c>
      <c r="H537">
        <v>85.962966172413815</v>
      </c>
      <c r="J537">
        <v>15</v>
      </c>
      <c r="K537">
        <v>68.471705999999998</v>
      </c>
      <c r="M537">
        <v>15</v>
      </c>
      <c r="N537">
        <v>69.372087733333331</v>
      </c>
      <c r="P537">
        <v>15</v>
      </c>
      <c r="Q537">
        <v>64.500476516129041</v>
      </c>
      <c r="S537">
        <v>15</v>
      </c>
      <c r="T537">
        <v>66.845669866666668</v>
      </c>
      <c r="V537">
        <v>15</v>
      </c>
      <c r="W537">
        <v>89.593209709677438</v>
      </c>
      <c r="Y537">
        <v>15</v>
      </c>
      <c r="Z537">
        <v>96.353703354838729</v>
      </c>
      <c r="AB537">
        <v>15</v>
      </c>
      <c r="AC537">
        <v>75.807430133333341</v>
      </c>
      <c r="AE537">
        <v>15</v>
      </c>
      <c r="AF537">
        <v>72.314233741935482</v>
      </c>
      <c r="AH537">
        <v>15</v>
      </c>
      <c r="AI537">
        <v>69.720570766666683</v>
      </c>
      <c r="AK537">
        <v>15</v>
      </c>
      <c r="AL537">
        <v>76.637698322580619</v>
      </c>
    </row>
    <row r="538" spans="1:38">
      <c r="A538">
        <v>16</v>
      </c>
      <c r="B538">
        <v>80.692111374317022</v>
      </c>
      <c r="D538">
        <v>16</v>
      </c>
      <c r="E538">
        <v>110.18436699999999</v>
      </c>
      <c r="G538">
        <v>16</v>
      </c>
      <c r="H538">
        <v>88.15902055172414</v>
      </c>
      <c r="J538">
        <v>16</v>
      </c>
      <c r="K538">
        <v>70.262773903225806</v>
      </c>
      <c r="M538">
        <v>16</v>
      </c>
      <c r="N538">
        <v>68.689007366666658</v>
      </c>
      <c r="P538">
        <v>16</v>
      </c>
      <c r="Q538">
        <v>64.939769516129033</v>
      </c>
      <c r="S538">
        <v>16</v>
      </c>
      <c r="T538">
        <v>67.963235933333323</v>
      </c>
      <c r="V538">
        <v>16</v>
      </c>
      <c r="W538">
        <v>90.044885903225804</v>
      </c>
      <c r="Y538">
        <v>16</v>
      </c>
      <c r="Z538">
        <v>99.015370290322579</v>
      </c>
      <c r="AB538">
        <v>16</v>
      </c>
      <c r="AC538">
        <v>77.664355566666671</v>
      </c>
      <c r="AE538">
        <v>16</v>
      </c>
      <c r="AF538">
        <v>73.635290419354845</v>
      </c>
      <c r="AH538">
        <v>16</v>
      </c>
      <c r="AI538">
        <v>74.201700366666657</v>
      </c>
      <c r="AK538">
        <v>16</v>
      </c>
      <c r="AL538">
        <v>82.922452322580639</v>
      </c>
    </row>
    <row r="539" spans="1:38">
      <c r="A539">
        <v>17</v>
      </c>
      <c r="B539">
        <v>85.987344453551898</v>
      </c>
      <c r="D539">
        <v>17</v>
      </c>
      <c r="E539">
        <v>131.09016254838713</v>
      </c>
      <c r="G539">
        <v>17</v>
      </c>
      <c r="H539">
        <v>95.701732517241396</v>
      </c>
      <c r="J539">
        <v>17</v>
      </c>
      <c r="K539">
        <v>74.048495935483857</v>
      </c>
      <c r="M539">
        <v>17</v>
      </c>
      <c r="N539">
        <v>70.073248833333352</v>
      </c>
      <c r="P539">
        <v>17</v>
      </c>
      <c r="Q539">
        <v>66.174059387096776</v>
      </c>
      <c r="S539">
        <v>17</v>
      </c>
      <c r="T539">
        <v>70.283245399999984</v>
      </c>
      <c r="V539">
        <v>17</v>
      </c>
      <c r="W539">
        <v>91.873099548387088</v>
      </c>
      <c r="Y539">
        <v>17</v>
      </c>
      <c r="Z539">
        <v>97.699599741935486</v>
      </c>
      <c r="AB539">
        <v>17</v>
      </c>
      <c r="AC539">
        <v>77.28216336666668</v>
      </c>
      <c r="AE539">
        <v>17</v>
      </c>
      <c r="AF539">
        <v>77.033707193548366</v>
      </c>
      <c r="AH539">
        <v>17</v>
      </c>
      <c r="AI539">
        <v>81.703554133333327</v>
      </c>
      <c r="AK539">
        <v>17</v>
      </c>
      <c r="AL539">
        <v>98.072858709677433</v>
      </c>
    </row>
    <row r="540" spans="1:38">
      <c r="A540">
        <v>18</v>
      </c>
      <c r="B540">
        <v>87.390946890710424</v>
      </c>
      <c r="D540">
        <v>18</v>
      </c>
      <c r="E540">
        <v>135.26904293548384</v>
      </c>
      <c r="G540">
        <v>18</v>
      </c>
      <c r="H540">
        <v>106.73719810344828</v>
      </c>
      <c r="J540">
        <v>18</v>
      </c>
      <c r="K540">
        <v>82.002645161290332</v>
      </c>
      <c r="M540">
        <v>18</v>
      </c>
      <c r="N540">
        <v>71.841908733333312</v>
      </c>
      <c r="P540">
        <v>18</v>
      </c>
      <c r="Q540">
        <v>65.804646612903213</v>
      </c>
      <c r="S540">
        <v>18</v>
      </c>
      <c r="T540">
        <v>68.648235033333322</v>
      </c>
      <c r="V540">
        <v>18</v>
      </c>
      <c r="W540">
        <v>89.933091645161284</v>
      </c>
      <c r="Y540">
        <v>18</v>
      </c>
      <c r="Z540">
        <v>90.855783516129051</v>
      </c>
      <c r="AB540">
        <v>18</v>
      </c>
      <c r="AC540">
        <v>76.483361966666692</v>
      </c>
      <c r="AE540">
        <v>18</v>
      </c>
      <c r="AF540">
        <v>81.569834709677394</v>
      </c>
      <c r="AH540">
        <v>18</v>
      </c>
      <c r="AI540">
        <v>81.018254499999998</v>
      </c>
      <c r="AK540">
        <v>18</v>
      </c>
      <c r="AL540">
        <v>98.111891225806474</v>
      </c>
    </row>
    <row r="541" spans="1:38">
      <c r="A541">
        <v>19</v>
      </c>
      <c r="B541">
        <v>86.60353735519125</v>
      </c>
      <c r="D541">
        <v>19</v>
      </c>
      <c r="E541">
        <v>128.43483296774193</v>
      </c>
      <c r="G541">
        <v>19</v>
      </c>
      <c r="H541">
        <v>106.52144658620691</v>
      </c>
      <c r="J541">
        <v>19</v>
      </c>
      <c r="K541">
        <v>83.206950451612897</v>
      </c>
      <c r="M541">
        <v>19</v>
      </c>
      <c r="N541">
        <v>76.862927766666658</v>
      </c>
      <c r="P541">
        <v>19</v>
      </c>
      <c r="Q541">
        <v>67.664012451612891</v>
      </c>
      <c r="S541">
        <v>19</v>
      </c>
      <c r="T541">
        <v>68.326321199999995</v>
      </c>
      <c r="V541">
        <v>19</v>
      </c>
      <c r="W541">
        <v>86.551194451612957</v>
      </c>
      <c r="Y541">
        <v>19</v>
      </c>
      <c r="Z541">
        <v>87.561031193548374</v>
      </c>
      <c r="AB541">
        <v>19</v>
      </c>
      <c r="AC541">
        <v>78.313566866666662</v>
      </c>
      <c r="AE541">
        <v>19</v>
      </c>
      <c r="AF541">
        <v>82.843517548387098</v>
      </c>
      <c r="AH541">
        <v>19</v>
      </c>
      <c r="AI541">
        <v>78.664692699999989</v>
      </c>
      <c r="AK541">
        <v>19</v>
      </c>
      <c r="AL541">
        <v>94.14966948387098</v>
      </c>
    </row>
    <row r="542" spans="1:38">
      <c r="A542">
        <v>20</v>
      </c>
      <c r="B542">
        <v>84.646953609289625</v>
      </c>
      <c r="D542">
        <v>20</v>
      </c>
      <c r="E542">
        <v>120.40613525806455</v>
      </c>
      <c r="G542">
        <v>20</v>
      </c>
      <c r="H542">
        <v>101.42031496551724</v>
      </c>
      <c r="J542">
        <v>20</v>
      </c>
      <c r="K542">
        <v>80.044362903225803</v>
      </c>
      <c r="M542">
        <v>20</v>
      </c>
      <c r="N542">
        <v>79.238539200000005</v>
      </c>
      <c r="P542">
        <v>20</v>
      </c>
      <c r="Q542">
        <v>72.258854612903221</v>
      </c>
      <c r="S542">
        <v>20</v>
      </c>
      <c r="T542">
        <v>69.026766066666667</v>
      </c>
      <c r="V542">
        <v>20</v>
      </c>
      <c r="W542">
        <v>84.540393999999992</v>
      </c>
      <c r="Y542">
        <v>20</v>
      </c>
      <c r="Z542">
        <v>87.326826032258069</v>
      </c>
      <c r="AB542">
        <v>20</v>
      </c>
      <c r="AC542">
        <v>77.233724500000008</v>
      </c>
      <c r="AE542">
        <v>20</v>
      </c>
      <c r="AF542">
        <v>80.313598322580617</v>
      </c>
      <c r="AH542">
        <v>20</v>
      </c>
      <c r="AI542">
        <v>74.488129033333308</v>
      </c>
      <c r="AK542">
        <v>20</v>
      </c>
      <c r="AL542">
        <v>89.302768322580647</v>
      </c>
    </row>
    <row r="543" spans="1:38">
      <c r="A543">
        <v>21</v>
      </c>
      <c r="B543">
        <v>79.837584934426232</v>
      </c>
      <c r="D543">
        <v>21</v>
      </c>
      <c r="E543">
        <v>110.57766987096772</v>
      </c>
      <c r="G543">
        <v>21</v>
      </c>
      <c r="H543">
        <v>93.413078586206908</v>
      </c>
      <c r="J543">
        <v>21</v>
      </c>
      <c r="K543">
        <v>73.67406293548386</v>
      </c>
      <c r="M543">
        <v>21</v>
      </c>
      <c r="N543">
        <v>73.271133666666657</v>
      </c>
      <c r="P543">
        <v>21</v>
      </c>
      <c r="Q543">
        <v>72.85091238709677</v>
      </c>
      <c r="S543">
        <v>21</v>
      </c>
      <c r="T543">
        <v>69.26979630000001</v>
      </c>
      <c r="V543">
        <v>21</v>
      </c>
      <c r="W543">
        <v>82.672390290322596</v>
      </c>
      <c r="Y543">
        <v>21</v>
      </c>
      <c r="Z543">
        <v>83.609484999999978</v>
      </c>
      <c r="AB543">
        <v>21</v>
      </c>
      <c r="AC543">
        <v>71.960158633333322</v>
      </c>
      <c r="AE543">
        <v>21</v>
      </c>
      <c r="AF543">
        <v>76.038887612903224</v>
      </c>
      <c r="AH543">
        <v>21</v>
      </c>
      <c r="AI543">
        <v>70.182018099999993</v>
      </c>
      <c r="AK543">
        <v>21</v>
      </c>
      <c r="AL543">
        <v>80.288966290322591</v>
      </c>
    </row>
    <row r="544" spans="1:38">
      <c r="A544">
        <v>22</v>
      </c>
      <c r="B544">
        <v>74.478687510929007</v>
      </c>
      <c r="D544">
        <v>22</v>
      </c>
      <c r="E544">
        <v>109.11282809677421</v>
      </c>
      <c r="G544">
        <v>22</v>
      </c>
      <c r="H544">
        <v>90.009821379310324</v>
      </c>
      <c r="J544">
        <v>22</v>
      </c>
      <c r="K544">
        <v>68.64113061290324</v>
      </c>
      <c r="M544">
        <v>22</v>
      </c>
      <c r="N544">
        <v>68.442212666666663</v>
      </c>
      <c r="P544">
        <v>22</v>
      </c>
      <c r="Q544">
        <v>69.073594483870977</v>
      </c>
      <c r="S544">
        <v>22</v>
      </c>
      <c r="T544">
        <v>65.975490000000008</v>
      </c>
      <c r="V544">
        <v>22</v>
      </c>
      <c r="W544">
        <v>72.365164903225789</v>
      </c>
      <c r="Y544">
        <v>22</v>
      </c>
      <c r="Z544">
        <v>73.656773741935481</v>
      </c>
      <c r="AB544">
        <v>22</v>
      </c>
      <c r="AC544">
        <v>64.730487599999989</v>
      </c>
      <c r="AE544">
        <v>22</v>
      </c>
      <c r="AF544">
        <v>70.516261161290345</v>
      </c>
      <c r="AH544">
        <v>22</v>
      </c>
      <c r="AI544">
        <v>65.368469733333342</v>
      </c>
      <c r="AK544">
        <v>22</v>
      </c>
      <c r="AL544">
        <v>75.776666645161285</v>
      </c>
    </row>
    <row r="545" spans="1:38">
      <c r="A545">
        <v>23</v>
      </c>
      <c r="B545">
        <v>68.849240535519129</v>
      </c>
      <c r="D545">
        <v>23</v>
      </c>
      <c r="E545">
        <v>104.05808812903224</v>
      </c>
      <c r="G545">
        <v>23</v>
      </c>
      <c r="H545">
        <v>87.995249448275899</v>
      </c>
      <c r="J545">
        <v>23</v>
      </c>
      <c r="K545">
        <v>63.30891603333334</v>
      </c>
      <c r="M545">
        <v>23</v>
      </c>
      <c r="N545">
        <v>62.270376366666682</v>
      </c>
      <c r="P545">
        <v>23</v>
      </c>
      <c r="Q545">
        <v>64.321173322580648</v>
      </c>
      <c r="S545">
        <v>23</v>
      </c>
      <c r="T545">
        <v>60.953238733333329</v>
      </c>
      <c r="V545">
        <v>23</v>
      </c>
      <c r="W545">
        <v>64.43658174193547</v>
      </c>
      <c r="Y545">
        <v>23</v>
      </c>
      <c r="Z545">
        <v>64.908732999999998</v>
      </c>
      <c r="AB545">
        <v>23</v>
      </c>
      <c r="AC545">
        <v>58.022572333333329</v>
      </c>
      <c r="AE545">
        <v>23</v>
      </c>
      <c r="AF545">
        <v>60.614343193548379</v>
      </c>
      <c r="AH545">
        <v>23</v>
      </c>
      <c r="AI545">
        <v>62.055737645161294</v>
      </c>
      <c r="AK545">
        <v>23</v>
      </c>
      <c r="AL545">
        <v>73.486204193548375</v>
      </c>
    </row>
    <row r="546" spans="1:38">
      <c r="A546" t="s">
        <v>328</v>
      </c>
      <c r="B546">
        <v>74.458251897882505</v>
      </c>
      <c r="D546" t="s">
        <v>328</v>
      </c>
      <c r="E546">
        <v>109.32372968817202</v>
      </c>
      <c r="G546" t="s">
        <v>328</v>
      </c>
      <c r="H546">
        <v>91.406864666666664</v>
      </c>
      <c r="J546" t="s">
        <v>328</v>
      </c>
      <c r="K546">
        <v>69.464240872356626</v>
      </c>
      <c r="M546" t="s">
        <v>328</v>
      </c>
      <c r="N546">
        <v>66.919479936111102</v>
      </c>
      <c r="P546" t="s">
        <v>328</v>
      </c>
      <c r="Q546">
        <v>63.515231248655915</v>
      </c>
      <c r="S546" t="s">
        <v>328</v>
      </c>
      <c r="T546">
        <v>61.947314852777772</v>
      </c>
      <c r="V546" t="s">
        <v>328</v>
      </c>
      <c r="W546">
        <v>73.258017853494636</v>
      </c>
      <c r="Y546" t="s">
        <v>328</v>
      </c>
      <c r="Z546">
        <v>76.016571848118289</v>
      </c>
      <c r="AB546" t="s">
        <v>328</v>
      </c>
      <c r="AC546">
        <v>66.093406425000012</v>
      </c>
      <c r="AE546" t="s">
        <v>328</v>
      </c>
      <c r="AF546">
        <v>68.238365154569905</v>
      </c>
      <c r="AH546" t="s">
        <v>328</v>
      </c>
      <c r="AI546">
        <v>67.98610355327061</v>
      </c>
      <c r="AK546" t="s">
        <v>328</v>
      </c>
      <c r="AL546">
        <v>79.299462432795707</v>
      </c>
    </row>
    <row r="549" spans="1:38">
      <c r="A549" s="94">
        <v>2033</v>
      </c>
      <c r="B549" s="99" t="s">
        <v>325</v>
      </c>
      <c r="D549">
        <v>1</v>
      </c>
      <c r="E549" s="99" t="s">
        <v>316</v>
      </c>
      <c r="G549">
        <v>2</v>
      </c>
      <c r="H549" s="99" t="s">
        <v>316</v>
      </c>
      <c r="J549">
        <v>3</v>
      </c>
      <c r="K549" s="99" t="s">
        <v>316</v>
      </c>
      <c r="M549">
        <v>4</v>
      </c>
      <c r="N549" s="99" t="s">
        <v>316</v>
      </c>
      <c r="P549">
        <v>5</v>
      </c>
      <c r="Q549" s="99" t="s">
        <v>316</v>
      </c>
      <c r="S549">
        <v>6</v>
      </c>
      <c r="T549" s="99" t="s">
        <v>316</v>
      </c>
      <c r="V549">
        <v>7</v>
      </c>
      <c r="W549" s="99" t="s">
        <v>316</v>
      </c>
      <c r="Y549">
        <v>8</v>
      </c>
      <c r="Z549" s="99" t="s">
        <v>316</v>
      </c>
      <c r="AB549">
        <v>9</v>
      </c>
      <c r="AC549" s="99" t="s">
        <v>316</v>
      </c>
      <c r="AE549">
        <v>10</v>
      </c>
      <c r="AF549" s="99" t="s">
        <v>316</v>
      </c>
      <c r="AH549">
        <v>11</v>
      </c>
      <c r="AI549" s="99" t="s">
        <v>316</v>
      </c>
      <c r="AK549">
        <v>12</v>
      </c>
      <c r="AL549" s="99" t="s">
        <v>316</v>
      </c>
    </row>
    <row r="550" spans="1:38">
      <c r="A550" s="94" t="s">
        <v>308</v>
      </c>
      <c r="B550" s="58">
        <v>8760</v>
      </c>
      <c r="D550" s="94" t="s">
        <v>397</v>
      </c>
      <c r="E550" s="58">
        <v>744</v>
      </c>
      <c r="G550" s="94" t="s">
        <v>398</v>
      </c>
      <c r="H550" s="58">
        <v>672</v>
      </c>
      <c r="J550" s="94" t="s">
        <v>399</v>
      </c>
      <c r="K550" s="58">
        <v>743</v>
      </c>
      <c r="M550" s="94" t="s">
        <v>400</v>
      </c>
      <c r="N550" s="58">
        <v>720</v>
      </c>
      <c r="P550" s="94" t="s">
        <v>401</v>
      </c>
      <c r="Q550" s="58">
        <v>744</v>
      </c>
      <c r="S550" s="94" t="s">
        <v>402</v>
      </c>
      <c r="T550" s="58">
        <v>720</v>
      </c>
      <c r="V550" s="94" t="s">
        <v>403</v>
      </c>
      <c r="W550" s="58">
        <v>744</v>
      </c>
      <c r="Y550" s="94" t="s">
        <v>404</v>
      </c>
      <c r="Z550" s="58">
        <v>744</v>
      </c>
      <c r="AB550" s="94" t="s">
        <v>405</v>
      </c>
      <c r="AC550" s="58">
        <v>720</v>
      </c>
      <c r="AE550" s="94" t="s">
        <v>406</v>
      </c>
      <c r="AF550" s="58">
        <v>744</v>
      </c>
      <c r="AH550" s="94" t="s">
        <v>407</v>
      </c>
      <c r="AI550" s="58">
        <v>721</v>
      </c>
      <c r="AK550" s="94" t="s">
        <v>408</v>
      </c>
      <c r="AL550" s="58">
        <v>744</v>
      </c>
    </row>
    <row r="551" spans="1:38">
      <c r="A551" s="94" t="s">
        <v>326</v>
      </c>
      <c r="B551" s="58">
        <v>0</v>
      </c>
      <c r="D551" s="94" t="s">
        <v>326</v>
      </c>
      <c r="E551" s="58">
        <v>0</v>
      </c>
      <c r="G551" s="94" t="s">
        <v>326</v>
      </c>
      <c r="H551" s="58">
        <v>744</v>
      </c>
      <c r="J551" s="94" t="s">
        <v>326</v>
      </c>
      <c r="K551" s="58">
        <v>1416</v>
      </c>
      <c r="M551" s="94" t="s">
        <v>326</v>
      </c>
      <c r="N551" s="58">
        <v>2159</v>
      </c>
      <c r="P551" s="94" t="s">
        <v>326</v>
      </c>
      <c r="Q551" s="58">
        <v>2879</v>
      </c>
      <c r="S551" s="94" t="s">
        <v>326</v>
      </c>
      <c r="T551" s="58">
        <v>3623</v>
      </c>
      <c r="V551" s="94" t="s">
        <v>326</v>
      </c>
      <c r="W551" s="58">
        <v>4343</v>
      </c>
      <c r="Y551" s="94" t="s">
        <v>326</v>
      </c>
      <c r="Z551" s="58">
        <v>5087</v>
      </c>
      <c r="AB551" s="94" t="s">
        <v>326</v>
      </c>
      <c r="AC551" s="58">
        <v>5831</v>
      </c>
      <c r="AE551" s="94" t="s">
        <v>326</v>
      </c>
      <c r="AF551" s="58">
        <v>6551</v>
      </c>
      <c r="AH551" s="94" t="s">
        <v>326</v>
      </c>
      <c r="AI551" s="58">
        <v>7295</v>
      </c>
      <c r="AK551" s="94" t="s">
        <v>326</v>
      </c>
      <c r="AL551" s="58">
        <v>8016</v>
      </c>
    </row>
    <row r="552" spans="1:38">
      <c r="A552" s="94" t="s">
        <v>327</v>
      </c>
      <c r="B552" s="58">
        <v>8760</v>
      </c>
      <c r="D552" s="94" t="s">
        <v>327</v>
      </c>
      <c r="E552" s="58">
        <v>744</v>
      </c>
      <c r="G552" s="94" t="s">
        <v>327</v>
      </c>
      <c r="H552" s="58">
        <v>1416</v>
      </c>
      <c r="J552" s="94" t="s">
        <v>327</v>
      </c>
      <c r="K552" s="58">
        <v>2159</v>
      </c>
      <c r="M552" s="94" t="s">
        <v>327</v>
      </c>
      <c r="N552" s="58">
        <v>2879</v>
      </c>
      <c r="P552" s="94" t="s">
        <v>327</v>
      </c>
      <c r="Q552" s="58">
        <v>3623</v>
      </c>
      <c r="S552" s="94" t="s">
        <v>327</v>
      </c>
      <c r="T552" s="58">
        <v>4343</v>
      </c>
      <c r="V552" s="94" t="s">
        <v>327</v>
      </c>
      <c r="W552" s="58">
        <v>5087</v>
      </c>
      <c r="Y552" s="94" t="s">
        <v>327</v>
      </c>
      <c r="Z552" s="58">
        <v>5831</v>
      </c>
      <c r="AB552" s="94" t="s">
        <v>327</v>
      </c>
      <c r="AC552" s="58">
        <v>6551</v>
      </c>
      <c r="AE552" s="94" t="s">
        <v>327</v>
      </c>
      <c r="AF552" s="58">
        <v>7295</v>
      </c>
      <c r="AH552" s="94" t="s">
        <v>327</v>
      </c>
      <c r="AI552" s="58">
        <v>8016</v>
      </c>
      <c r="AK552" s="94" t="s">
        <v>327</v>
      </c>
      <c r="AL552" s="58">
        <v>8760</v>
      </c>
    </row>
    <row r="553" spans="1:38">
      <c r="A553" t="s">
        <v>293</v>
      </c>
      <c r="B553" s="16" t="s">
        <v>294</v>
      </c>
      <c r="D553" t="s">
        <v>293</v>
      </c>
      <c r="E553" s="16" t="s">
        <v>294</v>
      </c>
      <c r="G553" t="s">
        <v>293</v>
      </c>
      <c r="H553" s="16" t="s">
        <v>294</v>
      </c>
      <c r="J553" t="s">
        <v>293</v>
      </c>
      <c r="K553" s="16" t="s">
        <v>294</v>
      </c>
      <c r="M553" t="s">
        <v>293</v>
      </c>
      <c r="N553" s="16" t="s">
        <v>294</v>
      </c>
      <c r="P553" t="s">
        <v>293</v>
      </c>
      <c r="Q553" s="16" t="s">
        <v>294</v>
      </c>
      <c r="S553" t="s">
        <v>293</v>
      </c>
      <c r="T553" s="16" t="s">
        <v>294</v>
      </c>
      <c r="V553" t="s">
        <v>293</v>
      </c>
      <c r="W553" s="16" t="s">
        <v>294</v>
      </c>
      <c r="Y553" t="s">
        <v>293</v>
      </c>
      <c r="Z553" s="16" t="s">
        <v>294</v>
      </c>
      <c r="AB553" t="s">
        <v>293</v>
      </c>
      <c r="AC553" s="16" t="s">
        <v>294</v>
      </c>
      <c r="AE553" t="s">
        <v>293</v>
      </c>
      <c r="AF553" s="16" t="s">
        <v>294</v>
      </c>
      <c r="AH553" t="s">
        <v>293</v>
      </c>
      <c r="AI553" s="16" t="s">
        <v>294</v>
      </c>
      <c r="AK553" t="s">
        <v>293</v>
      </c>
      <c r="AL553" s="16" t="s">
        <v>294</v>
      </c>
    </row>
    <row r="554" spans="1:38">
      <c r="A554">
        <v>0</v>
      </c>
      <c r="B554">
        <v>66.06726651780815</v>
      </c>
      <c r="D554">
        <v>0</v>
      </c>
      <c r="E554">
        <v>90.158413999999993</v>
      </c>
      <c r="G554">
        <v>0</v>
      </c>
      <c r="H554">
        <v>88.065225642857158</v>
      </c>
      <c r="J554">
        <v>0</v>
      </c>
      <c r="K554">
        <v>66.156500483870943</v>
      </c>
      <c r="M554">
        <v>0</v>
      </c>
      <c r="N554">
        <v>59.704382866666677</v>
      </c>
      <c r="P554">
        <v>0</v>
      </c>
      <c r="Q554">
        <v>59.48802048387099</v>
      </c>
      <c r="S554">
        <v>0</v>
      </c>
      <c r="T554">
        <v>58.629962800000001</v>
      </c>
      <c r="V554">
        <v>0</v>
      </c>
      <c r="W554">
        <v>61.492239483870961</v>
      </c>
      <c r="Y554">
        <v>0</v>
      </c>
      <c r="Z554">
        <v>61.873915677419355</v>
      </c>
      <c r="AB554">
        <v>0</v>
      </c>
      <c r="AC554">
        <v>57.001675933333324</v>
      </c>
      <c r="AE554">
        <v>0</v>
      </c>
      <c r="AF554">
        <v>58.076769483870969</v>
      </c>
      <c r="AH554">
        <v>0</v>
      </c>
      <c r="AI554">
        <v>59.642160166666649</v>
      </c>
      <c r="AK554">
        <v>0</v>
      </c>
      <c r="AL554">
        <v>73.701898709677437</v>
      </c>
    </row>
    <row r="555" spans="1:38">
      <c r="A555">
        <v>1</v>
      </c>
      <c r="B555">
        <v>63.134864928767151</v>
      </c>
      <c r="D555">
        <v>1</v>
      </c>
      <c r="E555">
        <v>88.864988806451606</v>
      </c>
      <c r="G555">
        <v>1</v>
      </c>
      <c r="H555">
        <v>86.415634678571436</v>
      </c>
      <c r="J555">
        <v>1</v>
      </c>
      <c r="K555">
        <v>63.214442000000005</v>
      </c>
      <c r="M555">
        <v>1</v>
      </c>
      <c r="N555">
        <v>56.744725666666668</v>
      </c>
      <c r="P555">
        <v>1</v>
      </c>
      <c r="Q555">
        <v>55.80875896774193</v>
      </c>
      <c r="S555">
        <v>1</v>
      </c>
      <c r="T555">
        <v>55.799888399999993</v>
      </c>
      <c r="V555">
        <v>1</v>
      </c>
      <c r="W555">
        <v>58.585500935483857</v>
      </c>
      <c r="Y555">
        <v>1</v>
      </c>
      <c r="Z555">
        <v>58.27705303225806</v>
      </c>
      <c r="AB555">
        <v>1</v>
      </c>
      <c r="AC555">
        <v>53.369474066666662</v>
      </c>
      <c r="AE555">
        <v>1</v>
      </c>
      <c r="AF555">
        <v>54.464740290322588</v>
      </c>
      <c r="AH555">
        <v>1</v>
      </c>
      <c r="AI555">
        <v>57.232870966666653</v>
      </c>
      <c r="AK555">
        <v>1</v>
      </c>
      <c r="AL555">
        <v>70.14513387096774</v>
      </c>
    </row>
    <row r="556" spans="1:38">
      <c r="A556">
        <v>2</v>
      </c>
      <c r="B556">
        <v>61.521952027397255</v>
      </c>
      <c r="D556">
        <v>2</v>
      </c>
      <c r="E556">
        <v>88.809005967741925</v>
      </c>
      <c r="G556">
        <v>2</v>
      </c>
      <c r="H556">
        <v>85.724599535714304</v>
      </c>
      <c r="J556">
        <v>2</v>
      </c>
      <c r="K556">
        <v>61.71314325806452</v>
      </c>
      <c r="M556">
        <v>2</v>
      </c>
      <c r="N556">
        <v>54.813924566666671</v>
      </c>
      <c r="P556">
        <v>2</v>
      </c>
      <c r="Q556">
        <v>54.426392129032259</v>
      </c>
      <c r="S556">
        <v>2</v>
      </c>
      <c r="T556">
        <v>53.775859033333326</v>
      </c>
      <c r="V556">
        <v>2</v>
      </c>
      <c r="W556">
        <v>56.742968129032256</v>
      </c>
      <c r="Y556">
        <v>2</v>
      </c>
      <c r="Z556">
        <v>56.177103258064513</v>
      </c>
      <c r="AB556">
        <v>2</v>
      </c>
      <c r="AC556">
        <v>50.933986066666662</v>
      </c>
      <c r="AE556">
        <v>2</v>
      </c>
      <c r="AF556">
        <v>52.014888032258064</v>
      </c>
      <c r="AH556">
        <v>2</v>
      </c>
      <c r="AI556">
        <v>55.796757766666666</v>
      </c>
      <c r="AK556">
        <v>2</v>
      </c>
      <c r="AL556">
        <v>68.684495354838717</v>
      </c>
    </row>
    <row r="557" spans="1:38">
      <c r="A557">
        <v>3</v>
      </c>
      <c r="B557">
        <v>60.699832772602662</v>
      </c>
      <c r="D557">
        <v>3</v>
      </c>
      <c r="E557">
        <v>89.202878096774199</v>
      </c>
      <c r="G557">
        <v>3</v>
      </c>
      <c r="H557">
        <v>85.603789642857151</v>
      </c>
      <c r="J557">
        <v>3</v>
      </c>
      <c r="K557">
        <v>61.33803235483871</v>
      </c>
      <c r="M557">
        <v>3</v>
      </c>
      <c r="N557">
        <v>54.088379233333328</v>
      </c>
      <c r="P557">
        <v>3</v>
      </c>
      <c r="Q557">
        <v>53.833482161290313</v>
      </c>
      <c r="S557">
        <v>3</v>
      </c>
      <c r="T557">
        <v>52.766783566666646</v>
      </c>
      <c r="V557">
        <v>3</v>
      </c>
      <c r="W557">
        <v>54.916589741935482</v>
      </c>
      <c r="Y557">
        <v>3</v>
      </c>
      <c r="Z557">
        <v>54.638895967741924</v>
      </c>
      <c r="AB557">
        <v>3</v>
      </c>
      <c r="AC557">
        <v>49.296456766666672</v>
      </c>
      <c r="AE557">
        <v>3</v>
      </c>
      <c r="AF557">
        <v>50.779859548387101</v>
      </c>
      <c r="AH557">
        <v>3</v>
      </c>
      <c r="AI557">
        <v>55.275898566666669</v>
      </c>
      <c r="AK557">
        <v>3</v>
      </c>
      <c r="AL557">
        <v>68.055013999999986</v>
      </c>
    </row>
    <row r="558" spans="1:38">
      <c r="A558">
        <v>4</v>
      </c>
      <c r="B558">
        <v>61.325659876712322</v>
      </c>
      <c r="D558">
        <v>4</v>
      </c>
      <c r="E558">
        <v>91.764314064516128</v>
      </c>
      <c r="G558">
        <v>4</v>
      </c>
      <c r="H558">
        <v>87.426258357142842</v>
      </c>
      <c r="J558">
        <v>4</v>
      </c>
      <c r="K558">
        <v>62.36324567741935</v>
      </c>
      <c r="M558">
        <v>4</v>
      </c>
      <c r="N558">
        <v>54.794858966666666</v>
      </c>
      <c r="P558">
        <v>4</v>
      </c>
      <c r="Q558">
        <v>53.815424548387099</v>
      </c>
      <c r="S558">
        <v>4</v>
      </c>
      <c r="T558">
        <v>52.688885433333319</v>
      </c>
      <c r="V558">
        <v>4</v>
      </c>
      <c r="W558">
        <v>54.69972222580644</v>
      </c>
      <c r="Y558">
        <v>4</v>
      </c>
      <c r="Z558">
        <v>53.651428548387102</v>
      </c>
      <c r="AB558">
        <v>4</v>
      </c>
      <c r="AC558">
        <v>49.101129399999998</v>
      </c>
      <c r="AE558">
        <v>4</v>
      </c>
      <c r="AF558">
        <v>51.6298496451613</v>
      </c>
      <c r="AH558">
        <v>4</v>
      </c>
      <c r="AI558">
        <v>56.328107466666665</v>
      </c>
      <c r="AK558">
        <v>4</v>
      </c>
      <c r="AL558">
        <v>69.125730870967757</v>
      </c>
    </row>
    <row r="559" spans="1:38">
      <c r="A559">
        <v>5</v>
      </c>
      <c r="B559">
        <v>65.404927893150656</v>
      </c>
      <c r="D559">
        <v>5</v>
      </c>
      <c r="E559">
        <v>101.58810032258064</v>
      </c>
      <c r="G559">
        <v>5</v>
      </c>
      <c r="H559">
        <v>92.881193642857156</v>
      </c>
      <c r="J559">
        <v>5</v>
      </c>
      <c r="K559">
        <v>67.130756096774206</v>
      </c>
      <c r="M559">
        <v>5</v>
      </c>
      <c r="N559">
        <v>58.479799166666673</v>
      </c>
      <c r="P559">
        <v>5</v>
      </c>
      <c r="Q559">
        <v>57.112972709677408</v>
      </c>
      <c r="S559">
        <v>5</v>
      </c>
      <c r="T559">
        <v>53.2757133</v>
      </c>
      <c r="V559">
        <v>5</v>
      </c>
      <c r="W559">
        <v>55.953383903225806</v>
      </c>
      <c r="Y559">
        <v>5</v>
      </c>
      <c r="Z559">
        <v>55.082209129032258</v>
      </c>
      <c r="AB559">
        <v>5</v>
      </c>
      <c r="AC559">
        <v>53.324120166666681</v>
      </c>
      <c r="AE559">
        <v>5</v>
      </c>
      <c r="AF559">
        <v>57.480666516129041</v>
      </c>
      <c r="AH559">
        <v>5</v>
      </c>
      <c r="AI559">
        <v>61.490864700000003</v>
      </c>
      <c r="AK559">
        <v>5</v>
      </c>
      <c r="AL559">
        <v>72.587728709677421</v>
      </c>
    </row>
    <row r="560" spans="1:38">
      <c r="A560">
        <v>6</v>
      </c>
      <c r="B560">
        <v>71.271323219178072</v>
      </c>
      <c r="D560">
        <v>6</v>
      </c>
      <c r="E560">
        <v>115.53680274193549</v>
      </c>
      <c r="G560">
        <v>6</v>
      </c>
      <c r="H560">
        <v>99.65006632142854</v>
      </c>
      <c r="J560">
        <v>6</v>
      </c>
      <c r="K560">
        <v>74.697487935483878</v>
      </c>
      <c r="M560">
        <v>6</v>
      </c>
      <c r="N560">
        <v>63.552050000000001</v>
      </c>
      <c r="P560">
        <v>6</v>
      </c>
      <c r="Q560">
        <v>62.572566741935496</v>
      </c>
      <c r="S560">
        <v>6</v>
      </c>
      <c r="T560">
        <v>56.102819833333328</v>
      </c>
      <c r="V560">
        <v>6</v>
      </c>
      <c r="W560">
        <v>58.575633193548384</v>
      </c>
      <c r="Y560">
        <v>6</v>
      </c>
      <c r="Z560">
        <v>59.462828774193532</v>
      </c>
      <c r="AB560">
        <v>6</v>
      </c>
      <c r="AC560">
        <v>58.135123266666675</v>
      </c>
      <c r="AE560">
        <v>6</v>
      </c>
      <c r="AF560">
        <v>63.144689225806452</v>
      </c>
      <c r="AH560">
        <v>6</v>
      </c>
      <c r="AI560">
        <v>68.706104100000005</v>
      </c>
      <c r="AK560">
        <v>6</v>
      </c>
      <c r="AL560">
        <v>76.621223709677423</v>
      </c>
    </row>
    <row r="561" spans="1:38">
      <c r="A561">
        <v>7</v>
      </c>
      <c r="B561">
        <v>75.93994400273975</v>
      </c>
      <c r="D561">
        <v>7</v>
      </c>
      <c r="E561">
        <v>121.83095874193549</v>
      </c>
      <c r="G561">
        <v>7</v>
      </c>
      <c r="H561">
        <v>105.36054103571428</v>
      </c>
      <c r="J561">
        <v>7</v>
      </c>
      <c r="K561">
        <v>78.795966064516136</v>
      </c>
      <c r="M561">
        <v>7</v>
      </c>
      <c r="N561">
        <v>67.64845636666665</v>
      </c>
      <c r="P561">
        <v>7</v>
      </c>
      <c r="Q561">
        <v>67.801476258064525</v>
      </c>
      <c r="S561">
        <v>7</v>
      </c>
      <c r="T561">
        <v>58.715701133333333</v>
      </c>
      <c r="V561">
        <v>7</v>
      </c>
      <c r="W561">
        <v>64.380287999999993</v>
      </c>
      <c r="Y561">
        <v>7</v>
      </c>
      <c r="Z561">
        <v>65.978259645161287</v>
      </c>
      <c r="AB561">
        <v>7</v>
      </c>
      <c r="AC561">
        <v>63.104399199999989</v>
      </c>
      <c r="AE561">
        <v>7</v>
      </c>
      <c r="AF561">
        <v>68.336928225806446</v>
      </c>
      <c r="AH561">
        <v>7</v>
      </c>
      <c r="AI561">
        <v>71.843835366666681</v>
      </c>
      <c r="AK561">
        <v>7</v>
      </c>
      <c r="AL561">
        <v>78.960402096774189</v>
      </c>
    </row>
    <row r="562" spans="1:38">
      <c r="A562">
        <v>8</v>
      </c>
      <c r="B562">
        <v>77.467342438356212</v>
      </c>
      <c r="D562">
        <v>8</v>
      </c>
      <c r="E562">
        <v>117.33027451612904</v>
      </c>
      <c r="G562">
        <v>8</v>
      </c>
      <c r="H562">
        <v>104.05881960714285</v>
      </c>
      <c r="J562">
        <v>8</v>
      </c>
      <c r="K562">
        <v>79.838253225806469</v>
      </c>
      <c r="M562">
        <v>8</v>
      </c>
      <c r="N562">
        <v>71.104735533333312</v>
      </c>
      <c r="P562">
        <v>8</v>
      </c>
      <c r="Q562">
        <v>68.390907870967737</v>
      </c>
      <c r="S562">
        <v>8</v>
      </c>
      <c r="T562">
        <v>61.170140300000007</v>
      </c>
      <c r="V562">
        <v>8</v>
      </c>
      <c r="W562">
        <v>69.059523967741924</v>
      </c>
      <c r="Y562">
        <v>8</v>
      </c>
      <c r="Z562">
        <v>71.201096000000021</v>
      </c>
      <c r="AB562">
        <v>8</v>
      </c>
      <c r="AC562">
        <v>66.128803466666668</v>
      </c>
      <c r="AE562">
        <v>8</v>
      </c>
      <c r="AF562">
        <v>70.637810774193568</v>
      </c>
      <c r="AH562">
        <v>8</v>
      </c>
      <c r="AI562">
        <v>72.449304400000003</v>
      </c>
      <c r="AK562">
        <v>8</v>
      </c>
      <c r="AL562">
        <v>79.553215258064512</v>
      </c>
    </row>
    <row r="563" spans="1:38">
      <c r="A563">
        <v>9</v>
      </c>
      <c r="B563">
        <v>80.235565706849343</v>
      </c>
      <c r="D563">
        <v>9</v>
      </c>
      <c r="E563">
        <v>118.59522912903228</v>
      </c>
      <c r="G563">
        <v>9</v>
      </c>
      <c r="H563">
        <v>104.60216557142859</v>
      </c>
      <c r="J563">
        <v>9</v>
      </c>
      <c r="K563">
        <v>81.551070774193548</v>
      </c>
      <c r="M563">
        <v>9</v>
      </c>
      <c r="N563">
        <v>73.208136600000003</v>
      </c>
      <c r="P563">
        <v>9</v>
      </c>
      <c r="Q563">
        <v>71.367029709677425</v>
      </c>
      <c r="S563">
        <v>9</v>
      </c>
      <c r="T563">
        <v>63.628203500000012</v>
      </c>
      <c r="V563">
        <v>9</v>
      </c>
      <c r="W563">
        <v>74.724255516129048</v>
      </c>
      <c r="Y563">
        <v>9</v>
      </c>
      <c r="Z563">
        <v>77.881546387096805</v>
      </c>
      <c r="AB563">
        <v>9</v>
      </c>
      <c r="AC563">
        <v>70.064334699999989</v>
      </c>
      <c r="AE563">
        <v>9</v>
      </c>
      <c r="AF563">
        <v>73.722867677419345</v>
      </c>
      <c r="AH563">
        <v>9</v>
      </c>
      <c r="AI563">
        <v>74.846584133333323</v>
      </c>
      <c r="AK563">
        <v>9</v>
      </c>
      <c r="AL563">
        <v>79.729067870967725</v>
      </c>
    </row>
    <row r="564" spans="1:38">
      <c r="A564">
        <v>10</v>
      </c>
      <c r="B564">
        <v>81.734640799999966</v>
      </c>
      <c r="D564">
        <v>10</v>
      </c>
      <c r="E564">
        <v>117.26280825806451</v>
      </c>
      <c r="G564">
        <v>10</v>
      </c>
      <c r="H564">
        <v>102.28119253571425</v>
      </c>
      <c r="J564">
        <v>10</v>
      </c>
      <c r="K564">
        <v>82.721292612903241</v>
      </c>
      <c r="M564">
        <v>10</v>
      </c>
      <c r="N564">
        <v>74.986648899999992</v>
      </c>
      <c r="P564">
        <v>10</v>
      </c>
      <c r="Q564">
        <v>72.655834483870976</v>
      </c>
      <c r="S564">
        <v>10</v>
      </c>
      <c r="T564">
        <v>65.81434063333333</v>
      </c>
      <c r="V564">
        <v>10</v>
      </c>
      <c r="W564">
        <v>79.25109519354838</v>
      </c>
      <c r="Y564">
        <v>10</v>
      </c>
      <c r="Z564">
        <v>83.85912616129032</v>
      </c>
      <c r="AB564">
        <v>10</v>
      </c>
      <c r="AC564">
        <v>74.017198966666669</v>
      </c>
      <c r="AE564">
        <v>10</v>
      </c>
      <c r="AF564">
        <v>75.018062354838705</v>
      </c>
      <c r="AH564">
        <v>10</v>
      </c>
      <c r="AI564">
        <v>74.9093096</v>
      </c>
      <c r="AK564">
        <v>10</v>
      </c>
      <c r="AL564">
        <v>78.826798935483865</v>
      </c>
    </row>
    <row r="565" spans="1:38">
      <c r="A565">
        <v>11</v>
      </c>
      <c r="B565">
        <v>81.995751698630116</v>
      </c>
      <c r="D565">
        <v>11</v>
      </c>
      <c r="E565">
        <v>112.0814773548387</v>
      </c>
      <c r="G565">
        <v>11</v>
      </c>
      <c r="H565">
        <v>99.754224214285728</v>
      </c>
      <c r="J565">
        <v>11</v>
      </c>
      <c r="K565">
        <v>81.479338387096774</v>
      </c>
      <c r="M565">
        <v>11</v>
      </c>
      <c r="N565">
        <v>75.113084433333341</v>
      </c>
      <c r="P565">
        <v>11</v>
      </c>
      <c r="Q565">
        <v>71.852757290322586</v>
      </c>
      <c r="S565">
        <v>11</v>
      </c>
      <c r="T565">
        <v>67.791198500000021</v>
      </c>
      <c r="V565">
        <v>11</v>
      </c>
      <c r="W565">
        <v>83.637232838709693</v>
      </c>
      <c r="Y565">
        <v>11</v>
      </c>
      <c r="Z565">
        <v>88.984683870967729</v>
      </c>
      <c r="AB565">
        <v>11</v>
      </c>
      <c r="AC565">
        <v>76.376480033333337</v>
      </c>
      <c r="AE565">
        <v>11</v>
      </c>
      <c r="AF565">
        <v>75.251770161290338</v>
      </c>
      <c r="AH565">
        <v>11</v>
      </c>
      <c r="AI565">
        <v>74.652310066666658</v>
      </c>
      <c r="AK565">
        <v>11</v>
      </c>
      <c r="AL565">
        <v>77.594640129032271</v>
      </c>
    </row>
    <row r="566" spans="1:38">
      <c r="A566">
        <v>12</v>
      </c>
      <c r="B566">
        <v>80.953873682191755</v>
      </c>
      <c r="D566">
        <v>12</v>
      </c>
      <c r="E566">
        <v>105.79063303225809</v>
      </c>
      <c r="G566">
        <v>12</v>
      </c>
      <c r="H566">
        <v>95.991491035714304</v>
      </c>
      <c r="J566">
        <v>12</v>
      </c>
      <c r="K566">
        <v>79.304434322580661</v>
      </c>
      <c r="M566">
        <v>12</v>
      </c>
      <c r="N566">
        <v>73.588913566666676</v>
      </c>
      <c r="P566">
        <v>12</v>
      </c>
      <c r="Q566">
        <v>70.459705032258086</v>
      </c>
      <c r="S566">
        <v>12</v>
      </c>
      <c r="T566">
        <v>67.566346933333335</v>
      </c>
      <c r="V566">
        <v>12</v>
      </c>
      <c r="W566">
        <v>86.531848580645146</v>
      </c>
      <c r="Y566">
        <v>12</v>
      </c>
      <c r="Z566">
        <v>91.289863645161304</v>
      </c>
      <c r="AB566">
        <v>12</v>
      </c>
      <c r="AC566">
        <v>77.878288533333318</v>
      </c>
      <c r="AE566">
        <v>12</v>
      </c>
      <c r="AF566">
        <v>73.697480645161292</v>
      </c>
      <c r="AH566">
        <v>12</v>
      </c>
      <c r="AI566">
        <v>73.276149900000021</v>
      </c>
      <c r="AK566">
        <v>12</v>
      </c>
      <c r="AL566">
        <v>76.510266258064505</v>
      </c>
    </row>
    <row r="567" spans="1:38">
      <c r="A567">
        <v>13</v>
      </c>
      <c r="B567">
        <v>80.735912956164412</v>
      </c>
      <c r="D567">
        <v>13</v>
      </c>
      <c r="E567">
        <v>102.82115770967745</v>
      </c>
      <c r="G567">
        <v>13</v>
      </c>
      <c r="H567">
        <v>94.261067464285688</v>
      </c>
      <c r="J567">
        <v>13</v>
      </c>
      <c r="K567">
        <v>77.312231935483879</v>
      </c>
      <c r="M567">
        <v>13</v>
      </c>
      <c r="N567">
        <v>72.59311653333333</v>
      </c>
      <c r="P567">
        <v>13</v>
      </c>
      <c r="Q567">
        <v>69.665657032258054</v>
      </c>
      <c r="S567">
        <v>13</v>
      </c>
      <c r="T567">
        <v>69.07945593333335</v>
      </c>
      <c r="V567">
        <v>13</v>
      </c>
      <c r="W567">
        <v>87.664026258064524</v>
      </c>
      <c r="Y567">
        <v>13</v>
      </c>
      <c r="Z567">
        <v>94.987292193548399</v>
      </c>
      <c r="AB567">
        <v>13</v>
      </c>
      <c r="AC567">
        <v>78.935480633333341</v>
      </c>
      <c r="AE567">
        <v>13</v>
      </c>
      <c r="AF567">
        <v>73.880174451612916</v>
      </c>
      <c r="AH567">
        <v>13</v>
      </c>
      <c r="AI567">
        <v>72.544115899999994</v>
      </c>
      <c r="AK567">
        <v>13</v>
      </c>
      <c r="AL567">
        <v>75.43504977419353</v>
      </c>
    </row>
    <row r="568" spans="1:38">
      <c r="A568">
        <v>14</v>
      </c>
      <c r="B568">
        <v>79.928856926027393</v>
      </c>
      <c r="D568">
        <v>14</v>
      </c>
      <c r="E568">
        <v>100.46160422580643</v>
      </c>
      <c r="G568">
        <v>14</v>
      </c>
      <c r="H568">
        <v>91.64864132142857</v>
      </c>
      <c r="J568">
        <v>14</v>
      </c>
      <c r="K568">
        <v>74.651519032258065</v>
      </c>
      <c r="M568">
        <v>14</v>
      </c>
      <c r="N568">
        <v>71.170841866666692</v>
      </c>
      <c r="P568">
        <v>14</v>
      </c>
      <c r="Q568">
        <v>68.731560677419367</v>
      </c>
      <c r="S568">
        <v>14</v>
      </c>
      <c r="T568">
        <v>69.529740300000014</v>
      </c>
      <c r="V568">
        <v>14</v>
      </c>
      <c r="W568">
        <v>88.506852258064541</v>
      </c>
      <c r="Y568">
        <v>14</v>
      </c>
      <c r="Z568">
        <v>97.850316225806466</v>
      </c>
      <c r="AB568">
        <v>14</v>
      </c>
      <c r="AC568">
        <v>78.197069333333332</v>
      </c>
      <c r="AE568">
        <v>14</v>
      </c>
      <c r="AF568">
        <v>72.527164451612904</v>
      </c>
      <c r="AH568">
        <v>14</v>
      </c>
      <c r="AI568">
        <v>71.520558266666683</v>
      </c>
      <c r="AK568">
        <v>14</v>
      </c>
      <c r="AL568">
        <v>74.539516290322567</v>
      </c>
    </row>
    <row r="569" spans="1:38">
      <c r="A569">
        <v>15</v>
      </c>
      <c r="B569">
        <v>79.962364180821965</v>
      </c>
      <c r="D569">
        <v>15</v>
      </c>
      <c r="E569">
        <v>103.16102600000001</v>
      </c>
      <c r="G569">
        <v>15</v>
      </c>
      <c r="H569">
        <v>91.233608464285709</v>
      </c>
      <c r="J569">
        <v>15</v>
      </c>
      <c r="K569">
        <v>74.086646483870979</v>
      </c>
      <c r="M569">
        <v>15</v>
      </c>
      <c r="N569">
        <v>69.901771499999995</v>
      </c>
      <c r="P569">
        <v>15</v>
      </c>
      <c r="Q569">
        <v>68.133508935483889</v>
      </c>
      <c r="S569">
        <v>15</v>
      </c>
      <c r="T569">
        <v>68.497598499999995</v>
      </c>
      <c r="V569">
        <v>15</v>
      </c>
      <c r="W569">
        <v>89.410854709677423</v>
      </c>
      <c r="Y569">
        <v>15</v>
      </c>
      <c r="Z569">
        <v>97.577123354838719</v>
      </c>
      <c r="AB569">
        <v>15</v>
      </c>
      <c r="AC569">
        <v>77.810537900000014</v>
      </c>
      <c r="AE569">
        <v>15</v>
      </c>
      <c r="AF569">
        <v>72.172572483870979</v>
      </c>
      <c r="AH569">
        <v>15</v>
      </c>
      <c r="AI569">
        <v>72.027175933333339</v>
      </c>
      <c r="AK569">
        <v>15</v>
      </c>
      <c r="AL569">
        <v>75.606957516129043</v>
      </c>
    </row>
    <row r="570" spans="1:38">
      <c r="A570">
        <v>16</v>
      </c>
      <c r="B570">
        <v>82.816147084931501</v>
      </c>
      <c r="D570">
        <v>16</v>
      </c>
      <c r="E570">
        <v>111.30209596774196</v>
      </c>
      <c r="G570">
        <v>16</v>
      </c>
      <c r="H570">
        <v>93.866653642857131</v>
      </c>
      <c r="J570">
        <v>16</v>
      </c>
      <c r="K570">
        <v>75.925851451612914</v>
      </c>
      <c r="M570">
        <v>16</v>
      </c>
      <c r="N570">
        <v>70.936376333333314</v>
      </c>
      <c r="P570">
        <v>16</v>
      </c>
      <c r="Q570">
        <v>68.750444806451597</v>
      </c>
      <c r="S570">
        <v>16</v>
      </c>
      <c r="T570">
        <v>68.667913600000006</v>
      </c>
      <c r="V570">
        <v>16</v>
      </c>
      <c r="W570">
        <v>92.017495419354844</v>
      </c>
      <c r="Y570">
        <v>16</v>
      </c>
      <c r="Z570">
        <v>101.763243</v>
      </c>
      <c r="AB570">
        <v>16</v>
      </c>
      <c r="AC570">
        <v>79.02930253333335</v>
      </c>
      <c r="AE570">
        <v>16</v>
      </c>
      <c r="AF570">
        <v>73.535212064516131</v>
      </c>
      <c r="AH570">
        <v>16</v>
      </c>
      <c r="AI570">
        <v>78.281653533333312</v>
      </c>
      <c r="AK570">
        <v>16</v>
      </c>
      <c r="AL570">
        <v>79.678883225806459</v>
      </c>
    </row>
    <row r="571" spans="1:38">
      <c r="A571">
        <v>17</v>
      </c>
      <c r="B571">
        <v>87.841778805479422</v>
      </c>
      <c r="D571">
        <v>17</v>
      </c>
      <c r="E571">
        <v>130.67656012903228</v>
      </c>
      <c r="G571">
        <v>17</v>
      </c>
      <c r="H571">
        <v>99.298130035714294</v>
      </c>
      <c r="J571">
        <v>17</v>
      </c>
      <c r="K571">
        <v>80.418865290322557</v>
      </c>
      <c r="M571">
        <v>17</v>
      </c>
      <c r="N571">
        <v>72.089440799999991</v>
      </c>
      <c r="P571">
        <v>17</v>
      </c>
      <c r="Q571">
        <v>70.257074612903239</v>
      </c>
      <c r="S571">
        <v>17</v>
      </c>
      <c r="T571">
        <v>69.809570699999995</v>
      </c>
      <c r="V571">
        <v>17</v>
      </c>
      <c r="W571">
        <v>92.930604258064506</v>
      </c>
      <c r="Y571">
        <v>17</v>
      </c>
      <c r="Z571">
        <v>99.651485741935502</v>
      </c>
      <c r="AB571">
        <v>17</v>
      </c>
      <c r="AC571">
        <v>78.535713299999998</v>
      </c>
      <c r="AE571">
        <v>17</v>
      </c>
      <c r="AF571">
        <v>76.930607774193533</v>
      </c>
      <c r="AH571">
        <v>17</v>
      </c>
      <c r="AI571">
        <v>86.236040933333328</v>
      </c>
      <c r="AK571">
        <v>17</v>
      </c>
      <c r="AL571">
        <v>96.934113516129059</v>
      </c>
    </row>
    <row r="572" spans="1:38">
      <c r="A572">
        <v>18</v>
      </c>
      <c r="B572">
        <v>89.718576517808259</v>
      </c>
      <c r="D572">
        <v>18</v>
      </c>
      <c r="E572">
        <v>137.11779812903225</v>
      </c>
      <c r="G572">
        <v>18</v>
      </c>
      <c r="H572">
        <v>110.74856282142856</v>
      </c>
      <c r="J572">
        <v>18</v>
      </c>
      <c r="K572">
        <v>88.634018483870975</v>
      </c>
      <c r="M572">
        <v>18</v>
      </c>
      <c r="N572">
        <v>73.998205300000009</v>
      </c>
      <c r="P572">
        <v>18</v>
      </c>
      <c r="Q572">
        <v>69.333454064516133</v>
      </c>
      <c r="S572">
        <v>18</v>
      </c>
      <c r="T572">
        <v>67.745715866666671</v>
      </c>
      <c r="V572">
        <v>18</v>
      </c>
      <c r="W572">
        <v>90.674310032258049</v>
      </c>
      <c r="Y572">
        <v>18</v>
      </c>
      <c r="Z572">
        <v>94.92819332258064</v>
      </c>
      <c r="AB572">
        <v>18</v>
      </c>
      <c r="AC572">
        <v>78.31882653333335</v>
      </c>
      <c r="AE572">
        <v>18</v>
      </c>
      <c r="AF572">
        <v>82.298293290322562</v>
      </c>
      <c r="AH572">
        <v>18</v>
      </c>
      <c r="AI572">
        <v>85.146652933333328</v>
      </c>
      <c r="AK572">
        <v>18</v>
      </c>
      <c r="AL572">
        <v>97.982921419354867</v>
      </c>
    </row>
    <row r="573" spans="1:38">
      <c r="A573">
        <v>19</v>
      </c>
      <c r="B573">
        <v>88.773204545205402</v>
      </c>
      <c r="D573">
        <v>19</v>
      </c>
      <c r="E573">
        <v>130.22857274193549</v>
      </c>
      <c r="G573">
        <v>19</v>
      </c>
      <c r="H573">
        <v>109.17886796428573</v>
      </c>
      <c r="J573">
        <v>19</v>
      </c>
      <c r="K573">
        <v>91.341491451612868</v>
      </c>
      <c r="M573">
        <v>19</v>
      </c>
      <c r="N573">
        <v>79.50723326666666</v>
      </c>
      <c r="P573">
        <v>19</v>
      </c>
      <c r="Q573">
        <v>69.685091096774201</v>
      </c>
      <c r="S573">
        <v>19</v>
      </c>
      <c r="T573">
        <v>67.601661366666676</v>
      </c>
      <c r="V573">
        <v>19</v>
      </c>
      <c r="W573">
        <v>88.085886000000002</v>
      </c>
      <c r="Y573">
        <v>19</v>
      </c>
      <c r="Z573">
        <v>89.047651483870993</v>
      </c>
      <c r="AB573">
        <v>19</v>
      </c>
      <c r="AC573">
        <v>81.843776199999965</v>
      </c>
      <c r="AE573">
        <v>19</v>
      </c>
      <c r="AF573">
        <v>83.963086225806464</v>
      </c>
      <c r="AH573">
        <v>19</v>
      </c>
      <c r="AI573">
        <v>81.854968533333334</v>
      </c>
      <c r="AK573">
        <v>19</v>
      </c>
      <c r="AL573">
        <v>93.48635567741934</v>
      </c>
    </row>
    <row r="574" spans="1:38">
      <c r="A574">
        <v>20</v>
      </c>
      <c r="B574">
        <v>86.773904471232825</v>
      </c>
      <c r="D574">
        <v>20</v>
      </c>
      <c r="E574">
        <v>121.3321667419355</v>
      </c>
      <c r="G574">
        <v>20</v>
      </c>
      <c r="H574">
        <v>106.3395075</v>
      </c>
      <c r="J574">
        <v>20</v>
      </c>
      <c r="K574">
        <v>87.581892032258068</v>
      </c>
      <c r="M574">
        <v>20</v>
      </c>
      <c r="N574">
        <v>82.31932363333334</v>
      </c>
      <c r="P574">
        <v>20</v>
      </c>
      <c r="Q574">
        <v>74.230368258064516</v>
      </c>
      <c r="S574">
        <v>20</v>
      </c>
      <c r="T574">
        <v>68.784489333333354</v>
      </c>
      <c r="V574">
        <v>20</v>
      </c>
      <c r="W574">
        <v>86.844926096774188</v>
      </c>
      <c r="Y574">
        <v>20</v>
      </c>
      <c r="Z574">
        <v>88.928085032258053</v>
      </c>
      <c r="AB574">
        <v>20</v>
      </c>
      <c r="AC574">
        <v>80.351486699999995</v>
      </c>
      <c r="AE574">
        <v>20</v>
      </c>
      <c r="AF574">
        <v>80.519977935483837</v>
      </c>
      <c r="AH574">
        <v>20</v>
      </c>
      <c r="AI574">
        <v>77.203176900000003</v>
      </c>
      <c r="AK574">
        <v>20</v>
      </c>
      <c r="AL574">
        <v>87.50499116129032</v>
      </c>
    </row>
    <row r="575" spans="1:38">
      <c r="A575">
        <v>21</v>
      </c>
      <c r="B575">
        <v>81.967199624657567</v>
      </c>
      <c r="D575">
        <v>21</v>
      </c>
      <c r="E575">
        <v>111.97499870967742</v>
      </c>
      <c r="G575">
        <v>21</v>
      </c>
      <c r="H575">
        <v>99.037622749999997</v>
      </c>
      <c r="J575">
        <v>21</v>
      </c>
      <c r="K575">
        <v>79.835719064516127</v>
      </c>
      <c r="M575">
        <v>21</v>
      </c>
      <c r="N575">
        <v>76.966428666666658</v>
      </c>
      <c r="P575">
        <v>21</v>
      </c>
      <c r="Q575">
        <v>75.156418032258074</v>
      </c>
      <c r="S575">
        <v>21</v>
      </c>
      <c r="T575">
        <v>70.500159899999986</v>
      </c>
      <c r="V575">
        <v>21</v>
      </c>
      <c r="W575">
        <v>85.03816125806452</v>
      </c>
      <c r="Y575">
        <v>21</v>
      </c>
      <c r="Z575">
        <v>85.816701548387115</v>
      </c>
      <c r="AB575">
        <v>21</v>
      </c>
      <c r="AC575">
        <v>75.194817833333317</v>
      </c>
      <c r="AE575">
        <v>21</v>
      </c>
      <c r="AF575">
        <v>74.178214193548357</v>
      </c>
      <c r="AH575">
        <v>21</v>
      </c>
      <c r="AI575">
        <v>71.637040366666668</v>
      </c>
      <c r="AK575">
        <v>21</v>
      </c>
      <c r="AL575">
        <v>78.839175032258069</v>
      </c>
    </row>
    <row r="576" spans="1:38">
      <c r="A576">
        <v>22</v>
      </c>
      <c r="B576">
        <v>76.645903613698621</v>
      </c>
      <c r="D576">
        <v>22</v>
      </c>
      <c r="E576">
        <v>106.46996625806452</v>
      </c>
      <c r="G576">
        <v>22</v>
      </c>
      <c r="H576">
        <v>96.201786892857143</v>
      </c>
      <c r="J576">
        <v>22</v>
      </c>
      <c r="K576">
        <v>74.904566354838693</v>
      </c>
      <c r="M576">
        <v>22</v>
      </c>
      <c r="N576">
        <v>69.798756533333318</v>
      </c>
      <c r="P576">
        <v>22</v>
      </c>
      <c r="Q576">
        <v>73.072932419354828</v>
      </c>
      <c r="S576">
        <v>22</v>
      </c>
      <c r="T576">
        <v>66.457942233333341</v>
      </c>
      <c r="V576">
        <v>22</v>
      </c>
      <c r="W576">
        <v>76.270691000000014</v>
      </c>
      <c r="Y576">
        <v>22</v>
      </c>
      <c r="Z576">
        <v>76.423998870967736</v>
      </c>
      <c r="AB576">
        <v>22</v>
      </c>
      <c r="AC576">
        <v>67.721894599999985</v>
      </c>
      <c r="AE576">
        <v>22</v>
      </c>
      <c r="AF576">
        <v>69.811037419354832</v>
      </c>
      <c r="AH576">
        <v>22</v>
      </c>
      <c r="AI576">
        <v>67.473665933333322</v>
      </c>
      <c r="AK576">
        <v>22</v>
      </c>
      <c r="AL576">
        <v>75.902840161290328</v>
      </c>
    </row>
    <row r="577" spans="1:38">
      <c r="A577">
        <v>23</v>
      </c>
      <c r="B577">
        <v>70.733502635616446</v>
      </c>
      <c r="D577">
        <v>23</v>
      </c>
      <c r="E577">
        <v>99.901602258064528</v>
      </c>
      <c r="G577">
        <v>23</v>
      </c>
      <c r="H577">
        <v>93.271279821428593</v>
      </c>
      <c r="J577">
        <v>23</v>
      </c>
      <c r="K577">
        <v>69.610716366666665</v>
      </c>
      <c r="M577">
        <v>23</v>
      </c>
      <c r="N577">
        <v>64.452665933333321</v>
      </c>
      <c r="P577">
        <v>23</v>
      </c>
      <c r="Q577">
        <v>66.510193516129036</v>
      </c>
      <c r="S577">
        <v>23</v>
      </c>
      <c r="T577">
        <v>62.329827499999993</v>
      </c>
      <c r="V577">
        <v>23</v>
      </c>
      <c r="W577">
        <v>66.900978774193547</v>
      </c>
      <c r="Y577">
        <v>23</v>
      </c>
      <c r="Z577">
        <v>66.578807838709665</v>
      </c>
      <c r="AB577">
        <v>23</v>
      </c>
      <c r="AC577">
        <v>58.795120366666659</v>
      </c>
      <c r="AE577">
        <v>23</v>
      </c>
      <c r="AF577">
        <v>63.853491806451601</v>
      </c>
      <c r="AH577">
        <v>23</v>
      </c>
      <c r="AI577">
        <v>64.186166129032259</v>
      </c>
      <c r="AK577">
        <v>23</v>
      </c>
      <c r="AL577">
        <v>73.697234580645159</v>
      </c>
    </row>
    <row r="578" spans="1:38">
      <c r="A578" t="s">
        <v>328</v>
      </c>
      <c r="B578">
        <v>76.402095705251142</v>
      </c>
      <c r="D578" t="s">
        <v>328</v>
      </c>
      <c r="E578">
        <v>108.92764307930109</v>
      </c>
      <c r="G578" t="s">
        <v>328</v>
      </c>
      <c r="H578">
        <v>96.787538770833308</v>
      </c>
      <c r="J578" t="s">
        <v>328</v>
      </c>
      <c r="K578">
        <v>75.60864504753583</v>
      </c>
      <c r="M578" t="s">
        <v>328</v>
      </c>
      <c r="N578">
        <v>68.398427343055559</v>
      </c>
      <c r="P578" t="s">
        <v>328</v>
      </c>
      <c r="Q578">
        <v>66.379667993279568</v>
      </c>
      <c r="S578" t="s">
        <v>328</v>
      </c>
      <c r="T578">
        <v>63.197079941666658</v>
      </c>
      <c r="V578" t="s">
        <v>328</v>
      </c>
      <c r="W578">
        <v>75.120627823924721</v>
      </c>
      <c r="Y578" t="s">
        <v>328</v>
      </c>
      <c r="Z578">
        <v>77.99628786290323</v>
      </c>
      <c r="AB578" t="s">
        <v>328</v>
      </c>
      <c r="AC578">
        <v>68.061062354166651</v>
      </c>
      <c r="AE578" t="s">
        <v>328</v>
      </c>
      <c r="AF578">
        <v>68.663592278225792</v>
      </c>
      <c r="AH578" t="s">
        <v>328</v>
      </c>
      <c r="AI578">
        <v>70.190061356765241</v>
      </c>
      <c r="AK578" t="s">
        <v>328</v>
      </c>
      <c r="AL578">
        <v>78.320985588709675</v>
      </c>
    </row>
    <row r="581" spans="1:38">
      <c r="A581" s="94">
        <v>2034</v>
      </c>
      <c r="B581" s="99" t="s">
        <v>325</v>
      </c>
      <c r="D581">
        <v>1</v>
      </c>
      <c r="E581" s="99" t="s">
        <v>316</v>
      </c>
      <c r="G581">
        <v>2</v>
      </c>
      <c r="H581" s="99" t="s">
        <v>316</v>
      </c>
      <c r="J581">
        <v>3</v>
      </c>
      <c r="K581" s="99" t="s">
        <v>316</v>
      </c>
      <c r="M581">
        <v>4</v>
      </c>
      <c r="N581" s="99" t="s">
        <v>316</v>
      </c>
      <c r="P581">
        <v>5</v>
      </c>
      <c r="Q581" s="99" t="s">
        <v>316</v>
      </c>
      <c r="S581">
        <v>6</v>
      </c>
      <c r="T581" s="99" t="s">
        <v>316</v>
      </c>
      <c r="V581">
        <v>7</v>
      </c>
      <c r="W581" s="99" t="s">
        <v>316</v>
      </c>
      <c r="Y581">
        <v>8</v>
      </c>
      <c r="Z581" s="99" t="s">
        <v>316</v>
      </c>
      <c r="AB581">
        <v>9</v>
      </c>
      <c r="AC581" s="99" t="s">
        <v>316</v>
      </c>
      <c r="AE581">
        <v>10</v>
      </c>
      <c r="AF581" s="99" t="s">
        <v>316</v>
      </c>
      <c r="AH581">
        <v>11</v>
      </c>
      <c r="AI581" s="99" t="s">
        <v>316</v>
      </c>
      <c r="AK581">
        <v>12</v>
      </c>
      <c r="AL581" s="99" t="s">
        <v>316</v>
      </c>
    </row>
    <row r="582" spans="1:38">
      <c r="A582" s="94" t="s">
        <v>308</v>
      </c>
      <c r="B582" s="58">
        <v>8760</v>
      </c>
      <c r="D582" s="94" t="s">
        <v>397</v>
      </c>
      <c r="E582" s="58">
        <v>744</v>
      </c>
      <c r="G582" s="94" t="s">
        <v>398</v>
      </c>
      <c r="H582" s="58">
        <v>672</v>
      </c>
      <c r="J582" s="94" t="s">
        <v>399</v>
      </c>
      <c r="K582" s="58">
        <v>743</v>
      </c>
      <c r="M582" s="94" t="s">
        <v>400</v>
      </c>
      <c r="N582" s="58">
        <v>720</v>
      </c>
      <c r="P582" s="94" t="s">
        <v>401</v>
      </c>
      <c r="Q582" s="58">
        <v>744</v>
      </c>
      <c r="S582" s="94" t="s">
        <v>402</v>
      </c>
      <c r="T582" s="58">
        <v>720</v>
      </c>
      <c r="V582" s="94" t="s">
        <v>403</v>
      </c>
      <c r="W582" s="58">
        <v>744</v>
      </c>
      <c r="Y582" s="94" t="s">
        <v>404</v>
      </c>
      <c r="Z582" s="58">
        <v>744</v>
      </c>
      <c r="AB582" s="94" t="s">
        <v>405</v>
      </c>
      <c r="AC582" s="58">
        <v>720</v>
      </c>
      <c r="AE582" s="94" t="s">
        <v>406</v>
      </c>
      <c r="AF582" s="58">
        <v>744</v>
      </c>
      <c r="AH582" s="94" t="s">
        <v>407</v>
      </c>
      <c r="AI582" s="58">
        <v>721</v>
      </c>
      <c r="AK582" s="94" t="s">
        <v>408</v>
      </c>
      <c r="AL582" s="58">
        <v>744</v>
      </c>
    </row>
    <row r="583" spans="1:38">
      <c r="A583" s="94" t="s">
        <v>326</v>
      </c>
      <c r="B583" s="58">
        <v>0</v>
      </c>
      <c r="D583" s="94" t="s">
        <v>326</v>
      </c>
      <c r="E583" s="58">
        <v>0</v>
      </c>
      <c r="G583" s="94" t="s">
        <v>326</v>
      </c>
      <c r="H583" s="58">
        <v>744</v>
      </c>
      <c r="J583" s="94" t="s">
        <v>326</v>
      </c>
      <c r="K583" s="58">
        <v>1416</v>
      </c>
      <c r="M583" s="94" t="s">
        <v>326</v>
      </c>
      <c r="N583" s="58">
        <v>2159</v>
      </c>
      <c r="P583" s="94" t="s">
        <v>326</v>
      </c>
      <c r="Q583" s="58">
        <v>2879</v>
      </c>
      <c r="S583" s="94" t="s">
        <v>326</v>
      </c>
      <c r="T583" s="58">
        <v>3623</v>
      </c>
      <c r="V583" s="94" t="s">
        <v>326</v>
      </c>
      <c r="W583" s="58">
        <v>4343</v>
      </c>
      <c r="Y583" s="94" t="s">
        <v>326</v>
      </c>
      <c r="Z583" s="58">
        <v>5087</v>
      </c>
      <c r="AB583" s="94" t="s">
        <v>326</v>
      </c>
      <c r="AC583" s="58">
        <v>5831</v>
      </c>
      <c r="AE583" s="94" t="s">
        <v>326</v>
      </c>
      <c r="AF583" s="58">
        <v>6551</v>
      </c>
      <c r="AH583" s="94" t="s">
        <v>326</v>
      </c>
      <c r="AI583" s="58">
        <v>7295</v>
      </c>
      <c r="AK583" s="94" t="s">
        <v>326</v>
      </c>
      <c r="AL583" s="58">
        <v>8016</v>
      </c>
    </row>
    <row r="584" spans="1:38">
      <c r="A584" s="94" t="s">
        <v>327</v>
      </c>
      <c r="B584" s="58">
        <v>8760</v>
      </c>
      <c r="D584" s="94" t="s">
        <v>327</v>
      </c>
      <c r="E584" s="58">
        <v>744</v>
      </c>
      <c r="G584" s="94" t="s">
        <v>327</v>
      </c>
      <c r="H584" s="58">
        <v>1416</v>
      </c>
      <c r="J584" s="94" t="s">
        <v>327</v>
      </c>
      <c r="K584" s="58">
        <v>2159</v>
      </c>
      <c r="M584" s="94" t="s">
        <v>327</v>
      </c>
      <c r="N584" s="58">
        <v>2879</v>
      </c>
      <c r="P584" s="94" t="s">
        <v>327</v>
      </c>
      <c r="Q584" s="58">
        <v>3623</v>
      </c>
      <c r="S584" s="94" t="s">
        <v>327</v>
      </c>
      <c r="T584" s="58">
        <v>4343</v>
      </c>
      <c r="V584" s="94" t="s">
        <v>327</v>
      </c>
      <c r="W584" s="58">
        <v>5087</v>
      </c>
      <c r="Y584" s="94" t="s">
        <v>327</v>
      </c>
      <c r="Z584" s="58">
        <v>5831</v>
      </c>
      <c r="AB584" s="94" t="s">
        <v>327</v>
      </c>
      <c r="AC584" s="58">
        <v>6551</v>
      </c>
      <c r="AE584" s="94" t="s">
        <v>327</v>
      </c>
      <c r="AF584" s="58">
        <v>7295</v>
      </c>
      <c r="AH584" s="94" t="s">
        <v>327</v>
      </c>
      <c r="AI584" s="58">
        <v>8016</v>
      </c>
      <c r="AK584" s="94" t="s">
        <v>327</v>
      </c>
      <c r="AL584" s="58">
        <v>8760</v>
      </c>
    </row>
    <row r="585" spans="1:38">
      <c r="A585" t="s">
        <v>293</v>
      </c>
      <c r="B585" s="16" t="s">
        <v>294</v>
      </c>
      <c r="D585" t="s">
        <v>293</v>
      </c>
      <c r="E585" s="16" t="s">
        <v>294</v>
      </c>
      <c r="G585" t="s">
        <v>293</v>
      </c>
      <c r="H585" s="16" t="s">
        <v>294</v>
      </c>
      <c r="J585" t="s">
        <v>293</v>
      </c>
      <c r="K585" s="16" t="s">
        <v>294</v>
      </c>
      <c r="M585" t="s">
        <v>293</v>
      </c>
      <c r="N585" s="16" t="s">
        <v>294</v>
      </c>
      <c r="P585" t="s">
        <v>293</v>
      </c>
      <c r="Q585" s="16" t="s">
        <v>294</v>
      </c>
      <c r="S585" t="s">
        <v>293</v>
      </c>
      <c r="T585" s="16" t="s">
        <v>294</v>
      </c>
      <c r="V585" t="s">
        <v>293</v>
      </c>
      <c r="W585" s="16" t="s">
        <v>294</v>
      </c>
      <c r="Y585" t="s">
        <v>293</v>
      </c>
      <c r="Z585" s="16" t="s">
        <v>294</v>
      </c>
      <c r="AB585" t="s">
        <v>293</v>
      </c>
      <c r="AC585" s="16" t="s">
        <v>294</v>
      </c>
      <c r="AE585" t="s">
        <v>293</v>
      </c>
      <c r="AF585" s="16" t="s">
        <v>294</v>
      </c>
      <c r="AH585" t="s">
        <v>293</v>
      </c>
      <c r="AI585" s="16" t="s">
        <v>294</v>
      </c>
      <c r="AK585" t="s">
        <v>293</v>
      </c>
      <c r="AL585" s="16" t="s">
        <v>294</v>
      </c>
    </row>
    <row r="586" spans="1:38">
      <c r="A586">
        <v>0</v>
      </c>
      <c r="B586">
        <v>68.164571101369901</v>
      </c>
      <c r="D586">
        <v>0</v>
      </c>
      <c r="E586">
        <v>93.529274161290317</v>
      </c>
      <c r="G586">
        <v>0</v>
      </c>
      <c r="H586">
        <v>88.109948607142869</v>
      </c>
      <c r="J586">
        <v>0</v>
      </c>
      <c r="K586">
        <v>67.930228580645164</v>
      </c>
      <c r="M586">
        <v>0</v>
      </c>
      <c r="N586">
        <v>62.202246066666639</v>
      </c>
      <c r="P586">
        <v>0</v>
      </c>
      <c r="Q586">
        <v>61.560795483870976</v>
      </c>
      <c r="S586">
        <v>0</v>
      </c>
      <c r="T586">
        <v>60.695285600000005</v>
      </c>
      <c r="V586">
        <v>0</v>
      </c>
      <c r="W586">
        <v>63.842574225806459</v>
      </c>
      <c r="Y586">
        <v>0</v>
      </c>
      <c r="Z586">
        <v>63.546024161290319</v>
      </c>
      <c r="AB586">
        <v>0</v>
      </c>
      <c r="AC586">
        <v>58.882053300000003</v>
      </c>
      <c r="AE586">
        <v>0</v>
      </c>
      <c r="AF586">
        <v>60.224508387096776</v>
      </c>
      <c r="AH586">
        <v>0</v>
      </c>
      <c r="AI586">
        <v>61.766350166666662</v>
      </c>
      <c r="AK586">
        <v>0</v>
      </c>
      <c r="AL586">
        <v>76.676654258064531</v>
      </c>
    </row>
    <row r="587" spans="1:38">
      <c r="A587">
        <v>1</v>
      </c>
      <c r="B587">
        <v>65.088329736986296</v>
      </c>
      <c r="D587">
        <v>1</v>
      </c>
      <c r="E587">
        <v>91.538305032258066</v>
      </c>
      <c r="G587">
        <v>1</v>
      </c>
      <c r="H587">
        <v>86.59106882142855</v>
      </c>
      <c r="J587">
        <v>1</v>
      </c>
      <c r="K587">
        <v>64.902005354838707</v>
      </c>
      <c r="M587">
        <v>1</v>
      </c>
      <c r="N587">
        <v>59.637922166666655</v>
      </c>
      <c r="P587">
        <v>1</v>
      </c>
      <c r="Q587">
        <v>58.126925612903214</v>
      </c>
      <c r="S587">
        <v>1</v>
      </c>
      <c r="T587">
        <v>57.421746433333325</v>
      </c>
      <c r="V587">
        <v>1</v>
      </c>
      <c r="W587">
        <v>60.76534206451614</v>
      </c>
      <c r="Y587">
        <v>1</v>
      </c>
      <c r="Z587">
        <v>60.340249709677423</v>
      </c>
      <c r="AB587">
        <v>1</v>
      </c>
      <c r="AC587">
        <v>55.041865700000017</v>
      </c>
      <c r="AE587">
        <v>1</v>
      </c>
      <c r="AF587">
        <v>55.004689677419364</v>
      </c>
      <c r="AH587">
        <v>1</v>
      </c>
      <c r="AI587">
        <v>59.214902233333333</v>
      </c>
      <c r="AK587">
        <v>1</v>
      </c>
      <c r="AL587">
        <v>73.619170645161304</v>
      </c>
    </row>
    <row r="588" spans="1:38">
      <c r="A588">
        <v>2</v>
      </c>
      <c r="B588">
        <v>63.365076463013658</v>
      </c>
      <c r="D588">
        <v>2</v>
      </c>
      <c r="E588">
        <v>91.822595193548381</v>
      </c>
      <c r="G588">
        <v>2</v>
      </c>
      <c r="H588">
        <v>85.935814714285712</v>
      </c>
      <c r="J588">
        <v>2</v>
      </c>
      <c r="K588">
        <v>63.403461677419344</v>
      </c>
      <c r="M588">
        <v>2</v>
      </c>
      <c r="N588">
        <v>57.755564100000001</v>
      </c>
      <c r="P588">
        <v>2</v>
      </c>
      <c r="Q588">
        <v>56.626291000000009</v>
      </c>
      <c r="S588">
        <v>2</v>
      </c>
      <c r="T588">
        <v>55.3822033</v>
      </c>
      <c r="V588">
        <v>2</v>
      </c>
      <c r="W588">
        <v>58.710966483870969</v>
      </c>
      <c r="Y588">
        <v>2</v>
      </c>
      <c r="Z588">
        <v>58.074695483870968</v>
      </c>
      <c r="AB588">
        <v>2</v>
      </c>
      <c r="AC588">
        <v>52.439857466666673</v>
      </c>
      <c r="AE588">
        <v>2</v>
      </c>
      <c r="AF588">
        <v>52.141728806451589</v>
      </c>
      <c r="AH588">
        <v>2</v>
      </c>
      <c r="AI588">
        <v>57.983380699999991</v>
      </c>
      <c r="AK588">
        <v>2</v>
      </c>
      <c r="AL588">
        <v>71.32413006451614</v>
      </c>
    </row>
    <row r="589" spans="1:38">
      <c r="A589">
        <v>3</v>
      </c>
      <c r="B589">
        <v>62.479135969863037</v>
      </c>
      <c r="D589">
        <v>3</v>
      </c>
      <c r="E589">
        <v>92.256413903225805</v>
      </c>
      <c r="G589">
        <v>3</v>
      </c>
      <c r="H589">
        <v>85.584406249999986</v>
      </c>
      <c r="J589">
        <v>3</v>
      </c>
      <c r="K589">
        <v>62.972826709677435</v>
      </c>
      <c r="M589">
        <v>3</v>
      </c>
      <c r="N589">
        <v>56.690041733333345</v>
      </c>
      <c r="P589">
        <v>3</v>
      </c>
      <c r="Q589">
        <v>55.938986129032251</v>
      </c>
      <c r="S589">
        <v>3</v>
      </c>
      <c r="T589">
        <v>54.463175066666665</v>
      </c>
      <c r="V589">
        <v>3</v>
      </c>
      <c r="W589">
        <v>57.104222064516136</v>
      </c>
      <c r="Y589">
        <v>3</v>
      </c>
      <c r="Z589">
        <v>56.538719838709682</v>
      </c>
      <c r="AB589">
        <v>3</v>
      </c>
      <c r="AC589">
        <v>50.85171463333333</v>
      </c>
      <c r="AE589">
        <v>3</v>
      </c>
      <c r="AF589">
        <v>50.558723838709682</v>
      </c>
      <c r="AH589">
        <v>3</v>
      </c>
      <c r="AI589">
        <v>57.17041436666667</v>
      </c>
      <c r="AK589">
        <v>3</v>
      </c>
      <c r="AL589">
        <v>70.864329451612903</v>
      </c>
    </row>
    <row r="590" spans="1:38">
      <c r="A590">
        <v>4</v>
      </c>
      <c r="B590">
        <v>63.195214479452005</v>
      </c>
      <c r="D590">
        <v>4</v>
      </c>
      <c r="E590">
        <v>94.666707000000002</v>
      </c>
      <c r="G590">
        <v>4</v>
      </c>
      <c r="H590">
        <v>87.25183389285715</v>
      </c>
      <c r="J590">
        <v>4</v>
      </c>
      <c r="K590">
        <v>64.135188967741925</v>
      </c>
      <c r="M590">
        <v>4</v>
      </c>
      <c r="N590">
        <v>57.321132766666672</v>
      </c>
      <c r="P590">
        <v>4</v>
      </c>
      <c r="Q590">
        <v>56.077914225806452</v>
      </c>
      <c r="S590">
        <v>4</v>
      </c>
      <c r="T590">
        <v>54.368370500000005</v>
      </c>
      <c r="V590">
        <v>4</v>
      </c>
      <c r="W590">
        <v>56.862843870967758</v>
      </c>
      <c r="Y590">
        <v>4</v>
      </c>
      <c r="Z590">
        <v>55.47217825806451</v>
      </c>
      <c r="AB590">
        <v>4</v>
      </c>
      <c r="AC590">
        <v>50.702858266666659</v>
      </c>
      <c r="AE590">
        <v>4</v>
      </c>
      <c r="AF590">
        <v>52.492208258064515</v>
      </c>
      <c r="AH590">
        <v>4</v>
      </c>
      <c r="AI590">
        <v>58.340553233333338</v>
      </c>
      <c r="AK590">
        <v>4</v>
      </c>
      <c r="AL590">
        <v>71.945039838709704</v>
      </c>
    </row>
    <row r="591" spans="1:38">
      <c r="A591">
        <v>5</v>
      </c>
      <c r="B591">
        <v>67.437563898630174</v>
      </c>
      <c r="D591">
        <v>5</v>
      </c>
      <c r="E591">
        <v>103.49539487096773</v>
      </c>
      <c r="G591">
        <v>5</v>
      </c>
      <c r="H591">
        <v>93.212545892857136</v>
      </c>
      <c r="J591">
        <v>5</v>
      </c>
      <c r="K591">
        <v>69.621891161290336</v>
      </c>
      <c r="M591">
        <v>5</v>
      </c>
      <c r="N591">
        <v>61.081413799999986</v>
      </c>
      <c r="P591">
        <v>5</v>
      </c>
      <c r="Q591">
        <v>59.253475290322569</v>
      </c>
      <c r="S591">
        <v>5</v>
      </c>
      <c r="T591">
        <v>55.181818566666657</v>
      </c>
      <c r="V591">
        <v>5</v>
      </c>
      <c r="W591">
        <v>57.945147806451615</v>
      </c>
      <c r="Y591">
        <v>5</v>
      </c>
      <c r="Z591">
        <v>56.623136322580635</v>
      </c>
      <c r="AB591">
        <v>5</v>
      </c>
      <c r="AC591">
        <v>55.301970866666665</v>
      </c>
      <c r="AE591">
        <v>5</v>
      </c>
      <c r="AF591">
        <v>59.712365451612904</v>
      </c>
      <c r="AH591">
        <v>5</v>
      </c>
      <c r="AI591">
        <v>63.097985466666678</v>
      </c>
      <c r="AK591">
        <v>5</v>
      </c>
      <c r="AL591">
        <v>76.086133516129024</v>
      </c>
    </row>
    <row r="592" spans="1:38">
      <c r="A592">
        <v>6</v>
      </c>
      <c r="B592">
        <v>73.609871931506859</v>
      </c>
      <c r="D592">
        <v>6</v>
      </c>
      <c r="E592">
        <v>118.98913703225806</v>
      </c>
      <c r="G592">
        <v>6</v>
      </c>
      <c r="H592">
        <v>101.23218839285717</v>
      </c>
      <c r="J592">
        <v>6</v>
      </c>
      <c r="K592">
        <v>76.765733387096773</v>
      </c>
      <c r="M592">
        <v>6</v>
      </c>
      <c r="N592">
        <v>65.831142533333335</v>
      </c>
      <c r="P592">
        <v>6</v>
      </c>
      <c r="Q592">
        <v>67.079361838709673</v>
      </c>
      <c r="S592">
        <v>6</v>
      </c>
      <c r="T592">
        <v>57.986244733333329</v>
      </c>
      <c r="V592">
        <v>6</v>
      </c>
      <c r="W592">
        <v>60.638945580645156</v>
      </c>
      <c r="Y592">
        <v>6</v>
      </c>
      <c r="Z592">
        <v>60.587810774193542</v>
      </c>
      <c r="AB592">
        <v>6</v>
      </c>
      <c r="AC592">
        <v>59.726218033333346</v>
      </c>
      <c r="AE592">
        <v>6</v>
      </c>
      <c r="AF592">
        <v>65.419150225806447</v>
      </c>
      <c r="AH592">
        <v>6</v>
      </c>
      <c r="AI592">
        <v>70.041726033333333</v>
      </c>
      <c r="AK592">
        <v>6</v>
      </c>
      <c r="AL592">
        <v>80.376055999999977</v>
      </c>
    </row>
    <row r="593" spans="1:38">
      <c r="A593">
        <v>7</v>
      </c>
      <c r="B593">
        <v>78.214428175342505</v>
      </c>
      <c r="D593">
        <v>7</v>
      </c>
      <c r="E593">
        <v>127.22801229032254</v>
      </c>
      <c r="G593">
        <v>7</v>
      </c>
      <c r="H593">
        <v>105.38150192857145</v>
      </c>
      <c r="J593">
        <v>7</v>
      </c>
      <c r="K593">
        <v>81.407439064516126</v>
      </c>
      <c r="M593">
        <v>7</v>
      </c>
      <c r="N593">
        <v>69.553262133333334</v>
      </c>
      <c r="P593">
        <v>7</v>
      </c>
      <c r="Q593">
        <v>70.466776032258068</v>
      </c>
      <c r="S593">
        <v>7</v>
      </c>
      <c r="T593">
        <v>61.238674300000007</v>
      </c>
      <c r="V593">
        <v>7</v>
      </c>
      <c r="W593">
        <v>65.657232225806453</v>
      </c>
      <c r="Y593">
        <v>7</v>
      </c>
      <c r="Z593">
        <v>66.291839193548384</v>
      </c>
      <c r="AB593">
        <v>7</v>
      </c>
      <c r="AC593">
        <v>65.243896166666673</v>
      </c>
      <c r="AE593">
        <v>7</v>
      </c>
      <c r="AF593">
        <v>70.006389774193551</v>
      </c>
      <c r="AH593">
        <v>7</v>
      </c>
      <c r="AI593">
        <v>73.403208333333325</v>
      </c>
      <c r="AK593">
        <v>7</v>
      </c>
      <c r="AL593">
        <v>83.923376000000005</v>
      </c>
    </row>
    <row r="594" spans="1:38">
      <c r="A594">
        <v>8</v>
      </c>
      <c r="B594">
        <v>79.878714427397256</v>
      </c>
      <c r="D594">
        <v>8</v>
      </c>
      <c r="E594">
        <v>124.37358616129031</v>
      </c>
      <c r="G594">
        <v>8</v>
      </c>
      <c r="H594">
        <v>105.9475367142857</v>
      </c>
      <c r="J594">
        <v>8</v>
      </c>
      <c r="K594">
        <v>83.363596774193553</v>
      </c>
      <c r="M594">
        <v>8</v>
      </c>
      <c r="N594">
        <v>71.708229933333342</v>
      </c>
      <c r="P594">
        <v>8</v>
      </c>
      <c r="Q594">
        <v>70.608655967741925</v>
      </c>
      <c r="S594">
        <v>8</v>
      </c>
      <c r="T594">
        <v>63.048067766666662</v>
      </c>
      <c r="V594">
        <v>8</v>
      </c>
      <c r="W594">
        <v>70.381745129032268</v>
      </c>
      <c r="Y594">
        <v>8</v>
      </c>
      <c r="Z594">
        <v>72.788360032258055</v>
      </c>
      <c r="AB594">
        <v>8</v>
      </c>
      <c r="AC594">
        <v>67.420557933333342</v>
      </c>
      <c r="AE594">
        <v>8</v>
      </c>
      <c r="AF594">
        <v>72.39978235483872</v>
      </c>
      <c r="AH594">
        <v>8</v>
      </c>
      <c r="AI594">
        <v>73.736362066666658</v>
      </c>
      <c r="AK594">
        <v>8</v>
      </c>
      <c r="AL594">
        <v>83.884377032258072</v>
      </c>
    </row>
    <row r="595" spans="1:38">
      <c r="A595">
        <v>9</v>
      </c>
      <c r="B595">
        <v>82.390881235616447</v>
      </c>
      <c r="D595">
        <v>9</v>
      </c>
      <c r="E595">
        <v>121.27405774193545</v>
      </c>
      <c r="G595">
        <v>9</v>
      </c>
      <c r="H595">
        <v>105.79302900000002</v>
      </c>
      <c r="J595">
        <v>9</v>
      </c>
      <c r="K595">
        <v>85.314126225806447</v>
      </c>
      <c r="M595">
        <v>9</v>
      </c>
      <c r="N595">
        <v>75.322765899999993</v>
      </c>
      <c r="P595">
        <v>9</v>
      </c>
      <c r="Q595">
        <v>72.619975451612888</v>
      </c>
      <c r="S595">
        <v>9</v>
      </c>
      <c r="T595">
        <v>66.574224566666672</v>
      </c>
      <c r="V595">
        <v>9</v>
      </c>
      <c r="W595">
        <v>76.45857022580644</v>
      </c>
      <c r="Y595">
        <v>9</v>
      </c>
      <c r="Z595">
        <v>80.978938967741939</v>
      </c>
      <c r="AB595">
        <v>9</v>
      </c>
      <c r="AC595">
        <v>72.534459633333327</v>
      </c>
      <c r="AE595">
        <v>9</v>
      </c>
      <c r="AF595">
        <v>74.633405580645146</v>
      </c>
      <c r="AH595">
        <v>9</v>
      </c>
      <c r="AI595">
        <v>75.079896633333348</v>
      </c>
      <c r="AK595">
        <v>9</v>
      </c>
      <c r="AL595">
        <v>83.079843129032255</v>
      </c>
    </row>
    <row r="596" spans="1:38">
      <c r="A596">
        <v>10</v>
      </c>
      <c r="B596">
        <v>84.329975646575278</v>
      </c>
      <c r="D596">
        <v>10</v>
      </c>
      <c r="E596">
        <v>120.15528229032257</v>
      </c>
      <c r="G596">
        <v>10</v>
      </c>
      <c r="H596">
        <v>104.04268314285716</v>
      </c>
      <c r="J596">
        <v>10</v>
      </c>
      <c r="K596">
        <v>86.001901645161325</v>
      </c>
      <c r="M596">
        <v>10</v>
      </c>
      <c r="N596">
        <v>78.139277633333307</v>
      </c>
      <c r="P596">
        <v>10</v>
      </c>
      <c r="Q596">
        <v>74.163879451612928</v>
      </c>
      <c r="S596">
        <v>10</v>
      </c>
      <c r="T596">
        <v>70.183652166666675</v>
      </c>
      <c r="V596">
        <v>10</v>
      </c>
      <c r="W596">
        <v>82.537118354838697</v>
      </c>
      <c r="Y596">
        <v>10</v>
      </c>
      <c r="Z596">
        <v>86.616940999999983</v>
      </c>
      <c r="AB596">
        <v>10</v>
      </c>
      <c r="AC596">
        <v>75.85769036666666</v>
      </c>
      <c r="AE596">
        <v>10</v>
      </c>
      <c r="AF596">
        <v>76.4870660967742</v>
      </c>
      <c r="AH596">
        <v>10</v>
      </c>
      <c r="AI596">
        <v>75.675545633333314</v>
      </c>
      <c r="AK596">
        <v>10</v>
      </c>
      <c r="AL596">
        <v>82.797843709677437</v>
      </c>
    </row>
    <row r="597" spans="1:38">
      <c r="A597">
        <v>11</v>
      </c>
      <c r="B597">
        <v>84.455235367123265</v>
      </c>
      <c r="D597">
        <v>11</v>
      </c>
      <c r="E597">
        <v>114.97611929032256</v>
      </c>
      <c r="G597">
        <v>11</v>
      </c>
      <c r="H597">
        <v>100.37142825000002</v>
      </c>
      <c r="J597">
        <v>11</v>
      </c>
      <c r="K597">
        <v>84.603070903225785</v>
      </c>
      <c r="M597">
        <v>11</v>
      </c>
      <c r="N597">
        <v>78.089784233333333</v>
      </c>
      <c r="P597">
        <v>11</v>
      </c>
      <c r="Q597">
        <v>73.622620354838702</v>
      </c>
      <c r="S597">
        <v>11</v>
      </c>
      <c r="T597">
        <v>72.280713233333316</v>
      </c>
      <c r="V597">
        <v>11</v>
      </c>
      <c r="W597">
        <v>87.537104129032272</v>
      </c>
      <c r="Y597">
        <v>11</v>
      </c>
      <c r="Z597">
        <v>90.41212619354836</v>
      </c>
      <c r="AB597">
        <v>11</v>
      </c>
      <c r="AC597">
        <v>78.749411299999991</v>
      </c>
      <c r="AE597">
        <v>11</v>
      </c>
      <c r="AF597">
        <v>76.181833516129032</v>
      </c>
      <c r="AH597">
        <v>11</v>
      </c>
      <c r="AI597">
        <v>75.869282133333343</v>
      </c>
      <c r="AK597">
        <v>11</v>
      </c>
      <c r="AL597">
        <v>81.250518870967724</v>
      </c>
    </row>
    <row r="598" spans="1:38">
      <c r="A598">
        <v>12</v>
      </c>
      <c r="B598">
        <v>83.524292005479452</v>
      </c>
      <c r="D598">
        <v>12</v>
      </c>
      <c r="E598">
        <v>109.39753909677418</v>
      </c>
      <c r="G598">
        <v>12</v>
      </c>
      <c r="H598">
        <v>96.895904285714323</v>
      </c>
      <c r="J598">
        <v>12</v>
      </c>
      <c r="K598">
        <v>82.75033851612902</v>
      </c>
      <c r="M598">
        <v>12</v>
      </c>
      <c r="N598">
        <v>75.927508766666662</v>
      </c>
      <c r="P598">
        <v>12</v>
      </c>
      <c r="Q598">
        <v>72.955081451612912</v>
      </c>
      <c r="S598">
        <v>12</v>
      </c>
      <c r="T598">
        <v>73.195183799999995</v>
      </c>
      <c r="V598">
        <v>12</v>
      </c>
      <c r="W598">
        <v>90.190953838709646</v>
      </c>
      <c r="Y598">
        <v>12</v>
      </c>
      <c r="Z598">
        <v>92.781549999999996</v>
      </c>
      <c r="AB598">
        <v>12</v>
      </c>
      <c r="AC598">
        <v>79.251139033333317</v>
      </c>
      <c r="AE598">
        <v>12</v>
      </c>
      <c r="AF598">
        <v>74.861667580645175</v>
      </c>
      <c r="AH598">
        <v>12</v>
      </c>
      <c r="AI598">
        <v>74.522231566666676</v>
      </c>
      <c r="AK598">
        <v>12</v>
      </c>
      <c r="AL598">
        <v>79.849945870967773</v>
      </c>
    </row>
    <row r="599" spans="1:38">
      <c r="A599">
        <v>13</v>
      </c>
      <c r="B599">
        <v>83.229494747945182</v>
      </c>
      <c r="D599">
        <v>13</v>
      </c>
      <c r="E599">
        <v>106.38765596774194</v>
      </c>
      <c r="G599">
        <v>13</v>
      </c>
      <c r="H599">
        <v>95.222451321428593</v>
      </c>
      <c r="J599">
        <v>13</v>
      </c>
      <c r="K599">
        <v>81.059226032258067</v>
      </c>
      <c r="M599">
        <v>13</v>
      </c>
      <c r="N599">
        <v>74.495019266666688</v>
      </c>
      <c r="P599">
        <v>13</v>
      </c>
      <c r="Q599">
        <v>72.412328000000002</v>
      </c>
      <c r="S599">
        <v>13</v>
      </c>
      <c r="T599">
        <v>73.908064533333331</v>
      </c>
      <c r="V599">
        <v>13</v>
      </c>
      <c r="W599">
        <v>92.064043838709665</v>
      </c>
      <c r="Y599">
        <v>13</v>
      </c>
      <c r="Z599">
        <v>95.129643064516117</v>
      </c>
      <c r="AB599">
        <v>13</v>
      </c>
      <c r="AC599">
        <v>80.266558866666671</v>
      </c>
      <c r="AE599">
        <v>13</v>
      </c>
      <c r="AF599">
        <v>74.90989216129033</v>
      </c>
      <c r="AH599">
        <v>13</v>
      </c>
      <c r="AI599">
        <v>74.023152199999998</v>
      </c>
      <c r="AK599">
        <v>13</v>
      </c>
      <c r="AL599">
        <v>79.061504483870948</v>
      </c>
    </row>
    <row r="600" spans="1:38">
      <c r="A600">
        <v>14</v>
      </c>
      <c r="B600">
        <v>82.517463200000066</v>
      </c>
      <c r="D600">
        <v>14</v>
      </c>
      <c r="E600">
        <v>103.66594377419356</v>
      </c>
      <c r="G600">
        <v>14</v>
      </c>
      <c r="H600">
        <v>93.193394821428583</v>
      </c>
      <c r="J600">
        <v>14</v>
      </c>
      <c r="K600">
        <v>78.90661348387097</v>
      </c>
      <c r="M600">
        <v>14</v>
      </c>
      <c r="N600">
        <v>73.066357533333331</v>
      </c>
      <c r="P600">
        <v>14</v>
      </c>
      <c r="Q600">
        <v>71.5867905483871</v>
      </c>
      <c r="S600">
        <v>14</v>
      </c>
      <c r="T600">
        <v>74.340317500000012</v>
      </c>
      <c r="V600">
        <v>14</v>
      </c>
      <c r="W600">
        <v>92.477493548387073</v>
      </c>
      <c r="Y600">
        <v>14</v>
      </c>
      <c r="Z600">
        <v>97.837372096774189</v>
      </c>
      <c r="AB600">
        <v>14</v>
      </c>
      <c r="AC600">
        <v>80.127569066666666</v>
      </c>
      <c r="AE600">
        <v>14</v>
      </c>
      <c r="AF600">
        <v>74.062275451612933</v>
      </c>
      <c r="AH600">
        <v>14</v>
      </c>
      <c r="AI600">
        <v>72.80818596666667</v>
      </c>
      <c r="AK600">
        <v>14</v>
      </c>
      <c r="AL600">
        <v>78.211450161290315</v>
      </c>
    </row>
    <row r="601" spans="1:38">
      <c r="A601">
        <v>15</v>
      </c>
      <c r="B601">
        <v>82.598331400000006</v>
      </c>
      <c r="D601">
        <v>15</v>
      </c>
      <c r="E601">
        <v>106.07254251612903</v>
      </c>
      <c r="G601">
        <v>15</v>
      </c>
      <c r="H601">
        <v>92.2100255</v>
      </c>
      <c r="J601">
        <v>15</v>
      </c>
      <c r="K601">
        <v>78.007865645161289</v>
      </c>
      <c r="M601">
        <v>15</v>
      </c>
      <c r="N601">
        <v>71.795557700000032</v>
      </c>
      <c r="P601">
        <v>15</v>
      </c>
      <c r="Q601">
        <v>71.196251322580636</v>
      </c>
      <c r="S601">
        <v>15</v>
      </c>
      <c r="T601">
        <v>73.857006166666679</v>
      </c>
      <c r="V601">
        <v>15</v>
      </c>
      <c r="W601">
        <v>93.290459193548401</v>
      </c>
      <c r="Y601">
        <v>15</v>
      </c>
      <c r="Z601">
        <v>98.120894483870984</v>
      </c>
      <c r="AB601">
        <v>15</v>
      </c>
      <c r="AC601">
        <v>80.735647533333349</v>
      </c>
      <c r="AE601">
        <v>15</v>
      </c>
      <c r="AF601">
        <v>73.432010064516106</v>
      </c>
      <c r="AH601">
        <v>15</v>
      </c>
      <c r="AI601">
        <v>73.142958566666678</v>
      </c>
      <c r="AK601">
        <v>15</v>
      </c>
      <c r="AL601">
        <v>79.253368645161302</v>
      </c>
    </row>
    <row r="602" spans="1:38">
      <c r="A602">
        <v>16</v>
      </c>
      <c r="B602">
        <v>85.41352746027404</v>
      </c>
      <c r="D602">
        <v>16</v>
      </c>
      <c r="E602">
        <v>115.38342016129033</v>
      </c>
      <c r="G602">
        <v>16</v>
      </c>
      <c r="H602">
        <v>93.814419214285721</v>
      </c>
      <c r="J602">
        <v>16</v>
      </c>
      <c r="K602">
        <v>79.36550058064519</v>
      </c>
      <c r="M602">
        <v>16</v>
      </c>
      <c r="N602">
        <v>73.76724693333334</v>
      </c>
      <c r="P602">
        <v>16</v>
      </c>
      <c r="Q602">
        <v>72.329721516129027</v>
      </c>
      <c r="S602">
        <v>16</v>
      </c>
      <c r="T602">
        <v>74.587047466666675</v>
      </c>
      <c r="V602">
        <v>16</v>
      </c>
      <c r="W602">
        <v>94.624924967741933</v>
      </c>
      <c r="Y602">
        <v>16</v>
      </c>
      <c r="Z602">
        <v>101.03255022580643</v>
      </c>
      <c r="AB602">
        <v>16</v>
      </c>
      <c r="AC602">
        <v>82.014500466666689</v>
      </c>
      <c r="AE602">
        <v>16</v>
      </c>
      <c r="AF602">
        <v>75.046507967741945</v>
      </c>
      <c r="AH602">
        <v>16</v>
      </c>
      <c r="AI602">
        <v>78.695203333333353</v>
      </c>
      <c r="AK602">
        <v>16</v>
      </c>
      <c r="AL602">
        <v>84.062982290322566</v>
      </c>
    </row>
    <row r="603" spans="1:38">
      <c r="A603">
        <v>17</v>
      </c>
      <c r="B603">
        <v>90.596134123287683</v>
      </c>
      <c r="D603">
        <v>17</v>
      </c>
      <c r="E603">
        <v>134.60260235483869</v>
      </c>
      <c r="G603">
        <v>17</v>
      </c>
      <c r="H603">
        <v>99.087048678571406</v>
      </c>
      <c r="J603">
        <v>17</v>
      </c>
      <c r="K603">
        <v>82.320102322580638</v>
      </c>
      <c r="M603">
        <v>17</v>
      </c>
      <c r="N603">
        <v>74.791439533333332</v>
      </c>
      <c r="P603">
        <v>17</v>
      </c>
      <c r="Q603">
        <v>72.971049806451603</v>
      </c>
      <c r="S603">
        <v>17</v>
      </c>
      <c r="T603">
        <v>75.297038466666663</v>
      </c>
      <c r="V603">
        <v>17</v>
      </c>
      <c r="W603">
        <v>96.581863161290315</v>
      </c>
      <c r="Y603">
        <v>17</v>
      </c>
      <c r="Z603">
        <v>100.34136603225805</v>
      </c>
      <c r="AB603">
        <v>17</v>
      </c>
      <c r="AC603">
        <v>83.241014400000012</v>
      </c>
      <c r="AE603">
        <v>17</v>
      </c>
      <c r="AF603">
        <v>78.989716096774188</v>
      </c>
      <c r="AH603">
        <v>17</v>
      </c>
      <c r="AI603">
        <v>87.243658499999995</v>
      </c>
      <c r="AK603">
        <v>17</v>
      </c>
      <c r="AL603">
        <v>101.15965716129031</v>
      </c>
    </row>
    <row r="604" spans="1:38">
      <c r="A604">
        <v>18</v>
      </c>
      <c r="B604">
        <v>92.478077890410958</v>
      </c>
      <c r="D604">
        <v>18</v>
      </c>
      <c r="E604">
        <v>139.82014067741937</v>
      </c>
      <c r="G604">
        <v>18</v>
      </c>
      <c r="H604">
        <v>111.90196778571429</v>
      </c>
      <c r="J604">
        <v>18</v>
      </c>
      <c r="K604">
        <v>92.719333290322581</v>
      </c>
      <c r="M604">
        <v>18</v>
      </c>
      <c r="N604">
        <v>75.257133300000021</v>
      </c>
      <c r="P604">
        <v>18</v>
      </c>
      <c r="Q604">
        <v>71.450902612903221</v>
      </c>
      <c r="S604">
        <v>18</v>
      </c>
      <c r="T604">
        <v>72.803191233333337</v>
      </c>
      <c r="V604">
        <v>18</v>
      </c>
      <c r="W604">
        <v>94.777179387096751</v>
      </c>
      <c r="Y604">
        <v>18</v>
      </c>
      <c r="Z604">
        <v>96.405023870967753</v>
      </c>
      <c r="AB604">
        <v>18</v>
      </c>
      <c r="AC604">
        <v>81.472887299999982</v>
      </c>
      <c r="AE604">
        <v>18</v>
      </c>
      <c r="AF604">
        <v>85.454986032258063</v>
      </c>
      <c r="AH604">
        <v>18</v>
      </c>
      <c r="AI604">
        <v>85.858245066666697</v>
      </c>
      <c r="AK604">
        <v>18</v>
      </c>
      <c r="AL604">
        <v>101.93693816129031</v>
      </c>
    </row>
    <row r="605" spans="1:38">
      <c r="A605">
        <v>19</v>
      </c>
      <c r="B605">
        <v>91.207447753424645</v>
      </c>
      <c r="D605">
        <v>19</v>
      </c>
      <c r="E605">
        <v>134.52788716129029</v>
      </c>
      <c r="G605">
        <v>19</v>
      </c>
      <c r="H605">
        <v>110.36644439285713</v>
      </c>
      <c r="J605">
        <v>19</v>
      </c>
      <c r="K605">
        <v>94.236166419354873</v>
      </c>
      <c r="M605">
        <v>19</v>
      </c>
      <c r="N605">
        <v>81.343309799999986</v>
      </c>
      <c r="P605">
        <v>19</v>
      </c>
      <c r="Q605">
        <v>70.838133677419322</v>
      </c>
      <c r="S605">
        <v>19</v>
      </c>
      <c r="T605">
        <v>70.945052833333349</v>
      </c>
      <c r="V605">
        <v>19</v>
      </c>
      <c r="W605">
        <v>91.4588635483871</v>
      </c>
      <c r="Y605">
        <v>19</v>
      </c>
      <c r="Z605">
        <v>91.846246000000008</v>
      </c>
      <c r="AB605">
        <v>19</v>
      </c>
      <c r="AC605">
        <v>83.268386333333339</v>
      </c>
      <c r="AE605">
        <v>19</v>
      </c>
      <c r="AF605">
        <v>85.781302838709664</v>
      </c>
      <c r="AH605">
        <v>19</v>
      </c>
      <c r="AI605">
        <v>83.10713633333333</v>
      </c>
      <c r="AK605">
        <v>19</v>
      </c>
      <c r="AL605">
        <v>97.135317387096762</v>
      </c>
    </row>
    <row r="606" spans="1:38">
      <c r="A606">
        <v>20</v>
      </c>
      <c r="B606">
        <v>89.392851972602784</v>
      </c>
      <c r="D606">
        <v>20</v>
      </c>
      <c r="E606">
        <v>125.98916283870967</v>
      </c>
      <c r="G606">
        <v>20</v>
      </c>
      <c r="H606">
        <v>107.37497685714281</v>
      </c>
      <c r="J606">
        <v>20</v>
      </c>
      <c r="K606">
        <v>90.902239903225805</v>
      </c>
      <c r="M606">
        <v>20</v>
      </c>
      <c r="N606">
        <v>85.919598600000029</v>
      </c>
      <c r="P606">
        <v>20</v>
      </c>
      <c r="Q606">
        <v>75.051908903225808</v>
      </c>
      <c r="S606">
        <v>20</v>
      </c>
      <c r="T606">
        <v>71.739764700000009</v>
      </c>
      <c r="V606">
        <v>20</v>
      </c>
      <c r="W606">
        <v>90.459833193548377</v>
      </c>
      <c r="Y606">
        <v>20</v>
      </c>
      <c r="Z606">
        <v>91.184819870967729</v>
      </c>
      <c r="AB606">
        <v>20</v>
      </c>
      <c r="AC606">
        <v>83.188688166666665</v>
      </c>
      <c r="AE606">
        <v>20</v>
      </c>
      <c r="AF606">
        <v>82.432046032258057</v>
      </c>
      <c r="AH606">
        <v>20</v>
      </c>
      <c r="AI606">
        <v>78.495385133333329</v>
      </c>
      <c r="AK606">
        <v>20</v>
      </c>
      <c r="AL606">
        <v>90.482844741935494</v>
      </c>
    </row>
    <row r="607" spans="1:38">
      <c r="A607">
        <v>21</v>
      </c>
      <c r="B607">
        <v>84.417374060273985</v>
      </c>
      <c r="D607">
        <v>21</v>
      </c>
      <c r="E607">
        <v>116.08922748387094</v>
      </c>
      <c r="G607">
        <v>21</v>
      </c>
      <c r="H607">
        <v>101.57013914285714</v>
      </c>
      <c r="J607">
        <v>21</v>
      </c>
      <c r="K607">
        <v>83.839465451612895</v>
      </c>
      <c r="M607">
        <v>21</v>
      </c>
      <c r="N607">
        <v>78.558080966666651</v>
      </c>
      <c r="P607">
        <v>21</v>
      </c>
      <c r="Q607">
        <v>76.695605451612906</v>
      </c>
      <c r="S607">
        <v>21</v>
      </c>
      <c r="T607">
        <v>73.782254033333331</v>
      </c>
      <c r="V607">
        <v>21</v>
      </c>
      <c r="W607">
        <v>88.284463387096778</v>
      </c>
      <c r="Y607">
        <v>21</v>
      </c>
      <c r="Z607">
        <v>87.315177161290336</v>
      </c>
      <c r="AB607">
        <v>21</v>
      </c>
      <c r="AC607">
        <v>76.542936866666665</v>
      </c>
      <c r="AE607">
        <v>21</v>
      </c>
      <c r="AF607">
        <v>76.875073645161265</v>
      </c>
      <c r="AH607">
        <v>21</v>
      </c>
      <c r="AI607">
        <v>71.570729566666657</v>
      </c>
      <c r="AK607">
        <v>21</v>
      </c>
      <c r="AL607">
        <v>82.34478074193548</v>
      </c>
    </row>
    <row r="608" spans="1:38">
      <c r="A608">
        <v>22</v>
      </c>
      <c r="B608">
        <v>78.390211328767123</v>
      </c>
      <c r="D608">
        <v>22</v>
      </c>
      <c r="E608">
        <v>109.33455409677421</v>
      </c>
      <c r="G608">
        <v>22</v>
      </c>
      <c r="H608">
        <v>95.690323392857138</v>
      </c>
      <c r="J608">
        <v>22</v>
      </c>
      <c r="K608">
        <v>76.571417612903232</v>
      </c>
      <c r="M608">
        <v>22</v>
      </c>
      <c r="N608">
        <v>72.083806100000004</v>
      </c>
      <c r="P608">
        <v>22</v>
      </c>
      <c r="Q608">
        <v>74.075157129032263</v>
      </c>
      <c r="S608">
        <v>22</v>
      </c>
      <c r="T608">
        <v>69.004915600000004</v>
      </c>
      <c r="V608">
        <v>22</v>
      </c>
      <c r="W608">
        <v>78.864098064516128</v>
      </c>
      <c r="Y608">
        <v>22</v>
      </c>
      <c r="Z608">
        <v>76.621611419354835</v>
      </c>
      <c r="AB608">
        <v>22</v>
      </c>
      <c r="AC608">
        <v>69.500729466666655</v>
      </c>
      <c r="AE608">
        <v>22</v>
      </c>
      <c r="AF608">
        <v>71.235305935483879</v>
      </c>
      <c r="AH608">
        <v>22</v>
      </c>
      <c r="AI608">
        <v>68.634788066666673</v>
      </c>
      <c r="AK608">
        <v>22</v>
      </c>
      <c r="AL608">
        <v>79.632400999999973</v>
      </c>
    </row>
    <row r="609" spans="1:38">
      <c r="A609">
        <v>23</v>
      </c>
      <c r="B609">
        <v>72.780865964383608</v>
      </c>
      <c r="D609">
        <v>23</v>
      </c>
      <c r="E609">
        <v>102.8179360967742</v>
      </c>
      <c r="G609">
        <v>23</v>
      </c>
      <c r="H609">
        <v>92.637435071428541</v>
      </c>
      <c r="J609">
        <v>23</v>
      </c>
      <c r="K609">
        <v>71.419423199999997</v>
      </c>
      <c r="M609">
        <v>23</v>
      </c>
      <c r="N609">
        <v>67.463842233333338</v>
      </c>
      <c r="P609">
        <v>23</v>
      </c>
      <c r="Q609">
        <v>69.400196483870957</v>
      </c>
      <c r="S609">
        <v>23</v>
      </c>
      <c r="T609">
        <v>64.333943833333322</v>
      </c>
      <c r="V609">
        <v>23</v>
      </c>
      <c r="W609">
        <v>68.605904096774196</v>
      </c>
      <c r="Y609">
        <v>23</v>
      </c>
      <c r="Z609">
        <v>67.814366322580639</v>
      </c>
      <c r="AB609">
        <v>23</v>
      </c>
      <c r="AC609">
        <v>61.22195053333332</v>
      </c>
      <c r="AE609">
        <v>23</v>
      </c>
      <c r="AF609">
        <v>65.906839483870982</v>
      </c>
      <c r="AH609">
        <v>23</v>
      </c>
      <c r="AI609">
        <v>65.491002516129029</v>
      </c>
      <c r="AK609">
        <v>23</v>
      </c>
      <c r="AL609">
        <v>77.318371161290344</v>
      </c>
    </row>
    <row r="610" spans="1:38">
      <c r="A610" t="s">
        <v>328</v>
      </c>
      <c r="B610">
        <v>78.714794597488577</v>
      </c>
      <c r="D610" t="s">
        <v>328</v>
      </c>
      <c r="E610">
        <v>112.43306238306451</v>
      </c>
      <c r="G610" t="s">
        <v>328</v>
      </c>
      <c r="H610">
        <v>97.475771502976173</v>
      </c>
      <c r="J610" t="s">
        <v>328</v>
      </c>
      <c r="K610">
        <v>78.438298454569889</v>
      </c>
      <c r="M610" t="s">
        <v>328</v>
      </c>
      <c r="N610">
        <v>70.741736822222222</v>
      </c>
      <c r="P610" t="s">
        <v>328</v>
      </c>
      <c r="Q610">
        <v>68.629532655913991</v>
      </c>
      <c r="S610" t="s">
        <v>328</v>
      </c>
      <c r="T610">
        <v>66.525748183333334</v>
      </c>
      <c r="V610" t="s">
        <v>328</v>
      </c>
      <c r="W610">
        <v>77.921745516129036</v>
      </c>
      <c r="Y610" t="s">
        <v>328</v>
      </c>
      <c r="Z610">
        <v>79.362568353494638</v>
      </c>
      <c r="AB610" t="s">
        <v>328</v>
      </c>
      <c r="AC610">
        <v>70.1493567375</v>
      </c>
      <c r="AE610" t="s">
        <v>328</v>
      </c>
      <c r="AF610">
        <v>70.177061469086027</v>
      </c>
      <c r="AH610" t="s">
        <v>328</v>
      </c>
      <c r="AI610">
        <v>71.457178492338713</v>
      </c>
      <c r="AK610" t="s">
        <v>328</v>
      </c>
      <c r="AL610">
        <v>81.928209763440847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DAC4A016B8DB84F95C2C73A59C4CBC4" ma:contentTypeVersion="0" ma:contentTypeDescription="Create a new document." ma:contentTypeScope="" ma:versionID="fa061c216be5cdf84fa33aba3f2f4cee">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B4BF4AE-A411-4FD2-B234-E98CBB902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9B216A71-5683-4D7D-8CF1-D6E0F704267E}">
  <ds:schemaRefs>
    <ds:schemaRef ds:uri="http://purl.org/dc/terms/"/>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 ds:uri="http://schemas.microsoft.com/office/2006/metadata/properties"/>
    <ds:schemaRef ds:uri="http://purl.org/dc/dcmitype/"/>
    <ds:schemaRef ds:uri="http://purl.org/dc/elements/1.1/"/>
  </ds:schemaRefs>
</ds:datastoreItem>
</file>

<file path=customXml/itemProps3.xml><?xml version="1.0" encoding="utf-8"?>
<ds:datastoreItem xmlns:ds="http://schemas.openxmlformats.org/officeDocument/2006/customXml" ds:itemID="{E648C54E-E7D0-4028-A7FA-3413E79A87F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BCA Results</vt:lpstr>
      <vt:lpstr>Inputs - Project Specific</vt:lpstr>
      <vt:lpstr>Inputs - Fixed</vt:lpstr>
      <vt:lpstr>BCA Tests Summary</vt:lpstr>
      <vt:lpstr>4.1_Benefits</vt:lpstr>
      <vt:lpstr>4.2-4.4_Benefits</vt:lpstr>
      <vt:lpstr>Sheet1</vt:lpstr>
      <vt:lpstr>config</vt:lpstr>
      <vt:lpstr>4.5_Costs</vt:lpstr>
      <vt:lpstr>Project Specific Calculations</vt:lpstr>
      <vt:lpstr>LBMP Calculation</vt:lpstr>
      <vt:lpstr>LBMP_by_Year-Month-Hour</vt:lpstr>
      <vt:lpstr>'BCA Tests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Uros Simovic</dc:creator>
  <cp:lastModifiedBy>Alexandra Barkan</cp:lastModifiedBy>
  <cp:lastPrinted>2018-01-19T15:05:22Z</cp:lastPrinted>
  <dcterms:created xsi:type="dcterms:W3CDTF">2017-06-12T17:47:49Z</dcterms:created>
  <dcterms:modified xsi:type="dcterms:W3CDTF">2021-10-20T14:56:27Z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0x0101006DAC4A016B8DB84F95C2C73A59C4CBC4</vt:lpwstr>
  </property>
</Properties>
</file>